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5"/>
  <workbookPr date1904="1" defaultThemeVersion="202300"/>
  <mc:AlternateContent xmlns:mc="http://schemas.openxmlformats.org/markup-compatibility/2006">
    <mc:Choice Requires="x15">
      <x15ac:absPath xmlns:x15ac="http://schemas.microsoft.com/office/spreadsheetml/2010/11/ac" url="/Users/jaedonswanson/Desktop/School/MS/Research/Thesis/"/>
    </mc:Choice>
  </mc:AlternateContent>
  <xr:revisionPtr revIDLastSave="0" documentId="8_{5CAFF312-C8EA-1E45-90A6-34C8126C4BFB}" xr6:coauthVersionLast="47" xr6:coauthVersionMax="47" xr10:uidLastSave="{00000000-0000-0000-0000-000000000000}"/>
  <bookViews>
    <workbookView xWindow="0" yWindow="660" windowWidth="34560" windowHeight="21680" xr2:uid="{4F6C1AF8-FE39-B74C-B956-B5FB227678E6}"/>
  </bookViews>
  <sheets>
    <sheet name="INJ Q1" sheetId="13" r:id="rId1"/>
    <sheet name="INJ Q2" sheetId="14" r:id="rId2"/>
    <sheet name="INJ Q3" sheetId="15" r:id="rId3"/>
    <sheet name="INJ Q4" sheetId="16" r:id="rId4"/>
    <sheet name="FLOW" sheetId="1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8" l="1"/>
  <c r="A4" i="18"/>
  <c r="A5" i="18"/>
  <c r="A6" i="18"/>
  <c r="B4" i="16"/>
  <c r="B10" i="16"/>
  <c r="C20" i="16"/>
  <c r="E20" i="16"/>
  <c r="B5" i="16" s="1"/>
  <c r="F20" i="16"/>
  <c r="G20" i="16"/>
  <c r="K20" i="16"/>
  <c r="C21" i="16"/>
  <c r="E21" i="16"/>
  <c r="F21" i="16"/>
  <c r="G21" i="16"/>
  <c r="H21" i="16"/>
  <c r="C22" i="16"/>
  <c r="E22" i="16"/>
  <c r="F22" i="16"/>
  <c r="G22" i="16"/>
  <c r="H22" i="16"/>
  <c r="C23" i="16"/>
  <c r="E23" i="16"/>
  <c r="F23" i="16"/>
  <c r="G23" i="16"/>
  <c r="H23" i="16"/>
  <c r="C24" i="16"/>
  <c r="E24" i="16"/>
  <c r="F24" i="16"/>
  <c r="G24" i="16"/>
  <c r="H24" i="16"/>
  <c r="C25" i="16"/>
  <c r="E25" i="16"/>
  <c r="F25" i="16"/>
  <c r="G25" i="16"/>
  <c r="H25" i="16"/>
  <c r="C26" i="16"/>
  <c r="E26" i="16"/>
  <c r="F26" i="16"/>
  <c r="G26" i="16"/>
  <c r="H26" i="16"/>
  <c r="C27" i="16"/>
  <c r="E27" i="16"/>
  <c r="F27" i="16"/>
  <c r="G27" i="16"/>
  <c r="H27" i="16"/>
  <c r="C28" i="16"/>
  <c r="E28" i="16"/>
  <c r="F28" i="16"/>
  <c r="G28" i="16"/>
  <c r="H28" i="16"/>
  <c r="C29" i="16"/>
  <c r="E29" i="16"/>
  <c r="F29" i="16"/>
  <c r="G29" i="16"/>
  <c r="H29" i="16"/>
  <c r="C30" i="16"/>
  <c r="E30" i="16"/>
  <c r="F30" i="16"/>
  <c r="G30" i="16"/>
  <c r="H30" i="16"/>
  <c r="C31" i="16"/>
  <c r="E31" i="16"/>
  <c r="F31" i="16"/>
  <c r="G31" i="16"/>
  <c r="H31" i="16"/>
  <c r="C32" i="16"/>
  <c r="E32" i="16"/>
  <c r="F32" i="16"/>
  <c r="G32" i="16"/>
  <c r="H32" i="16"/>
  <c r="C33" i="16"/>
  <c r="E33" i="16"/>
  <c r="F33" i="16"/>
  <c r="G33" i="16"/>
  <c r="H33" i="16"/>
  <c r="C34" i="16"/>
  <c r="E34" i="16"/>
  <c r="F34" i="16"/>
  <c r="G34" i="16"/>
  <c r="H34" i="16"/>
  <c r="C35" i="16"/>
  <c r="E35" i="16"/>
  <c r="F35" i="16"/>
  <c r="G35" i="16"/>
  <c r="H35" i="16"/>
  <c r="C36" i="16"/>
  <c r="E36" i="16"/>
  <c r="F36" i="16"/>
  <c r="G36" i="16"/>
  <c r="H36" i="16"/>
  <c r="C37" i="16"/>
  <c r="E37" i="16"/>
  <c r="F37" i="16"/>
  <c r="G37" i="16"/>
  <c r="H37" i="16"/>
  <c r="C38" i="16"/>
  <c r="E38" i="16"/>
  <c r="F38" i="16"/>
  <c r="G38" i="16"/>
  <c r="H38" i="16"/>
  <c r="C39" i="16"/>
  <c r="E39" i="16"/>
  <c r="F39" i="16"/>
  <c r="G39" i="16"/>
  <c r="H39" i="16"/>
  <c r="C40" i="16"/>
  <c r="E40" i="16"/>
  <c r="F40" i="16"/>
  <c r="G40" i="16"/>
  <c r="H40" i="16"/>
  <c r="C41" i="16"/>
  <c r="E41" i="16"/>
  <c r="F41" i="16"/>
  <c r="G41" i="16"/>
  <c r="H41" i="16"/>
  <c r="C42" i="16"/>
  <c r="E42" i="16"/>
  <c r="F42" i="16"/>
  <c r="G42" i="16"/>
  <c r="H42" i="16"/>
  <c r="C43" i="16"/>
  <c r="E43" i="16"/>
  <c r="F43" i="16"/>
  <c r="G43" i="16"/>
  <c r="H43" i="16"/>
  <c r="C44" i="16"/>
  <c r="E44" i="16"/>
  <c r="F44" i="16"/>
  <c r="G44" i="16"/>
  <c r="H44" i="16"/>
  <c r="C45" i="16"/>
  <c r="E45" i="16"/>
  <c r="F45" i="16"/>
  <c r="G45" i="16"/>
  <c r="H45" i="16"/>
  <c r="C46" i="16"/>
  <c r="E46" i="16"/>
  <c r="F46" i="16"/>
  <c r="G46" i="16"/>
  <c r="H46" i="16"/>
  <c r="C47" i="16"/>
  <c r="E47" i="16"/>
  <c r="F47" i="16"/>
  <c r="G47" i="16"/>
  <c r="H47" i="16"/>
  <c r="C48" i="16"/>
  <c r="E48" i="16"/>
  <c r="F48" i="16"/>
  <c r="G48" i="16"/>
  <c r="H48" i="16"/>
  <c r="C49" i="16"/>
  <c r="E49" i="16"/>
  <c r="F49" i="16"/>
  <c r="G49" i="16"/>
  <c r="H49" i="16"/>
  <c r="C50" i="16"/>
  <c r="E50" i="16"/>
  <c r="F50" i="16"/>
  <c r="G50" i="16"/>
  <c r="H50" i="16"/>
  <c r="C51" i="16"/>
  <c r="E51" i="16"/>
  <c r="F51" i="16"/>
  <c r="G51" i="16"/>
  <c r="H51" i="16"/>
  <c r="C52" i="16"/>
  <c r="E52" i="16"/>
  <c r="F52" i="16"/>
  <c r="G52" i="16"/>
  <c r="H52" i="16"/>
  <c r="C53" i="16"/>
  <c r="E53" i="16"/>
  <c r="F53" i="16"/>
  <c r="G53" i="16"/>
  <c r="H53" i="16"/>
  <c r="C54" i="16"/>
  <c r="E54" i="16"/>
  <c r="F54" i="16"/>
  <c r="G54" i="16"/>
  <c r="H54" i="16"/>
  <c r="C55" i="16"/>
  <c r="E55" i="16"/>
  <c r="F55" i="16"/>
  <c r="G55" i="16"/>
  <c r="H55" i="16"/>
  <c r="C56" i="16"/>
  <c r="E56" i="16"/>
  <c r="F56" i="16"/>
  <c r="G56" i="16"/>
  <c r="H56" i="16"/>
  <c r="C57" i="16"/>
  <c r="E57" i="16"/>
  <c r="F57" i="16"/>
  <c r="G57" i="16"/>
  <c r="H57" i="16"/>
  <c r="C58" i="16"/>
  <c r="E58" i="16"/>
  <c r="F58" i="16"/>
  <c r="G58" i="16"/>
  <c r="H58" i="16"/>
  <c r="C59" i="16"/>
  <c r="E59" i="16"/>
  <c r="F59" i="16"/>
  <c r="G59" i="16"/>
  <c r="H59" i="16"/>
  <c r="C60" i="16"/>
  <c r="E60" i="16"/>
  <c r="F60" i="16"/>
  <c r="G60" i="16"/>
  <c r="H60" i="16"/>
  <c r="C61" i="16"/>
  <c r="E61" i="16"/>
  <c r="F61" i="16"/>
  <c r="G61" i="16"/>
  <c r="H61" i="16"/>
  <c r="C62" i="16"/>
  <c r="E62" i="16"/>
  <c r="F62" i="16"/>
  <c r="G62" i="16"/>
  <c r="H62" i="16"/>
  <c r="C63" i="16"/>
  <c r="E63" i="16"/>
  <c r="F63" i="16"/>
  <c r="G63" i="16"/>
  <c r="H63" i="16"/>
  <c r="C64" i="16"/>
  <c r="E64" i="16"/>
  <c r="F64" i="16"/>
  <c r="G64" i="16"/>
  <c r="H64" i="16"/>
  <c r="C65" i="16"/>
  <c r="E65" i="16"/>
  <c r="F65" i="16"/>
  <c r="G65" i="16"/>
  <c r="H65" i="16"/>
  <c r="C66" i="16"/>
  <c r="E66" i="16"/>
  <c r="F66" i="16"/>
  <c r="G66" i="16"/>
  <c r="H66" i="16"/>
  <c r="C67" i="16"/>
  <c r="E67" i="16"/>
  <c r="F67" i="16"/>
  <c r="G67" i="16"/>
  <c r="H67" i="16"/>
  <c r="C68" i="16"/>
  <c r="E68" i="16"/>
  <c r="F68" i="16"/>
  <c r="G68" i="16"/>
  <c r="H68" i="16"/>
  <c r="C69" i="16"/>
  <c r="E69" i="16"/>
  <c r="F69" i="16"/>
  <c r="G69" i="16"/>
  <c r="H69" i="16"/>
  <c r="C70" i="16"/>
  <c r="E70" i="16"/>
  <c r="F70" i="16"/>
  <c r="G70" i="16"/>
  <c r="H70" i="16"/>
  <c r="C71" i="16"/>
  <c r="E71" i="16"/>
  <c r="F71" i="16"/>
  <c r="G71" i="16"/>
  <c r="H71" i="16"/>
  <c r="C72" i="16"/>
  <c r="E72" i="16"/>
  <c r="F72" i="16"/>
  <c r="G72" i="16"/>
  <c r="H72" i="16"/>
  <c r="C73" i="16"/>
  <c r="E73" i="16"/>
  <c r="F73" i="16"/>
  <c r="G73" i="16"/>
  <c r="H73" i="16"/>
  <c r="C74" i="16"/>
  <c r="E74" i="16"/>
  <c r="F74" i="16"/>
  <c r="G74" i="16"/>
  <c r="H74" i="16"/>
  <c r="C75" i="16"/>
  <c r="E75" i="16"/>
  <c r="F75" i="16"/>
  <c r="G75" i="16"/>
  <c r="H75" i="16"/>
  <c r="C76" i="16"/>
  <c r="E76" i="16"/>
  <c r="F76" i="16"/>
  <c r="G76" i="16"/>
  <c r="H76" i="16"/>
  <c r="C77" i="16"/>
  <c r="E77" i="16"/>
  <c r="F77" i="16"/>
  <c r="G77" i="16"/>
  <c r="H77" i="16"/>
  <c r="C78" i="16"/>
  <c r="E78" i="16"/>
  <c r="F78" i="16"/>
  <c r="G78" i="16"/>
  <c r="H78" i="16"/>
  <c r="C79" i="16"/>
  <c r="E79" i="16"/>
  <c r="F79" i="16"/>
  <c r="G79" i="16"/>
  <c r="H79" i="16"/>
  <c r="C80" i="16"/>
  <c r="E80" i="16"/>
  <c r="F80" i="16"/>
  <c r="G80" i="16"/>
  <c r="H80" i="16"/>
  <c r="C81" i="16"/>
  <c r="E81" i="16"/>
  <c r="F81" i="16"/>
  <c r="G81" i="16"/>
  <c r="H81" i="16"/>
  <c r="C82" i="16"/>
  <c r="E82" i="16"/>
  <c r="F82" i="16"/>
  <c r="G82" i="16"/>
  <c r="H82" i="16"/>
  <c r="C83" i="16"/>
  <c r="E83" i="16"/>
  <c r="F83" i="16"/>
  <c r="G83" i="16"/>
  <c r="H83" i="16"/>
  <c r="C84" i="16"/>
  <c r="E84" i="16"/>
  <c r="F84" i="16"/>
  <c r="G84" i="16"/>
  <c r="H84" i="16"/>
  <c r="C85" i="16"/>
  <c r="E85" i="16"/>
  <c r="F85" i="16"/>
  <c r="G85" i="16"/>
  <c r="H85" i="16"/>
  <c r="C86" i="16"/>
  <c r="E86" i="16"/>
  <c r="F86" i="16"/>
  <c r="G86" i="16"/>
  <c r="H86" i="16"/>
  <c r="C87" i="16"/>
  <c r="E87" i="16"/>
  <c r="F87" i="16"/>
  <c r="G87" i="16"/>
  <c r="H87" i="16"/>
  <c r="C88" i="16"/>
  <c r="E88" i="16"/>
  <c r="F88" i="16"/>
  <c r="G88" i="16"/>
  <c r="H88" i="16"/>
  <c r="C89" i="16"/>
  <c r="E89" i="16"/>
  <c r="F89" i="16"/>
  <c r="G89" i="16"/>
  <c r="H89" i="16"/>
  <c r="C90" i="16"/>
  <c r="E90" i="16"/>
  <c r="F90" i="16"/>
  <c r="G90" i="16"/>
  <c r="H90" i="16"/>
  <c r="C91" i="16"/>
  <c r="E91" i="16"/>
  <c r="F91" i="16"/>
  <c r="G91" i="16"/>
  <c r="H91" i="16"/>
  <c r="C92" i="16"/>
  <c r="E92" i="16"/>
  <c r="F92" i="16"/>
  <c r="G92" i="16"/>
  <c r="H92" i="16"/>
  <c r="C93" i="16"/>
  <c r="E93" i="16"/>
  <c r="F93" i="16"/>
  <c r="G93" i="16"/>
  <c r="H93" i="16"/>
  <c r="C94" i="16"/>
  <c r="E94" i="16"/>
  <c r="F94" i="16"/>
  <c r="G94" i="16"/>
  <c r="H94" i="16"/>
  <c r="C95" i="16"/>
  <c r="E95" i="16"/>
  <c r="F95" i="16"/>
  <c r="G95" i="16"/>
  <c r="H95" i="16"/>
  <c r="C96" i="16"/>
  <c r="E96" i="16"/>
  <c r="F96" i="16"/>
  <c r="G96" i="16"/>
  <c r="H96" i="16"/>
  <c r="C97" i="16"/>
  <c r="E97" i="16"/>
  <c r="F97" i="16"/>
  <c r="G97" i="16"/>
  <c r="H97" i="16"/>
  <c r="C98" i="16"/>
  <c r="E98" i="16"/>
  <c r="F98" i="16"/>
  <c r="G98" i="16"/>
  <c r="H98" i="16"/>
  <c r="C99" i="16"/>
  <c r="E99" i="16"/>
  <c r="F99" i="16"/>
  <c r="G99" i="16"/>
  <c r="H99" i="16"/>
  <c r="C100" i="16"/>
  <c r="E100" i="16"/>
  <c r="F100" i="16"/>
  <c r="G100" i="16"/>
  <c r="H100" i="16"/>
  <c r="C101" i="16"/>
  <c r="E101" i="16"/>
  <c r="F101" i="16"/>
  <c r="G101" i="16"/>
  <c r="H101" i="16"/>
  <c r="C102" i="16"/>
  <c r="E102" i="16"/>
  <c r="F102" i="16"/>
  <c r="G102" i="16"/>
  <c r="H102" i="16"/>
  <c r="C103" i="16"/>
  <c r="E103" i="16"/>
  <c r="F103" i="16"/>
  <c r="G103" i="16"/>
  <c r="H103" i="16"/>
  <c r="C104" i="16"/>
  <c r="E104" i="16"/>
  <c r="F104" i="16"/>
  <c r="G104" i="16"/>
  <c r="H104" i="16"/>
  <c r="C105" i="16"/>
  <c r="E105" i="16"/>
  <c r="F105" i="16"/>
  <c r="G105" i="16"/>
  <c r="H105" i="16"/>
  <c r="C106" i="16"/>
  <c r="E106" i="16"/>
  <c r="F106" i="16"/>
  <c r="C107" i="16"/>
  <c r="E107" i="16"/>
  <c r="F107" i="16"/>
  <c r="C108" i="16"/>
  <c r="E108" i="16"/>
  <c r="F108" i="16"/>
  <c r="C109" i="16"/>
  <c r="E109" i="16"/>
  <c r="F109" i="16"/>
  <c r="C110" i="16"/>
  <c r="E110" i="16"/>
  <c r="F110" i="16"/>
  <c r="G110" i="16"/>
  <c r="C111" i="16"/>
  <c r="E111" i="16"/>
  <c r="F111" i="16"/>
  <c r="G111" i="16"/>
  <c r="H111" i="16"/>
  <c r="C112" i="16"/>
  <c r="E112" i="16"/>
  <c r="F112" i="16"/>
  <c r="G112" i="16"/>
  <c r="H112" i="16" s="1"/>
  <c r="C113" i="16"/>
  <c r="E113" i="16"/>
  <c r="F113" i="16"/>
  <c r="G113" i="16"/>
  <c r="H113" i="16" s="1"/>
  <c r="C114" i="16"/>
  <c r="E114" i="16"/>
  <c r="F114" i="16"/>
  <c r="G114" i="16"/>
  <c r="H114" i="16"/>
  <c r="C115" i="16"/>
  <c r="E115" i="16"/>
  <c r="F115" i="16"/>
  <c r="G115" i="16"/>
  <c r="H115" i="16"/>
  <c r="C116" i="16"/>
  <c r="E116" i="16"/>
  <c r="F116" i="16"/>
  <c r="C117" i="16"/>
  <c r="E117" i="16"/>
  <c r="F117" i="16"/>
  <c r="C118" i="16"/>
  <c r="E118" i="16"/>
  <c r="F118" i="16"/>
  <c r="G118" i="16"/>
  <c r="C119" i="16"/>
  <c r="E119" i="16"/>
  <c r="F119" i="16"/>
  <c r="G119" i="16"/>
  <c r="H119" i="16" s="1"/>
  <c r="C120" i="16"/>
  <c r="E120" i="16"/>
  <c r="F120" i="16"/>
  <c r="C121" i="16"/>
  <c r="E121" i="16"/>
  <c r="F121" i="16"/>
  <c r="C122" i="16"/>
  <c r="E122" i="16"/>
  <c r="F122" i="16"/>
  <c r="C123" i="16"/>
  <c r="E123" i="16"/>
  <c r="F123" i="16"/>
  <c r="C124" i="16"/>
  <c r="E124" i="16"/>
  <c r="F124" i="16"/>
  <c r="C125" i="16"/>
  <c r="E125" i="16"/>
  <c r="F125" i="16"/>
  <c r="C126" i="16"/>
  <c r="E126" i="16"/>
  <c r="F126" i="16"/>
  <c r="G126" i="16"/>
  <c r="H127" i="16" s="1"/>
  <c r="C127" i="16"/>
  <c r="E127" i="16"/>
  <c r="F127" i="16"/>
  <c r="G127" i="16"/>
  <c r="C128" i="16"/>
  <c r="E128" i="16"/>
  <c r="F128" i="16"/>
  <c r="C129" i="16"/>
  <c r="E129" i="16"/>
  <c r="F129" i="16"/>
  <c r="C130" i="16"/>
  <c r="E130" i="16"/>
  <c r="F130" i="16"/>
  <c r="G130" i="16"/>
  <c r="C131" i="16"/>
  <c r="E131" i="16"/>
  <c r="F131" i="16"/>
  <c r="G131" i="16"/>
  <c r="H131" i="16"/>
  <c r="C132" i="16"/>
  <c r="E132" i="16"/>
  <c r="F132" i="16"/>
  <c r="C133" i="16"/>
  <c r="E133" i="16"/>
  <c r="F133" i="16"/>
  <c r="G133" i="16"/>
  <c r="C134" i="16"/>
  <c r="E134" i="16"/>
  <c r="F134" i="16"/>
  <c r="C135" i="16"/>
  <c r="E135" i="16"/>
  <c r="F135" i="16"/>
  <c r="C136" i="16"/>
  <c r="E136" i="16"/>
  <c r="F136" i="16"/>
  <c r="C137" i="16"/>
  <c r="E137" i="16"/>
  <c r="F137" i="16"/>
  <c r="C138" i="16"/>
  <c r="E138" i="16"/>
  <c r="F138" i="16"/>
  <c r="G138" i="16"/>
  <c r="C139" i="16"/>
  <c r="E139" i="16"/>
  <c r="F139" i="16"/>
  <c r="C140" i="16"/>
  <c r="E140" i="16"/>
  <c r="F140" i="16"/>
  <c r="G140" i="16"/>
  <c r="C141" i="16"/>
  <c r="E141" i="16"/>
  <c r="F141" i="16"/>
  <c r="G141" i="16"/>
  <c r="H141" i="16"/>
  <c r="C142" i="16"/>
  <c r="E142" i="16"/>
  <c r="F142" i="16"/>
  <c r="G142" i="16"/>
  <c r="H142" i="16"/>
  <c r="C143" i="16"/>
  <c r="E143" i="16"/>
  <c r="F143" i="16"/>
  <c r="C144" i="16"/>
  <c r="E144" i="16"/>
  <c r="F144" i="16"/>
  <c r="G144" i="16"/>
  <c r="C145" i="16"/>
  <c r="E145" i="16"/>
  <c r="F145" i="16"/>
  <c r="C146" i="16"/>
  <c r="E146" i="16"/>
  <c r="F146" i="16"/>
  <c r="G146" i="16"/>
  <c r="C147" i="16"/>
  <c r="E147" i="16"/>
  <c r="F147" i="16"/>
  <c r="G147" i="16"/>
  <c r="H147" i="16"/>
  <c r="C148" i="16"/>
  <c r="E148" i="16"/>
  <c r="F148" i="16"/>
  <c r="G148" i="16"/>
  <c r="H148" i="16"/>
  <c r="C149" i="16"/>
  <c r="E149" i="16"/>
  <c r="F149" i="16"/>
  <c r="C150" i="16"/>
  <c r="E150" i="16"/>
  <c r="F150" i="16"/>
  <c r="G150" i="16"/>
  <c r="C151" i="16"/>
  <c r="E151" i="16"/>
  <c r="F151" i="16"/>
  <c r="G151" i="16"/>
  <c r="H151" i="16" s="1"/>
  <c r="C152" i="16"/>
  <c r="E152" i="16"/>
  <c r="F152" i="16"/>
  <c r="C153" i="16"/>
  <c r="E153" i="16"/>
  <c r="F153" i="16"/>
  <c r="C154" i="16"/>
  <c r="E154" i="16"/>
  <c r="F154" i="16"/>
  <c r="G154" i="16"/>
  <c r="C155" i="16"/>
  <c r="E155" i="16"/>
  <c r="F155" i="16"/>
  <c r="G155" i="16"/>
  <c r="H155" i="16"/>
  <c r="C156" i="16"/>
  <c r="E156" i="16"/>
  <c r="F156" i="16"/>
  <c r="C157" i="16"/>
  <c r="E157" i="16"/>
  <c r="F157" i="16"/>
  <c r="G157" i="16"/>
  <c r="C158" i="16"/>
  <c r="E158" i="16"/>
  <c r="F158" i="16"/>
  <c r="G158" i="16"/>
  <c r="H158" i="16"/>
  <c r="C159" i="16"/>
  <c r="E159" i="16"/>
  <c r="F159" i="16"/>
  <c r="C160" i="16"/>
  <c r="E160" i="16"/>
  <c r="F160" i="16"/>
  <c r="C161" i="16"/>
  <c r="E161" i="16"/>
  <c r="F161" i="16"/>
  <c r="C162" i="16"/>
  <c r="E162" i="16"/>
  <c r="F162" i="16"/>
  <c r="G162" i="16"/>
  <c r="C163" i="16"/>
  <c r="E163" i="16"/>
  <c r="F163" i="16"/>
  <c r="C164" i="16"/>
  <c r="E164" i="16"/>
  <c r="F164" i="16"/>
  <c r="C165" i="16"/>
  <c r="E165" i="16"/>
  <c r="F165" i="16"/>
  <c r="C166" i="16"/>
  <c r="E166" i="16"/>
  <c r="F166" i="16"/>
  <c r="C167" i="16"/>
  <c r="E167" i="16"/>
  <c r="F167" i="16"/>
  <c r="G167" i="16"/>
  <c r="C168" i="16"/>
  <c r="E168" i="16"/>
  <c r="F168" i="16"/>
  <c r="C169" i="16"/>
  <c r="E169" i="16"/>
  <c r="F169" i="16"/>
  <c r="G169" i="16"/>
  <c r="C170" i="16"/>
  <c r="E170" i="16"/>
  <c r="F170" i="16"/>
  <c r="C171" i="16"/>
  <c r="E171" i="16"/>
  <c r="F171" i="16"/>
  <c r="G171" i="16"/>
  <c r="C172" i="16"/>
  <c r="E172" i="16"/>
  <c r="F172" i="16"/>
  <c r="C173" i="16"/>
  <c r="E173" i="16"/>
  <c r="F173" i="16"/>
  <c r="C174" i="16"/>
  <c r="E174" i="16"/>
  <c r="F174" i="16"/>
  <c r="C175" i="16"/>
  <c r="E175" i="16"/>
  <c r="F175" i="16"/>
  <c r="G175" i="16"/>
  <c r="C176" i="16"/>
  <c r="E176" i="16"/>
  <c r="F176" i="16"/>
  <c r="C177" i="16"/>
  <c r="E177" i="16"/>
  <c r="F177" i="16"/>
  <c r="C178" i="16"/>
  <c r="E178" i="16"/>
  <c r="F178" i="16"/>
  <c r="G178" i="16"/>
  <c r="C179" i="16"/>
  <c r="E179" i="16"/>
  <c r="F179" i="16"/>
  <c r="C180" i="16"/>
  <c r="E180" i="16"/>
  <c r="F180" i="16"/>
  <c r="G180" i="16"/>
  <c r="C181" i="16"/>
  <c r="E181" i="16"/>
  <c r="F181" i="16"/>
  <c r="G181" i="16"/>
  <c r="H181" i="16"/>
  <c r="C182" i="16"/>
  <c r="E182" i="16"/>
  <c r="F182" i="16"/>
  <c r="C183" i="16"/>
  <c r="E183" i="16"/>
  <c r="F183" i="16"/>
  <c r="G183" i="16"/>
  <c r="C184" i="16"/>
  <c r="E184" i="16"/>
  <c r="F184" i="16"/>
  <c r="C185" i="16"/>
  <c r="E185" i="16"/>
  <c r="F185" i="16"/>
  <c r="G185" i="16"/>
  <c r="C186" i="16"/>
  <c r="E186" i="16"/>
  <c r="F186" i="16"/>
  <c r="G186" i="16"/>
  <c r="H186" i="16"/>
  <c r="C187" i="16"/>
  <c r="E187" i="16"/>
  <c r="F187" i="16"/>
  <c r="G187" i="16"/>
  <c r="H187" i="16"/>
  <c r="C188" i="16"/>
  <c r="E188" i="16"/>
  <c r="F188" i="16"/>
  <c r="G188" i="16"/>
  <c r="H188" i="16"/>
  <c r="C189" i="16"/>
  <c r="E189" i="16"/>
  <c r="F189" i="16"/>
  <c r="C190" i="16"/>
  <c r="E190" i="16"/>
  <c r="F190" i="16"/>
  <c r="C191" i="16"/>
  <c r="E191" i="16"/>
  <c r="F191" i="16"/>
  <c r="G191" i="16"/>
  <c r="C192" i="16"/>
  <c r="E192" i="16"/>
  <c r="F192" i="16"/>
  <c r="G192" i="16"/>
  <c r="H192" i="16"/>
  <c r="C193" i="16"/>
  <c r="E193" i="16"/>
  <c r="F193" i="16"/>
  <c r="G193" i="16"/>
  <c r="H193" i="16"/>
  <c r="C194" i="16"/>
  <c r="E194" i="16"/>
  <c r="F194" i="16"/>
  <c r="G194" i="16"/>
  <c r="H194" i="16"/>
  <c r="C195" i="16"/>
  <c r="E195" i="16"/>
  <c r="F195" i="16"/>
  <c r="C196" i="16"/>
  <c r="E196" i="16"/>
  <c r="F196" i="16"/>
  <c r="G196" i="16"/>
  <c r="C197" i="16"/>
  <c r="E197" i="16"/>
  <c r="F197" i="16"/>
  <c r="C198" i="16"/>
  <c r="E198" i="16"/>
  <c r="F198" i="16"/>
  <c r="C199" i="16"/>
  <c r="E199" i="16"/>
  <c r="F199" i="16"/>
  <c r="G199" i="16"/>
  <c r="C200" i="16"/>
  <c r="E200" i="16"/>
  <c r="F200" i="16"/>
  <c r="C201" i="16"/>
  <c r="E201" i="16"/>
  <c r="F201" i="16"/>
  <c r="C202" i="16"/>
  <c r="E202" i="16"/>
  <c r="F202" i="16"/>
  <c r="C203" i="16"/>
  <c r="E203" i="16"/>
  <c r="F203" i="16"/>
  <c r="G203" i="16"/>
  <c r="C204" i="16"/>
  <c r="E204" i="16"/>
  <c r="F204" i="16"/>
  <c r="C205" i="16"/>
  <c r="E205" i="16"/>
  <c r="F205" i="16"/>
  <c r="C206" i="16"/>
  <c r="E206" i="16"/>
  <c r="F206" i="16"/>
  <c r="C207" i="16"/>
  <c r="E207" i="16"/>
  <c r="F207" i="16"/>
  <c r="G207" i="16"/>
  <c r="C208" i="16"/>
  <c r="E208" i="16"/>
  <c r="F208" i="16"/>
  <c r="C209" i="16"/>
  <c r="E209" i="16"/>
  <c r="F209" i="16"/>
  <c r="C210" i="16"/>
  <c r="E210" i="16"/>
  <c r="F210" i="16"/>
  <c r="G210" i="16"/>
  <c r="C211" i="16"/>
  <c r="E211" i="16"/>
  <c r="F211" i="16"/>
  <c r="C212" i="16"/>
  <c r="E212" i="16"/>
  <c r="F212" i="16"/>
  <c r="C213" i="16"/>
  <c r="E213" i="16"/>
  <c r="F213" i="16"/>
  <c r="C214" i="16"/>
  <c r="E214" i="16"/>
  <c r="F214" i="16"/>
  <c r="C215" i="16"/>
  <c r="E215" i="16"/>
  <c r="F215" i="16"/>
  <c r="C216" i="16"/>
  <c r="E216" i="16"/>
  <c r="F216" i="16"/>
  <c r="G216" i="16"/>
  <c r="C217" i="16"/>
  <c r="E217" i="16"/>
  <c r="F217" i="16"/>
  <c r="G217" i="16"/>
  <c r="H217" i="16"/>
  <c r="C218" i="16"/>
  <c r="E218" i="16"/>
  <c r="F218" i="16"/>
  <c r="C219" i="16"/>
  <c r="E219" i="16"/>
  <c r="F219" i="16"/>
  <c r="C220" i="16"/>
  <c r="E220" i="16"/>
  <c r="F220" i="16"/>
  <c r="G220" i="16"/>
  <c r="C221" i="16"/>
  <c r="E221" i="16"/>
  <c r="F221" i="16"/>
  <c r="C222" i="16"/>
  <c r="E222" i="16"/>
  <c r="F222" i="16"/>
  <c r="G222" i="16"/>
  <c r="C223" i="16"/>
  <c r="E223" i="16"/>
  <c r="F223" i="16"/>
  <c r="G223" i="16"/>
  <c r="H223" i="16"/>
  <c r="C224" i="16"/>
  <c r="E224" i="16"/>
  <c r="F224" i="16"/>
  <c r="C225" i="16"/>
  <c r="E225" i="16"/>
  <c r="F225" i="16"/>
  <c r="C226" i="16"/>
  <c r="E226" i="16"/>
  <c r="F226" i="16"/>
  <c r="C227" i="16"/>
  <c r="E227" i="16"/>
  <c r="F227" i="16"/>
  <c r="G227" i="16"/>
  <c r="C228" i="16"/>
  <c r="E228" i="16"/>
  <c r="F228" i="16"/>
  <c r="G228" i="16"/>
  <c r="H228" i="16" s="1"/>
  <c r="C229" i="16"/>
  <c r="E229" i="16"/>
  <c r="F229" i="16"/>
  <c r="C230" i="16"/>
  <c r="E230" i="16"/>
  <c r="F230" i="16"/>
  <c r="G230" i="16"/>
  <c r="C231" i="16"/>
  <c r="E231" i="16"/>
  <c r="F231" i="16"/>
  <c r="C232" i="16"/>
  <c r="E232" i="16"/>
  <c r="F232" i="16"/>
  <c r="C233" i="16"/>
  <c r="E233" i="16"/>
  <c r="F233" i="16"/>
  <c r="C234" i="16"/>
  <c r="E234" i="16"/>
  <c r="F234" i="16"/>
  <c r="G234" i="16"/>
  <c r="C235" i="16"/>
  <c r="E235" i="16"/>
  <c r="F235" i="16"/>
  <c r="C236" i="16"/>
  <c r="E236" i="16"/>
  <c r="F236" i="16"/>
  <c r="G236" i="16"/>
  <c r="C237" i="16"/>
  <c r="E237" i="16"/>
  <c r="F237" i="16"/>
  <c r="G237" i="16"/>
  <c r="H237" i="16" s="1"/>
  <c r="C238" i="16"/>
  <c r="E238" i="16"/>
  <c r="F238" i="16"/>
  <c r="G238" i="16"/>
  <c r="H238" i="16"/>
  <c r="C239" i="16"/>
  <c r="E239" i="16"/>
  <c r="F239" i="16"/>
  <c r="G239" i="16"/>
  <c r="H239" i="16" s="1"/>
  <c r="C240" i="16"/>
  <c r="E240" i="16"/>
  <c r="F240" i="16"/>
  <c r="G240" i="16"/>
  <c r="H240" i="16"/>
  <c r="E241" i="16"/>
  <c r="F241" i="16"/>
  <c r="G241" i="16"/>
  <c r="E242" i="16"/>
  <c r="F242" i="16"/>
  <c r="G242" i="16"/>
  <c r="E243" i="16"/>
  <c r="F243" i="16"/>
  <c r="G243" i="16"/>
  <c r="E244" i="16"/>
  <c r="F244" i="16"/>
  <c r="G244" i="16"/>
  <c r="E245" i="16"/>
  <c r="F245" i="16"/>
  <c r="G245" i="16"/>
  <c r="E246" i="16"/>
  <c r="F246" i="16"/>
  <c r="G246" i="16"/>
  <c r="E247" i="16"/>
  <c r="F247" i="16"/>
  <c r="G247" i="16"/>
  <c r="E248" i="16"/>
  <c r="F248" i="16"/>
  <c r="G248" i="16"/>
  <c r="E249" i="16"/>
  <c r="F249" i="16"/>
  <c r="G249" i="16"/>
  <c r="E250" i="16"/>
  <c r="F250" i="16"/>
  <c r="G250" i="16"/>
  <c r="E251" i="16"/>
  <c r="F251" i="16"/>
  <c r="G251" i="16"/>
  <c r="E252" i="16"/>
  <c r="F252" i="16"/>
  <c r="G252" i="16"/>
  <c r="E253" i="16"/>
  <c r="F253" i="16"/>
  <c r="G253" i="16"/>
  <c r="E254" i="16"/>
  <c r="F254" i="16"/>
  <c r="G254" i="16"/>
  <c r="E255" i="16"/>
  <c r="F255" i="16"/>
  <c r="G255" i="16"/>
  <c r="E256" i="16"/>
  <c r="F256" i="16"/>
  <c r="G256" i="16"/>
  <c r="E257" i="16"/>
  <c r="F257" i="16"/>
  <c r="G257" i="16"/>
  <c r="E258" i="16"/>
  <c r="F258" i="16"/>
  <c r="G258" i="16"/>
  <c r="E259" i="16"/>
  <c r="F259" i="16"/>
  <c r="G259" i="16"/>
  <c r="E260" i="16"/>
  <c r="F260" i="16"/>
  <c r="G260" i="16"/>
  <c r="E261" i="16"/>
  <c r="F261" i="16"/>
  <c r="G261" i="16"/>
  <c r="E262" i="16"/>
  <c r="F262" i="16"/>
  <c r="G262" i="16"/>
  <c r="E263" i="16"/>
  <c r="F263" i="16"/>
  <c r="G263" i="16"/>
  <c r="E264" i="16"/>
  <c r="F264" i="16"/>
  <c r="G264" i="16"/>
  <c r="E265" i="16"/>
  <c r="F265" i="16"/>
  <c r="G265" i="16"/>
  <c r="E266" i="16"/>
  <c r="F266" i="16"/>
  <c r="G266" i="16"/>
  <c r="E267" i="16"/>
  <c r="F267" i="16"/>
  <c r="G267" i="16"/>
  <c r="E268" i="16"/>
  <c r="F268" i="16"/>
  <c r="G268" i="16"/>
  <c r="E269" i="16"/>
  <c r="F269" i="16"/>
  <c r="G269" i="16"/>
  <c r="E270" i="16"/>
  <c r="F270" i="16"/>
  <c r="G270" i="16"/>
  <c r="E271" i="16"/>
  <c r="F271" i="16"/>
  <c r="G271" i="16"/>
  <c r="E272" i="16"/>
  <c r="F272" i="16"/>
  <c r="G272" i="16"/>
  <c r="E273" i="16"/>
  <c r="F273" i="16"/>
  <c r="G273" i="16"/>
  <c r="E274" i="16"/>
  <c r="F274" i="16"/>
  <c r="G274" i="16"/>
  <c r="E275" i="16"/>
  <c r="F275" i="16"/>
  <c r="G275" i="16"/>
  <c r="E276" i="16"/>
  <c r="F276" i="16"/>
  <c r="G276" i="16"/>
  <c r="E277" i="16"/>
  <c r="F277" i="16"/>
  <c r="G277" i="16"/>
  <c r="E278" i="16"/>
  <c r="F278" i="16"/>
  <c r="G278" i="16"/>
  <c r="E279" i="16"/>
  <c r="F279" i="16"/>
  <c r="G279" i="16"/>
  <c r="E280" i="16"/>
  <c r="F280" i="16"/>
  <c r="G280" i="16"/>
  <c r="E281" i="16"/>
  <c r="F281" i="16"/>
  <c r="G281" i="16"/>
  <c r="E282" i="16"/>
  <c r="F282" i="16"/>
  <c r="G282" i="16"/>
  <c r="E283" i="16"/>
  <c r="F283" i="16"/>
  <c r="G283" i="16"/>
  <c r="E284" i="16"/>
  <c r="F284" i="16"/>
  <c r="G284" i="16"/>
  <c r="E285" i="16"/>
  <c r="F285" i="16"/>
  <c r="G285" i="16"/>
  <c r="E286" i="16"/>
  <c r="F286" i="16"/>
  <c r="G286" i="16"/>
  <c r="E287" i="16"/>
  <c r="F287" i="16"/>
  <c r="G287" i="16"/>
  <c r="E288" i="16"/>
  <c r="F288" i="16"/>
  <c r="G288" i="16"/>
  <c r="E289" i="16"/>
  <c r="F289" i="16"/>
  <c r="G289" i="16"/>
  <c r="E290" i="16"/>
  <c r="F290" i="16"/>
  <c r="G290" i="16"/>
  <c r="E291" i="16"/>
  <c r="F291" i="16"/>
  <c r="G291" i="16"/>
  <c r="E292" i="16"/>
  <c r="F292" i="16"/>
  <c r="G292" i="16"/>
  <c r="E293" i="16"/>
  <c r="F293" i="16"/>
  <c r="G293" i="16"/>
  <c r="E294" i="16"/>
  <c r="F294" i="16"/>
  <c r="G294" i="16"/>
  <c r="E295" i="16"/>
  <c r="F295" i="16"/>
  <c r="G295" i="16"/>
  <c r="E296" i="16"/>
  <c r="F296" i="16"/>
  <c r="G296" i="16"/>
  <c r="E297" i="16"/>
  <c r="F297" i="16"/>
  <c r="G297" i="16"/>
  <c r="E298" i="16"/>
  <c r="F298" i="16"/>
  <c r="G298" i="16"/>
  <c r="E299" i="16"/>
  <c r="F299" i="16"/>
  <c r="G299" i="16"/>
  <c r="E300" i="16"/>
  <c r="F300" i="16"/>
  <c r="G300" i="16"/>
  <c r="E301" i="16"/>
  <c r="F301" i="16"/>
  <c r="G301" i="16"/>
  <c r="E302" i="16"/>
  <c r="F302" i="16"/>
  <c r="G302" i="16"/>
  <c r="E303" i="16"/>
  <c r="F303" i="16"/>
  <c r="G303" i="16"/>
  <c r="E304" i="16"/>
  <c r="F304" i="16"/>
  <c r="G304" i="16"/>
  <c r="E305" i="16"/>
  <c r="F305" i="16"/>
  <c r="G305" i="16"/>
  <c r="E306" i="16"/>
  <c r="F306" i="16"/>
  <c r="G306" i="16"/>
  <c r="E307" i="16"/>
  <c r="F307" i="16"/>
  <c r="G307" i="16"/>
  <c r="E308" i="16"/>
  <c r="F308" i="16"/>
  <c r="G308" i="16"/>
  <c r="E309" i="16"/>
  <c r="F309" i="16"/>
  <c r="G309" i="16"/>
  <c r="E310" i="16"/>
  <c r="F310" i="16"/>
  <c r="G310" i="16"/>
  <c r="E311" i="16"/>
  <c r="F311" i="16"/>
  <c r="G311" i="16"/>
  <c r="E312" i="16"/>
  <c r="F312" i="16"/>
  <c r="G312" i="16"/>
  <c r="E313" i="16"/>
  <c r="F313" i="16"/>
  <c r="G313" i="16"/>
  <c r="E314" i="16"/>
  <c r="F314" i="16"/>
  <c r="G314" i="16"/>
  <c r="E315" i="16"/>
  <c r="F315" i="16"/>
  <c r="G315" i="16"/>
  <c r="E316" i="16"/>
  <c r="F316" i="16"/>
  <c r="G316" i="16"/>
  <c r="E317" i="16"/>
  <c r="F317" i="16"/>
  <c r="G317" i="16"/>
  <c r="E318" i="16"/>
  <c r="F318" i="16"/>
  <c r="G318" i="16"/>
  <c r="E319" i="16"/>
  <c r="F319" i="16"/>
  <c r="G319" i="16"/>
  <c r="E320" i="16"/>
  <c r="F320" i="16"/>
  <c r="G320" i="16"/>
  <c r="E321" i="16"/>
  <c r="F321" i="16"/>
  <c r="G321" i="16"/>
  <c r="E322" i="16"/>
  <c r="F322" i="16"/>
  <c r="G322" i="16"/>
  <c r="E323" i="16"/>
  <c r="F323" i="16"/>
  <c r="G323" i="16"/>
  <c r="E324" i="16"/>
  <c r="F324" i="16"/>
  <c r="G324" i="16"/>
  <c r="E325" i="16"/>
  <c r="F325" i="16"/>
  <c r="G325" i="16"/>
  <c r="E326" i="16"/>
  <c r="F326" i="16"/>
  <c r="G326" i="16"/>
  <c r="E327" i="16"/>
  <c r="F327" i="16"/>
  <c r="G327" i="16"/>
  <c r="E328" i="16"/>
  <c r="F328" i="16"/>
  <c r="G328" i="16"/>
  <c r="E329" i="16"/>
  <c r="F329" i="16"/>
  <c r="G329" i="16"/>
  <c r="E330" i="16"/>
  <c r="F330" i="16"/>
  <c r="G330" i="16"/>
  <c r="E331" i="16"/>
  <c r="F331" i="16"/>
  <c r="G331" i="16"/>
  <c r="E332" i="16"/>
  <c r="F332" i="16"/>
  <c r="G332" i="16"/>
  <c r="E333" i="16"/>
  <c r="F333" i="16"/>
  <c r="G333" i="16"/>
  <c r="E334" i="16"/>
  <c r="F334" i="16"/>
  <c r="G334" i="16"/>
  <c r="E335" i="16"/>
  <c r="F335" i="16"/>
  <c r="G335" i="16"/>
  <c r="E336" i="16"/>
  <c r="F336" i="16"/>
  <c r="G336" i="16"/>
  <c r="E337" i="16"/>
  <c r="F337" i="16"/>
  <c r="G337" i="16"/>
  <c r="E338" i="16"/>
  <c r="F338" i="16"/>
  <c r="G338" i="16"/>
  <c r="E339" i="16"/>
  <c r="F339" i="16"/>
  <c r="G339" i="16"/>
  <c r="E340" i="16"/>
  <c r="F340" i="16"/>
  <c r="G340" i="16"/>
  <c r="E341" i="16"/>
  <c r="F341" i="16"/>
  <c r="G341" i="16"/>
  <c r="E342" i="16"/>
  <c r="F342" i="16"/>
  <c r="G342" i="16"/>
  <c r="E343" i="16"/>
  <c r="F343" i="16"/>
  <c r="G343" i="16"/>
  <c r="E344" i="16"/>
  <c r="F344" i="16"/>
  <c r="G344" i="16"/>
  <c r="E345" i="16"/>
  <c r="F345" i="16"/>
  <c r="G345" i="16"/>
  <c r="E346" i="16"/>
  <c r="F346" i="16"/>
  <c r="G346" i="16"/>
  <c r="E347" i="16"/>
  <c r="F347" i="16"/>
  <c r="G347" i="16"/>
  <c r="E348" i="16"/>
  <c r="F348" i="16"/>
  <c r="G348" i="16"/>
  <c r="E349" i="16"/>
  <c r="F349" i="16"/>
  <c r="G349" i="16"/>
  <c r="E350" i="16"/>
  <c r="F350" i="16"/>
  <c r="G350" i="16"/>
  <c r="E351" i="16"/>
  <c r="F351" i="16"/>
  <c r="G351" i="16"/>
  <c r="E352" i="16"/>
  <c r="F352" i="16"/>
  <c r="G352" i="16"/>
  <c r="E353" i="16"/>
  <c r="F353" i="16"/>
  <c r="G353" i="16"/>
  <c r="E354" i="16"/>
  <c r="F354" i="16"/>
  <c r="G354" i="16"/>
  <c r="C355" i="16"/>
  <c r="E355" i="16"/>
  <c r="F355" i="16"/>
  <c r="G355" i="16"/>
  <c r="C356" i="16"/>
  <c r="E356" i="16"/>
  <c r="F356" i="16"/>
  <c r="G356" i="16"/>
  <c r="H356" i="16"/>
  <c r="C357" i="16"/>
  <c r="E357" i="16"/>
  <c r="F357" i="16"/>
  <c r="G357" i="16"/>
  <c r="H357" i="16"/>
  <c r="C358" i="16"/>
  <c r="E358" i="16"/>
  <c r="F358" i="16"/>
  <c r="G358" i="16"/>
  <c r="H358" i="16"/>
  <c r="C359" i="16"/>
  <c r="E359" i="16"/>
  <c r="F359" i="16"/>
  <c r="G359" i="16"/>
  <c r="H359" i="16"/>
  <c r="C360" i="16"/>
  <c r="E360" i="16"/>
  <c r="F360" i="16"/>
  <c r="G360" i="16"/>
  <c r="H360" i="16"/>
  <c r="C361" i="16"/>
  <c r="E361" i="16"/>
  <c r="F361" i="16"/>
  <c r="G361" i="16"/>
  <c r="H361" i="16"/>
  <c r="C362" i="16"/>
  <c r="E362" i="16"/>
  <c r="F362" i="16"/>
  <c r="G362" i="16"/>
  <c r="H362" i="16"/>
  <c r="C363" i="16"/>
  <c r="E363" i="16"/>
  <c r="F363" i="16"/>
  <c r="G363" i="16"/>
  <c r="H363" i="16"/>
  <c r="C364" i="16"/>
  <c r="E364" i="16"/>
  <c r="F364" i="16"/>
  <c r="G364" i="16"/>
  <c r="H364" i="16"/>
  <c r="C365" i="16"/>
  <c r="E365" i="16"/>
  <c r="F365" i="16"/>
  <c r="G365" i="16"/>
  <c r="H365" i="16"/>
  <c r="C366" i="16"/>
  <c r="E366" i="16"/>
  <c r="F366" i="16"/>
  <c r="G366" i="16"/>
  <c r="H366" i="16"/>
  <c r="C367" i="16"/>
  <c r="E367" i="16"/>
  <c r="F367" i="16"/>
  <c r="G367" i="16"/>
  <c r="H367" i="16"/>
  <c r="C368" i="16"/>
  <c r="E368" i="16"/>
  <c r="F368" i="16"/>
  <c r="G368" i="16"/>
  <c r="H368" i="16"/>
  <c r="C369" i="16"/>
  <c r="E369" i="16"/>
  <c r="F369" i="16"/>
  <c r="G369" i="16"/>
  <c r="H369" i="16"/>
  <c r="C370" i="16"/>
  <c r="E370" i="16"/>
  <c r="F370" i="16"/>
  <c r="G370" i="16"/>
  <c r="H370" i="16"/>
  <c r="C371" i="16"/>
  <c r="E371" i="16"/>
  <c r="F371" i="16"/>
  <c r="G371" i="16"/>
  <c r="H371" i="16"/>
  <c r="C372" i="16"/>
  <c r="E372" i="16"/>
  <c r="F372" i="16"/>
  <c r="G372" i="16"/>
  <c r="H372" i="16"/>
  <c r="C373" i="16"/>
  <c r="E373" i="16"/>
  <c r="F373" i="16"/>
  <c r="G373" i="16"/>
  <c r="H373" i="16"/>
  <c r="C374" i="16"/>
  <c r="E374" i="16"/>
  <c r="F374" i="16"/>
  <c r="G374" i="16"/>
  <c r="H374" i="16"/>
  <c r="C375" i="16"/>
  <c r="E375" i="16"/>
  <c r="F375" i="16"/>
  <c r="G375" i="16"/>
  <c r="H375" i="16"/>
  <c r="C376" i="16"/>
  <c r="E376" i="16"/>
  <c r="F376" i="16"/>
  <c r="G376" i="16"/>
  <c r="H376" i="16"/>
  <c r="C377" i="16"/>
  <c r="E377" i="16"/>
  <c r="F377" i="16"/>
  <c r="G377" i="16"/>
  <c r="H377" i="16"/>
  <c r="C378" i="16"/>
  <c r="E378" i="16"/>
  <c r="F378" i="16"/>
  <c r="G378" i="16"/>
  <c r="H378" i="16"/>
  <c r="C379" i="16"/>
  <c r="E379" i="16"/>
  <c r="F379" i="16"/>
  <c r="G379" i="16"/>
  <c r="H379" i="16"/>
  <c r="C380" i="16"/>
  <c r="E380" i="16"/>
  <c r="F380" i="16"/>
  <c r="G380" i="16"/>
  <c r="H380" i="16"/>
  <c r="C381" i="16"/>
  <c r="E381" i="16"/>
  <c r="F381" i="16"/>
  <c r="G381" i="16"/>
  <c r="H381" i="16"/>
  <c r="C382" i="16"/>
  <c r="E382" i="16"/>
  <c r="F382" i="16"/>
  <c r="G382" i="16"/>
  <c r="H382" i="16"/>
  <c r="C383" i="16"/>
  <c r="E383" i="16"/>
  <c r="F383" i="16"/>
  <c r="G383" i="16"/>
  <c r="H383" i="16"/>
  <c r="C384" i="16"/>
  <c r="E384" i="16"/>
  <c r="F384" i="16"/>
  <c r="G384" i="16"/>
  <c r="H384" i="16"/>
  <c r="C385" i="16"/>
  <c r="E385" i="16"/>
  <c r="F385" i="16"/>
  <c r="G385" i="16"/>
  <c r="H385" i="16"/>
  <c r="C386" i="16"/>
  <c r="E386" i="16"/>
  <c r="F386" i="16"/>
  <c r="G386" i="16"/>
  <c r="H386" i="16"/>
  <c r="C387" i="16"/>
  <c r="E387" i="16"/>
  <c r="F387" i="16"/>
  <c r="G387" i="16"/>
  <c r="H387" i="16"/>
  <c r="C388" i="16"/>
  <c r="E388" i="16"/>
  <c r="F388" i="16"/>
  <c r="G388" i="16"/>
  <c r="H388" i="16"/>
  <c r="C389" i="16"/>
  <c r="E389" i="16"/>
  <c r="F389" i="16"/>
  <c r="G389" i="16"/>
  <c r="H389" i="16"/>
  <c r="C390" i="16"/>
  <c r="E390" i="16"/>
  <c r="F390" i="16"/>
  <c r="G390" i="16"/>
  <c r="H390" i="16"/>
  <c r="C391" i="16"/>
  <c r="E391" i="16"/>
  <c r="F391" i="16"/>
  <c r="G391" i="16"/>
  <c r="H391" i="16"/>
  <c r="C392" i="16"/>
  <c r="E392" i="16"/>
  <c r="F392" i="16"/>
  <c r="G392" i="16"/>
  <c r="H392" i="16"/>
  <c r="C393" i="16"/>
  <c r="E393" i="16"/>
  <c r="F393" i="16"/>
  <c r="G393" i="16"/>
  <c r="H393" i="16"/>
  <c r="C394" i="16"/>
  <c r="E394" i="16"/>
  <c r="F394" i="16"/>
  <c r="G394" i="16"/>
  <c r="H394" i="16"/>
  <c r="C395" i="16"/>
  <c r="E395" i="16"/>
  <c r="F395" i="16"/>
  <c r="G395" i="16"/>
  <c r="H395" i="16"/>
  <c r="C396" i="16"/>
  <c r="E396" i="16"/>
  <c r="F396" i="16"/>
  <c r="G396" i="16"/>
  <c r="H396" i="16"/>
  <c r="C397" i="16"/>
  <c r="E397" i="16"/>
  <c r="F397" i="16"/>
  <c r="G397" i="16"/>
  <c r="H397" i="16"/>
  <c r="C398" i="16"/>
  <c r="E398" i="16"/>
  <c r="F398" i="16"/>
  <c r="G398" i="16"/>
  <c r="H398" i="16"/>
  <c r="C399" i="16"/>
  <c r="E399" i="16"/>
  <c r="F399" i="16"/>
  <c r="G399" i="16"/>
  <c r="H399" i="16"/>
  <c r="C400" i="16"/>
  <c r="E400" i="16"/>
  <c r="F400" i="16"/>
  <c r="G400" i="16"/>
  <c r="H400" i="16"/>
  <c r="C401" i="16"/>
  <c r="E401" i="16"/>
  <c r="F401" i="16"/>
  <c r="G401" i="16"/>
  <c r="H401" i="16"/>
  <c r="C402" i="16"/>
  <c r="E402" i="16"/>
  <c r="F402" i="16"/>
  <c r="G402" i="16"/>
  <c r="H402" i="16"/>
  <c r="C403" i="16"/>
  <c r="E403" i="16"/>
  <c r="F403" i="16"/>
  <c r="G403" i="16"/>
  <c r="H403" i="16"/>
  <c r="C404" i="16"/>
  <c r="E404" i="16"/>
  <c r="F404" i="16"/>
  <c r="G404" i="16"/>
  <c r="H404" i="16"/>
  <c r="C405" i="16"/>
  <c r="E405" i="16"/>
  <c r="F405" i="16"/>
  <c r="G405" i="16"/>
  <c r="H405" i="16"/>
  <c r="C406" i="16"/>
  <c r="E406" i="16"/>
  <c r="F406" i="16"/>
  <c r="G406" i="16"/>
  <c r="H406" i="16"/>
  <c r="C407" i="16"/>
  <c r="E407" i="16"/>
  <c r="F407" i="16"/>
  <c r="G407" i="16"/>
  <c r="H407" i="16"/>
  <c r="C408" i="16"/>
  <c r="E408" i="16"/>
  <c r="F408" i="16"/>
  <c r="G408" i="16"/>
  <c r="H408" i="16"/>
  <c r="C409" i="16"/>
  <c r="E409" i="16"/>
  <c r="F409" i="16"/>
  <c r="G409" i="16"/>
  <c r="H409" i="16"/>
  <c r="C410" i="16"/>
  <c r="E410" i="16"/>
  <c r="F410" i="16"/>
  <c r="G410" i="16"/>
  <c r="H410" i="16"/>
  <c r="C411" i="16"/>
  <c r="E411" i="16"/>
  <c r="F411" i="16"/>
  <c r="G411" i="16"/>
  <c r="H411" i="16"/>
  <c r="C412" i="16"/>
  <c r="E412" i="16"/>
  <c r="F412" i="16"/>
  <c r="G412" i="16"/>
  <c r="H412" i="16"/>
  <c r="C413" i="16"/>
  <c r="E413" i="16"/>
  <c r="F413" i="16"/>
  <c r="G413" i="16"/>
  <c r="H413" i="16"/>
  <c r="C414" i="16"/>
  <c r="E414" i="16"/>
  <c r="F414" i="16"/>
  <c r="G414" i="16"/>
  <c r="H414" i="16"/>
  <c r="C415" i="16"/>
  <c r="E415" i="16"/>
  <c r="F415" i="16"/>
  <c r="G415" i="16"/>
  <c r="H415" i="16"/>
  <c r="C416" i="16"/>
  <c r="E416" i="16"/>
  <c r="F416" i="16"/>
  <c r="G416" i="16"/>
  <c r="H416" i="16"/>
  <c r="C417" i="16"/>
  <c r="E417" i="16"/>
  <c r="F417" i="16"/>
  <c r="G417" i="16"/>
  <c r="H417" i="16"/>
  <c r="C418" i="16"/>
  <c r="E418" i="16"/>
  <c r="F418" i="16"/>
  <c r="G418" i="16"/>
  <c r="H418" i="16"/>
  <c r="C419" i="16"/>
  <c r="E419" i="16"/>
  <c r="F419" i="16"/>
  <c r="G419" i="16"/>
  <c r="H419" i="16"/>
  <c r="C420" i="16"/>
  <c r="E420" i="16"/>
  <c r="F420" i="16"/>
  <c r="G420" i="16"/>
  <c r="H420" i="16"/>
  <c r="C421" i="16"/>
  <c r="E421" i="16"/>
  <c r="F421" i="16"/>
  <c r="G421" i="16"/>
  <c r="H421" i="16"/>
  <c r="C422" i="16"/>
  <c r="E422" i="16"/>
  <c r="F422" i="16"/>
  <c r="G422" i="16"/>
  <c r="H422" i="16"/>
  <c r="C423" i="16"/>
  <c r="E423" i="16"/>
  <c r="F423" i="16"/>
  <c r="G423" i="16"/>
  <c r="H423" i="16"/>
  <c r="C424" i="16"/>
  <c r="E424" i="16"/>
  <c r="F424" i="16"/>
  <c r="G424" i="16"/>
  <c r="H424" i="16"/>
  <c r="C425" i="16"/>
  <c r="E425" i="16"/>
  <c r="F425" i="16"/>
  <c r="G425" i="16"/>
  <c r="H425" i="16"/>
  <c r="C426" i="16"/>
  <c r="E426" i="16"/>
  <c r="F426" i="16"/>
  <c r="G426" i="16"/>
  <c r="H426" i="16"/>
  <c r="C427" i="16"/>
  <c r="E427" i="16"/>
  <c r="F427" i="16"/>
  <c r="G427" i="16"/>
  <c r="H427" i="16"/>
  <c r="C428" i="16"/>
  <c r="E428" i="16"/>
  <c r="F428" i="16"/>
  <c r="G428" i="16"/>
  <c r="H428" i="16"/>
  <c r="C429" i="16"/>
  <c r="E429" i="16"/>
  <c r="F429" i="16"/>
  <c r="G429" i="16"/>
  <c r="H429" i="16"/>
  <c r="C430" i="16"/>
  <c r="E430" i="16"/>
  <c r="F430" i="16"/>
  <c r="G430" i="16"/>
  <c r="H430" i="16"/>
  <c r="C431" i="16"/>
  <c r="E431" i="16"/>
  <c r="F431" i="16"/>
  <c r="G431" i="16"/>
  <c r="H431" i="16"/>
  <c r="C432" i="16"/>
  <c r="E432" i="16"/>
  <c r="F432" i="16"/>
  <c r="G432" i="16"/>
  <c r="H432" i="16"/>
  <c r="C433" i="16"/>
  <c r="E433" i="16"/>
  <c r="F433" i="16"/>
  <c r="G433" i="16"/>
  <c r="H433" i="16"/>
  <c r="C434" i="16"/>
  <c r="E434" i="16"/>
  <c r="F434" i="16"/>
  <c r="G434" i="16"/>
  <c r="H434" i="16"/>
  <c r="C435" i="16"/>
  <c r="E435" i="16"/>
  <c r="F435" i="16"/>
  <c r="G435" i="16"/>
  <c r="H435" i="16"/>
  <c r="C436" i="16"/>
  <c r="E436" i="16"/>
  <c r="F436" i="16"/>
  <c r="G436" i="16"/>
  <c r="H436" i="16"/>
  <c r="C437" i="16"/>
  <c r="E437" i="16"/>
  <c r="F437" i="16"/>
  <c r="G437" i="16"/>
  <c r="H437" i="16"/>
  <c r="C438" i="16"/>
  <c r="E438" i="16"/>
  <c r="F438" i="16"/>
  <c r="G438" i="16"/>
  <c r="H438" i="16"/>
  <c r="C439" i="16"/>
  <c r="E439" i="16"/>
  <c r="F439" i="16"/>
  <c r="G439" i="16"/>
  <c r="H439" i="16"/>
  <c r="C440" i="16"/>
  <c r="E440" i="16"/>
  <c r="F440" i="16"/>
  <c r="G440" i="16"/>
  <c r="H440" i="16"/>
  <c r="C441" i="16"/>
  <c r="E441" i="16"/>
  <c r="F441" i="16"/>
  <c r="G441" i="16"/>
  <c r="H441" i="16"/>
  <c r="C442" i="16"/>
  <c r="E442" i="16"/>
  <c r="F442" i="16"/>
  <c r="G442" i="16"/>
  <c r="H442" i="16"/>
  <c r="C443" i="16"/>
  <c r="E443" i="16"/>
  <c r="F443" i="16"/>
  <c r="G443" i="16"/>
  <c r="H443" i="16"/>
  <c r="C444" i="16"/>
  <c r="E444" i="16"/>
  <c r="F444" i="16"/>
  <c r="G444" i="16"/>
  <c r="H444" i="16"/>
  <c r="C445" i="16"/>
  <c r="E445" i="16"/>
  <c r="F445" i="16"/>
  <c r="G445" i="16"/>
  <c r="H445" i="16"/>
  <c r="C446" i="16"/>
  <c r="E446" i="16"/>
  <c r="F446" i="16"/>
  <c r="G446" i="16"/>
  <c r="H446" i="16"/>
  <c r="C447" i="16"/>
  <c r="E447" i="16"/>
  <c r="F447" i="16"/>
  <c r="G447" i="16"/>
  <c r="H447" i="16"/>
  <c r="C448" i="16"/>
  <c r="E448" i="16"/>
  <c r="F448" i="16"/>
  <c r="G448" i="16"/>
  <c r="H448" i="16"/>
  <c r="C449" i="16"/>
  <c r="E449" i="16"/>
  <c r="F449" i="16"/>
  <c r="G449" i="16"/>
  <c r="H449" i="16"/>
  <c r="C450" i="16"/>
  <c r="E450" i="16"/>
  <c r="F450" i="16"/>
  <c r="G450" i="16"/>
  <c r="H450" i="16"/>
  <c r="C451" i="16"/>
  <c r="E451" i="16"/>
  <c r="F451" i="16"/>
  <c r="G451" i="16"/>
  <c r="H451" i="16"/>
  <c r="C452" i="16"/>
  <c r="E452" i="16"/>
  <c r="F452" i="16"/>
  <c r="G452" i="16"/>
  <c r="H452" i="16"/>
  <c r="C453" i="16"/>
  <c r="E453" i="16"/>
  <c r="F453" i="16"/>
  <c r="G453" i="16"/>
  <c r="H453" i="16"/>
  <c r="C454" i="16"/>
  <c r="E454" i="16"/>
  <c r="F454" i="16"/>
  <c r="G454" i="16"/>
  <c r="H454" i="16"/>
  <c r="C455" i="16"/>
  <c r="E455" i="16"/>
  <c r="F455" i="16"/>
  <c r="G455" i="16"/>
  <c r="H455" i="16"/>
  <c r="C456" i="16"/>
  <c r="E456" i="16"/>
  <c r="F456" i="16"/>
  <c r="G456" i="16"/>
  <c r="H456" i="16"/>
  <c r="C457" i="16"/>
  <c r="E457" i="16"/>
  <c r="F457" i="16"/>
  <c r="G457" i="16"/>
  <c r="H457" i="16"/>
  <c r="C458" i="16"/>
  <c r="E458" i="16"/>
  <c r="F458" i="16"/>
  <c r="G458" i="16"/>
  <c r="H458" i="16"/>
  <c r="C459" i="16"/>
  <c r="E459" i="16"/>
  <c r="F459" i="16"/>
  <c r="G459" i="16"/>
  <c r="H459" i="16"/>
  <c r="C460" i="16"/>
  <c r="E460" i="16"/>
  <c r="F460" i="16"/>
  <c r="G460" i="16"/>
  <c r="H460" i="16"/>
  <c r="C461" i="16"/>
  <c r="E461" i="16"/>
  <c r="F461" i="16"/>
  <c r="G461" i="16"/>
  <c r="H461" i="16"/>
  <c r="C462" i="16"/>
  <c r="E462" i="16"/>
  <c r="F462" i="16"/>
  <c r="G462" i="16"/>
  <c r="H462" i="16"/>
  <c r="C463" i="16"/>
  <c r="E463" i="16"/>
  <c r="F463" i="16"/>
  <c r="G463" i="16"/>
  <c r="H463" i="16"/>
  <c r="E464" i="16"/>
  <c r="F464" i="16"/>
  <c r="G464" i="16"/>
  <c r="E465" i="16"/>
  <c r="F465" i="16"/>
  <c r="G465" i="16"/>
  <c r="E466" i="16"/>
  <c r="F466" i="16"/>
  <c r="G466" i="16"/>
  <c r="E467" i="16"/>
  <c r="F467" i="16"/>
  <c r="G467" i="16"/>
  <c r="E468" i="16"/>
  <c r="F468" i="16"/>
  <c r="G468" i="16"/>
  <c r="C469" i="16"/>
  <c r="E469" i="16"/>
  <c r="F469" i="16"/>
  <c r="G469" i="16"/>
  <c r="C470" i="16"/>
  <c r="E470" i="16"/>
  <c r="F470" i="16"/>
  <c r="G470" i="16"/>
  <c r="H470" i="16"/>
  <c r="C471" i="16"/>
  <c r="E471" i="16"/>
  <c r="F471" i="16"/>
  <c r="G471" i="16"/>
  <c r="H471" i="16"/>
  <c r="C472" i="16"/>
  <c r="E472" i="16"/>
  <c r="F472" i="16"/>
  <c r="G472" i="16"/>
  <c r="H472" i="16"/>
  <c r="C473" i="16"/>
  <c r="E473" i="16"/>
  <c r="F473" i="16"/>
  <c r="G473" i="16"/>
  <c r="H473" i="16"/>
  <c r="C474" i="16"/>
  <c r="E474" i="16"/>
  <c r="F474" i="16"/>
  <c r="G474" i="16"/>
  <c r="H474" i="16"/>
  <c r="C475" i="16"/>
  <c r="E475" i="16"/>
  <c r="F475" i="16"/>
  <c r="G475" i="16"/>
  <c r="H475" i="16"/>
  <c r="C476" i="16"/>
  <c r="E476" i="16"/>
  <c r="F476" i="16"/>
  <c r="G476" i="16"/>
  <c r="H476" i="16"/>
  <c r="C477" i="16"/>
  <c r="E477" i="16"/>
  <c r="F477" i="16"/>
  <c r="G477" i="16"/>
  <c r="H477" i="16"/>
  <c r="C478" i="16"/>
  <c r="E478" i="16"/>
  <c r="F478" i="16"/>
  <c r="G478" i="16"/>
  <c r="H478" i="16"/>
  <c r="C479" i="16"/>
  <c r="E479" i="16"/>
  <c r="F479" i="16"/>
  <c r="G479" i="16"/>
  <c r="H479" i="16"/>
  <c r="C480" i="16"/>
  <c r="E480" i="16"/>
  <c r="F480" i="16"/>
  <c r="G480" i="16"/>
  <c r="H480" i="16"/>
  <c r="C481" i="16"/>
  <c r="E481" i="16"/>
  <c r="F481" i="16"/>
  <c r="G481" i="16"/>
  <c r="H481" i="16"/>
  <c r="C482" i="16"/>
  <c r="E482" i="16"/>
  <c r="F482" i="16"/>
  <c r="G482" i="16"/>
  <c r="H482" i="16"/>
  <c r="C483" i="16"/>
  <c r="E483" i="16"/>
  <c r="F483" i="16"/>
  <c r="G483" i="16"/>
  <c r="H483" i="16"/>
  <c r="C484" i="16"/>
  <c r="E484" i="16"/>
  <c r="F484" i="16"/>
  <c r="G484" i="16"/>
  <c r="H484" i="16"/>
  <c r="C485" i="16"/>
  <c r="E485" i="16"/>
  <c r="F485" i="16"/>
  <c r="G485" i="16"/>
  <c r="H485" i="16"/>
  <c r="C486" i="16"/>
  <c r="E486" i="16"/>
  <c r="F486" i="16"/>
  <c r="G486" i="16"/>
  <c r="H486" i="16"/>
  <c r="C487" i="16"/>
  <c r="E487" i="16"/>
  <c r="F487" i="16"/>
  <c r="G487" i="16"/>
  <c r="H487" i="16"/>
  <c r="C488" i="16"/>
  <c r="E488" i="16"/>
  <c r="F488" i="16"/>
  <c r="G488" i="16"/>
  <c r="H488" i="16"/>
  <c r="C489" i="16"/>
  <c r="E489" i="16"/>
  <c r="F489" i="16"/>
  <c r="G489" i="16"/>
  <c r="H489" i="16"/>
  <c r="C490" i="16"/>
  <c r="E490" i="16"/>
  <c r="F490" i="16"/>
  <c r="G490" i="16"/>
  <c r="H490" i="16"/>
  <c r="C491" i="16"/>
  <c r="E491" i="16"/>
  <c r="F491" i="16"/>
  <c r="G491" i="16"/>
  <c r="H491" i="16"/>
  <c r="C492" i="16"/>
  <c r="E492" i="16"/>
  <c r="F492" i="16"/>
  <c r="G492" i="16"/>
  <c r="H492" i="16"/>
  <c r="C493" i="16"/>
  <c r="E493" i="16"/>
  <c r="F493" i="16"/>
  <c r="G493" i="16"/>
  <c r="H493" i="16"/>
  <c r="C494" i="16"/>
  <c r="E494" i="16"/>
  <c r="F494" i="16"/>
  <c r="G494" i="16"/>
  <c r="H494" i="16"/>
  <c r="C495" i="16"/>
  <c r="E495" i="16"/>
  <c r="F495" i="16"/>
  <c r="G495" i="16"/>
  <c r="H495" i="16"/>
  <c r="C496" i="16"/>
  <c r="E496" i="16"/>
  <c r="F496" i="16"/>
  <c r="G496" i="16"/>
  <c r="H496" i="16"/>
  <c r="C497" i="16"/>
  <c r="E497" i="16"/>
  <c r="F497" i="16"/>
  <c r="G497" i="16"/>
  <c r="H497" i="16"/>
  <c r="C498" i="16"/>
  <c r="E498" i="16"/>
  <c r="F498" i="16"/>
  <c r="G498" i="16"/>
  <c r="H498" i="16"/>
  <c r="C499" i="16"/>
  <c r="E499" i="16"/>
  <c r="F499" i="16"/>
  <c r="G499" i="16"/>
  <c r="H499" i="16"/>
  <c r="C500" i="16"/>
  <c r="E500" i="16"/>
  <c r="F500" i="16"/>
  <c r="G500" i="16"/>
  <c r="H500" i="16"/>
  <c r="C501" i="16"/>
  <c r="E501" i="16"/>
  <c r="F501" i="16"/>
  <c r="G501" i="16"/>
  <c r="H501" i="16"/>
  <c r="C502" i="16"/>
  <c r="E502" i="16"/>
  <c r="F502" i="16"/>
  <c r="G502" i="16"/>
  <c r="H502" i="16"/>
  <c r="C503" i="16"/>
  <c r="E503" i="16"/>
  <c r="F503" i="16"/>
  <c r="G503" i="16"/>
  <c r="H503" i="16"/>
  <c r="C504" i="16"/>
  <c r="E504" i="16"/>
  <c r="F504" i="16"/>
  <c r="G504" i="16"/>
  <c r="H504" i="16"/>
  <c r="C505" i="16"/>
  <c r="E505" i="16"/>
  <c r="F505" i="16"/>
  <c r="G505" i="16"/>
  <c r="H505" i="16"/>
  <c r="C506" i="16"/>
  <c r="E506" i="16"/>
  <c r="F506" i="16"/>
  <c r="G506" i="16"/>
  <c r="H506" i="16"/>
  <c r="C507" i="16"/>
  <c r="E507" i="16"/>
  <c r="F507" i="16"/>
  <c r="G507" i="16"/>
  <c r="H507" i="16"/>
  <c r="C508" i="16"/>
  <c r="E508" i="16"/>
  <c r="F508" i="16"/>
  <c r="G508" i="16"/>
  <c r="H508" i="16"/>
  <c r="C509" i="16"/>
  <c r="E509" i="16"/>
  <c r="F509" i="16"/>
  <c r="G509" i="16"/>
  <c r="H509" i="16"/>
  <c r="C510" i="16"/>
  <c r="E510" i="16"/>
  <c r="F510" i="16"/>
  <c r="G510" i="16"/>
  <c r="H510" i="16"/>
  <c r="C511" i="16"/>
  <c r="E511" i="16"/>
  <c r="F511" i="16"/>
  <c r="G511" i="16"/>
  <c r="H511" i="16"/>
  <c r="C512" i="16"/>
  <c r="E512" i="16"/>
  <c r="F512" i="16"/>
  <c r="G512" i="16"/>
  <c r="H512" i="16"/>
  <c r="C513" i="16"/>
  <c r="E513" i="16"/>
  <c r="F513" i="16"/>
  <c r="G513" i="16"/>
  <c r="H513" i="16"/>
  <c r="C514" i="16"/>
  <c r="E514" i="16"/>
  <c r="F514" i="16"/>
  <c r="G514" i="16"/>
  <c r="H514" i="16"/>
  <c r="C515" i="16"/>
  <c r="E515" i="16"/>
  <c r="F515" i="16"/>
  <c r="G515" i="16"/>
  <c r="H515" i="16"/>
  <c r="C516" i="16"/>
  <c r="E516" i="16"/>
  <c r="F516" i="16"/>
  <c r="G516" i="16"/>
  <c r="H516" i="16"/>
  <c r="C517" i="16"/>
  <c r="E517" i="16"/>
  <c r="F517" i="16"/>
  <c r="G517" i="16"/>
  <c r="H517" i="16"/>
  <c r="C518" i="16"/>
  <c r="E518" i="16"/>
  <c r="F518" i="16"/>
  <c r="G518" i="16"/>
  <c r="H518" i="16"/>
  <c r="C519" i="16"/>
  <c r="E519" i="16"/>
  <c r="F519" i="16"/>
  <c r="G519" i="16"/>
  <c r="H519" i="16"/>
  <c r="C520" i="16"/>
  <c r="E520" i="16"/>
  <c r="F520" i="16"/>
  <c r="G520" i="16"/>
  <c r="H520" i="16"/>
  <c r="C521" i="16"/>
  <c r="E521" i="16"/>
  <c r="F521" i="16"/>
  <c r="G521" i="16"/>
  <c r="H521" i="16"/>
  <c r="C522" i="16"/>
  <c r="E522" i="16"/>
  <c r="F522" i="16"/>
  <c r="G522" i="16"/>
  <c r="H522" i="16"/>
  <c r="C523" i="16"/>
  <c r="E523" i="16"/>
  <c r="F523" i="16"/>
  <c r="G523" i="16"/>
  <c r="H523" i="16"/>
  <c r="C524" i="16"/>
  <c r="E524" i="16"/>
  <c r="F524" i="16"/>
  <c r="G524" i="16"/>
  <c r="H524" i="16"/>
  <c r="C525" i="16"/>
  <c r="E525" i="16"/>
  <c r="F525" i="16"/>
  <c r="G525" i="16"/>
  <c r="H525" i="16"/>
  <c r="C526" i="16"/>
  <c r="E526" i="16"/>
  <c r="F526" i="16"/>
  <c r="G526" i="16"/>
  <c r="H526" i="16"/>
  <c r="C527" i="16"/>
  <c r="E527" i="16"/>
  <c r="F527" i="16"/>
  <c r="G527" i="16"/>
  <c r="H527" i="16"/>
  <c r="C528" i="16"/>
  <c r="E528" i="16"/>
  <c r="F528" i="16"/>
  <c r="G528" i="16"/>
  <c r="H528" i="16"/>
  <c r="C529" i="16"/>
  <c r="E529" i="16"/>
  <c r="F529" i="16"/>
  <c r="G529" i="16"/>
  <c r="H529" i="16"/>
  <c r="C530" i="16"/>
  <c r="E530" i="16"/>
  <c r="F530" i="16"/>
  <c r="G530" i="16"/>
  <c r="H530" i="16"/>
  <c r="C531" i="16"/>
  <c r="E531" i="16"/>
  <c r="F531" i="16"/>
  <c r="G531" i="16"/>
  <c r="H531" i="16"/>
  <c r="C532" i="16"/>
  <c r="E532" i="16"/>
  <c r="F532" i="16"/>
  <c r="G532" i="16"/>
  <c r="H532" i="16"/>
  <c r="C533" i="16"/>
  <c r="E533" i="16"/>
  <c r="F533" i="16"/>
  <c r="G533" i="16"/>
  <c r="H533" i="16"/>
  <c r="C534" i="16"/>
  <c r="E534" i="16"/>
  <c r="F534" i="16"/>
  <c r="G534" i="16"/>
  <c r="H534" i="16"/>
  <c r="C535" i="16"/>
  <c r="E535" i="16"/>
  <c r="F535" i="16"/>
  <c r="G535" i="16"/>
  <c r="H535" i="16"/>
  <c r="C536" i="16"/>
  <c r="E536" i="16"/>
  <c r="F536" i="16"/>
  <c r="G536" i="16"/>
  <c r="H536" i="16"/>
  <c r="C537" i="16"/>
  <c r="E537" i="16"/>
  <c r="F537" i="16"/>
  <c r="G537" i="16"/>
  <c r="H537" i="16"/>
  <c r="C538" i="16"/>
  <c r="E538" i="16"/>
  <c r="F538" i="16"/>
  <c r="G538" i="16"/>
  <c r="H538" i="16"/>
  <c r="C539" i="16"/>
  <c r="E539" i="16"/>
  <c r="F539" i="16"/>
  <c r="G539" i="16"/>
  <c r="H539" i="16"/>
  <c r="C540" i="16"/>
  <c r="E540" i="16"/>
  <c r="F540" i="16"/>
  <c r="G540" i="16"/>
  <c r="H540" i="16"/>
  <c r="C541" i="16"/>
  <c r="E541" i="16"/>
  <c r="F541" i="16"/>
  <c r="G541" i="16"/>
  <c r="H541" i="16"/>
  <c r="C542" i="16"/>
  <c r="E542" i="16"/>
  <c r="F542" i="16"/>
  <c r="G542" i="16"/>
  <c r="H542" i="16"/>
  <c r="C543" i="16"/>
  <c r="E543" i="16"/>
  <c r="F543" i="16"/>
  <c r="G543" i="16"/>
  <c r="H543" i="16"/>
  <c r="C544" i="16"/>
  <c r="E544" i="16"/>
  <c r="F544" i="16"/>
  <c r="G544" i="16"/>
  <c r="H544" i="16"/>
  <c r="C545" i="16"/>
  <c r="E545" i="16"/>
  <c r="F545" i="16"/>
  <c r="G545" i="16"/>
  <c r="H545" i="16"/>
  <c r="C546" i="16"/>
  <c r="E546" i="16"/>
  <c r="F546" i="16"/>
  <c r="G546" i="16"/>
  <c r="H546" i="16"/>
  <c r="C547" i="16"/>
  <c r="E547" i="16"/>
  <c r="F547" i="16"/>
  <c r="G547" i="16"/>
  <c r="H547" i="16"/>
  <c r="C548" i="16"/>
  <c r="E548" i="16"/>
  <c r="F548" i="16"/>
  <c r="G548" i="16"/>
  <c r="H548" i="16"/>
  <c r="C549" i="16"/>
  <c r="E549" i="16"/>
  <c r="F549" i="16"/>
  <c r="G549" i="16"/>
  <c r="H549" i="16"/>
  <c r="C550" i="16"/>
  <c r="E550" i="16"/>
  <c r="F550" i="16"/>
  <c r="G550" i="16"/>
  <c r="H550" i="16"/>
  <c r="C551" i="16"/>
  <c r="E551" i="16"/>
  <c r="F551" i="16"/>
  <c r="G551" i="16"/>
  <c r="H551" i="16"/>
  <c r="C552" i="16"/>
  <c r="E552" i="16"/>
  <c r="F552" i="16"/>
  <c r="G552" i="16"/>
  <c r="H552" i="16"/>
  <c r="C553" i="16"/>
  <c r="E553" i="16"/>
  <c r="F553" i="16"/>
  <c r="G553" i="16"/>
  <c r="H553" i="16"/>
  <c r="C554" i="16"/>
  <c r="E554" i="16"/>
  <c r="F554" i="16"/>
  <c r="G554" i="16"/>
  <c r="H554" i="16"/>
  <c r="C555" i="16"/>
  <c r="E555" i="16"/>
  <c r="F555" i="16"/>
  <c r="G555" i="16"/>
  <c r="H555" i="16"/>
  <c r="C556" i="16"/>
  <c r="E556" i="16"/>
  <c r="F556" i="16"/>
  <c r="G556" i="16"/>
  <c r="H556" i="16"/>
  <c r="C557" i="16"/>
  <c r="E557" i="16"/>
  <c r="F557" i="16"/>
  <c r="G557" i="16"/>
  <c r="H557" i="16"/>
  <c r="C558" i="16"/>
  <c r="E558" i="16"/>
  <c r="F558" i="16"/>
  <c r="G558" i="16"/>
  <c r="H558" i="16"/>
  <c r="C559" i="16"/>
  <c r="E559" i="16"/>
  <c r="F559" i="16"/>
  <c r="G559" i="16"/>
  <c r="H559" i="16"/>
  <c r="C560" i="16"/>
  <c r="E560" i="16"/>
  <c r="F560" i="16"/>
  <c r="G560" i="16"/>
  <c r="H560" i="16"/>
  <c r="C561" i="16"/>
  <c r="E561" i="16"/>
  <c r="F561" i="16"/>
  <c r="G561" i="16"/>
  <c r="H561" i="16"/>
  <c r="C562" i="16"/>
  <c r="E562" i="16"/>
  <c r="F562" i="16"/>
  <c r="G562" i="16"/>
  <c r="H562" i="16"/>
  <c r="C563" i="16"/>
  <c r="E563" i="16"/>
  <c r="F563" i="16"/>
  <c r="G563" i="16"/>
  <c r="H563" i="16"/>
  <c r="C564" i="16"/>
  <c r="E564" i="16"/>
  <c r="F564" i="16"/>
  <c r="G564" i="16"/>
  <c r="H564" i="16"/>
  <c r="C565" i="16"/>
  <c r="E565" i="16"/>
  <c r="F565" i="16"/>
  <c r="G565" i="16"/>
  <c r="H565" i="16"/>
  <c r="C566" i="16"/>
  <c r="E566" i="16"/>
  <c r="F566" i="16"/>
  <c r="G566" i="16"/>
  <c r="H566" i="16"/>
  <c r="C567" i="16"/>
  <c r="E567" i="16"/>
  <c r="F567" i="16"/>
  <c r="G567" i="16"/>
  <c r="H567" i="16"/>
  <c r="C568" i="16"/>
  <c r="E568" i="16"/>
  <c r="F568" i="16"/>
  <c r="G568" i="16"/>
  <c r="H568" i="16"/>
  <c r="C569" i="16"/>
  <c r="E569" i="16"/>
  <c r="F569" i="16"/>
  <c r="G569" i="16"/>
  <c r="H569" i="16"/>
  <c r="C570" i="16"/>
  <c r="E570" i="16"/>
  <c r="F570" i="16"/>
  <c r="G570" i="16"/>
  <c r="H570" i="16"/>
  <c r="C571" i="16"/>
  <c r="E571" i="16"/>
  <c r="F571" i="16"/>
  <c r="G571" i="16"/>
  <c r="H571" i="16"/>
  <c r="C572" i="16"/>
  <c r="E572" i="16"/>
  <c r="F572" i="16"/>
  <c r="G572" i="16"/>
  <c r="H572" i="16"/>
  <c r="C573" i="16"/>
  <c r="E573" i="16"/>
  <c r="F573" i="16"/>
  <c r="G573" i="16"/>
  <c r="H573" i="16"/>
  <c r="C574" i="16"/>
  <c r="E574" i="16"/>
  <c r="F574" i="16"/>
  <c r="G574" i="16"/>
  <c r="H574" i="16"/>
  <c r="C575" i="16"/>
  <c r="E575" i="16"/>
  <c r="F575" i="16"/>
  <c r="G575" i="16"/>
  <c r="H575" i="16"/>
  <c r="C576" i="16"/>
  <c r="E576" i="16"/>
  <c r="F576" i="16"/>
  <c r="G576" i="16"/>
  <c r="H576" i="16"/>
  <c r="C577" i="16"/>
  <c r="E577" i="16"/>
  <c r="F577" i="16"/>
  <c r="G577" i="16"/>
  <c r="H577" i="16"/>
  <c r="C578" i="16"/>
  <c r="E578" i="16"/>
  <c r="F578" i="16"/>
  <c r="C579" i="16"/>
  <c r="E579" i="16"/>
  <c r="F579" i="16"/>
  <c r="G579" i="16"/>
  <c r="C580" i="16"/>
  <c r="E580" i="16"/>
  <c r="F580" i="16"/>
  <c r="G580" i="16"/>
  <c r="H580" i="16"/>
  <c r="C581" i="16"/>
  <c r="E581" i="16"/>
  <c r="F581" i="16"/>
  <c r="G581" i="16"/>
  <c r="H581" i="16"/>
  <c r="C582" i="16"/>
  <c r="E582" i="16"/>
  <c r="F582" i="16"/>
  <c r="G582" i="16"/>
  <c r="H582" i="16"/>
  <c r="C583" i="16"/>
  <c r="E583" i="16"/>
  <c r="F583" i="16"/>
  <c r="G583" i="16"/>
  <c r="H583" i="16"/>
  <c r="C584" i="16"/>
  <c r="E584" i="16"/>
  <c r="F584" i="16"/>
  <c r="G584" i="16"/>
  <c r="H584" i="16"/>
  <c r="C585" i="16"/>
  <c r="E585" i="16"/>
  <c r="F585" i="16"/>
  <c r="G585" i="16"/>
  <c r="H585" i="16"/>
  <c r="C586" i="16"/>
  <c r="E586" i="16"/>
  <c r="F586" i="16"/>
  <c r="G586" i="16"/>
  <c r="H586" i="16"/>
  <c r="C587" i="16"/>
  <c r="E587" i="16"/>
  <c r="F587" i="16"/>
  <c r="G587" i="16"/>
  <c r="H587" i="16"/>
  <c r="C588" i="16"/>
  <c r="E588" i="16"/>
  <c r="F588" i="16"/>
  <c r="G588" i="16"/>
  <c r="H588" i="16"/>
  <c r="C589" i="16"/>
  <c r="E589" i="16"/>
  <c r="F589" i="16"/>
  <c r="G589" i="16"/>
  <c r="H589" i="16"/>
  <c r="C590" i="16"/>
  <c r="E590" i="16"/>
  <c r="F590" i="16"/>
  <c r="G590" i="16"/>
  <c r="H590" i="16"/>
  <c r="C591" i="16"/>
  <c r="E591" i="16"/>
  <c r="F591" i="16"/>
  <c r="G591" i="16"/>
  <c r="H591" i="16"/>
  <c r="C592" i="16"/>
  <c r="E592" i="16"/>
  <c r="F592" i="16"/>
  <c r="G592" i="16"/>
  <c r="H592" i="16"/>
  <c r="C593" i="16"/>
  <c r="E593" i="16"/>
  <c r="F593" i="16"/>
  <c r="G593" i="16"/>
  <c r="H593" i="16"/>
  <c r="C594" i="16"/>
  <c r="E594" i="16"/>
  <c r="F594" i="16"/>
  <c r="G594" i="16"/>
  <c r="H594" i="16" s="1"/>
  <c r="C595" i="16"/>
  <c r="E595" i="16"/>
  <c r="F595" i="16"/>
  <c r="G595" i="16"/>
  <c r="H595" i="16"/>
  <c r="C596" i="16"/>
  <c r="E596" i="16"/>
  <c r="F596" i="16"/>
  <c r="G596" i="16"/>
  <c r="H596" i="16"/>
  <c r="C597" i="16"/>
  <c r="E597" i="16"/>
  <c r="F597" i="16"/>
  <c r="G597" i="16"/>
  <c r="H597" i="16"/>
  <c r="C598" i="16"/>
  <c r="E598" i="16"/>
  <c r="F598" i="16"/>
  <c r="G598" i="16"/>
  <c r="H598" i="16"/>
  <c r="C599" i="16"/>
  <c r="E599" i="16"/>
  <c r="F599" i="16"/>
  <c r="G599" i="16"/>
  <c r="H599" i="16"/>
  <c r="C600" i="16"/>
  <c r="E600" i="16"/>
  <c r="F600" i="16"/>
  <c r="G600" i="16"/>
  <c r="H600" i="16"/>
  <c r="C601" i="16"/>
  <c r="E601" i="16"/>
  <c r="F601" i="16"/>
  <c r="G601" i="16"/>
  <c r="H601" i="16"/>
  <c r="C602" i="16"/>
  <c r="E602" i="16"/>
  <c r="F602" i="16"/>
  <c r="G602" i="16"/>
  <c r="H602" i="16"/>
  <c r="C603" i="16"/>
  <c r="E603" i="16"/>
  <c r="F603" i="16"/>
  <c r="G603" i="16"/>
  <c r="H603" i="16"/>
  <c r="C604" i="16"/>
  <c r="E604" i="16"/>
  <c r="F604" i="16"/>
  <c r="G604" i="16"/>
  <c r="H604" i="16"/>
  <c r="C605" i="16"/>
  <c r="E605" i="16"/>
  <c r="F605" i="16"/>
  <c r="G605" i="16"/>
  <c r="H605" i="16"/>
  <c r="C606" i="16"/>
  <c r="E606" i="16"/>
  <c r="F606" i="16"/>
  <c r="G606" i="16"/>
  <c r="H606" i="16"/>
  <c r="C607" i="16"/>
  <c r="E607" i="16"/>
  <c r="F607" i="16"/>
  <c r="G607" i="16"/>
  <c r="H607" i="16"/>
  <c r="C608" i="16"/>
  <c r="E608" i="16"/>
  <c r="F608" i="16"/>
  <c r="G608" i="16"/>
  <c r="H608" i="16"/>
  <c r="C609" i="16"/>
  <c r="E609" i="16"/>
  <c r="F609" i="16"/>
  <c r="G609" i="16"/>
  <c r="H609" i="16"/>
  <c r="C610" i="16"/>
  <c r="E610" i="16"/>
  <c r="F610" i="16"/>
  <c r="G610" i="16"/>
  <c r="H610" i="16"/>
  <c r="C611" i="16"/>
  <c r="E611" i="16"/>
  <c r="F611" i="16"/>
  <c r="G611" i="16"/>
  <c r="H611" i="16"/>
  <c r="C612" i="16"/>
  <c r="E612" i="16"/>
  <c r="F612" i="16"/>
  <c r="C613" i="16"/>
  <c r="E613" i="16"/>
  <c r="F613" i="16"/>
  <c r="C614" i="16"/>
  <c r="E614" i="16"/>
  <c r="F614" i="16"/>
  <c r="G614" i="16"/>
  <c r="C615" i="16"/>
  <c r="E615" i="16"/>
  <c r="F615" i="16"/>
  <c r="C616" i="16"/>
  <c r="E616" i="16"/>
  <c r="F616" i="16"/>
  <c r="G616" i="16"/>
  <c r="C617" i="16"/>
  <c r="E617" i="16"/>
  <c r="F617" i="16"/>
  <c r="C618" i="16"/>
  <c r="E618" i="16"/>
  <c r="F618" i="16"/>
  <c r="G618" i="16"/>
  <c r="C619" i="16"/>
  <c r="E619" i="16"/>
  <c r="F619" i="16"/>
  <c r="C620" i="16"/>
  <c r="E620" i="16"/>
  <c r="F620" i="16"/>
  <c r="C621" i="16"/>
  <c r="E621" i="16"/>
  <c r="F621" i="16"/>
  <c r="C622" i="16"/>
  <c r="E622" i="16"/>
  <c r="F622" i="16"/>
  <c r="C623" i="16"/>
  <c r="E623" i="16"/>
  <c r="F623" i="16"/>
  <c r="G623" i="16"/>
  <c r="C624" i="16"/>
  <c r="E624" i="16"/>
  <c r="F624" i="16"/>
  <c r="C625" i="16"/>
  <c r="E625" i="16"/>
  <c r="F625" i="16"/>
  <c r="C626" i="16"/>
  <c r="E626" i="16"/>
  <c r="F626" i="16"/>
  <c r="C627" i="16"/>
  <c r="E627" i="16"/>
  <c r="F627" i="16"/>
  <c r="G627" i="16"/>
  <c r="C628" i="16"/>
  <c r="E628" i="16"/>
  <c r="F628" i="16"/>
  <c r="G628" i="16"/>
  <c r="H628" i="16"/>
  <c r="C629" i="16"/>
  <c r="E629" i="16"/>
  <c r="F629" i="16"/>
  <c r="C630" i="16"/>
  <c r="E630" i="16"/>
  <c r="F630" i="16"/>
  <c r="C631" i="16"/>
  <c r="E631" i="16"/>
  <c r="F631" i="16"/>
  <c r="C632" i="16"/>
  <c r="E632" i="16"/>
  <c r="F632" i="16"/>
  <c r="C633" i="16"/>
  <c r="E633" i="16"/>
  <c r="F633" i="16"/>
  <c r="C634" i="16"/>
  <c r="E634" i="16"/>
  <c r="F634" i="16"/>
  <c r="C635" i="16"/>
  <c r="E635" i="16"/>
  <c r="F635" i="16"/>
  <c r="G635" i="16"/>
  <c r="C636" i="16"/>
  <c r="E636" i="16"/>
  <c r="F636" i="16"/>
  <c r="C637" i="16"/>
  <c r="E637" i="16"/>
  <c r="F637" i="16"/>
  <c r="C638" i="16"/>
  <c r="E638" i="16"/>
  <c r="F638" i="16"/>
  <c r="C639" i="16"/>
  <c r="E639" i="16"/>
  <c r="F639" i="16"/>
  <c r="G639" i="16"/>
  <c r="C640" i="16"/>
  <c r="E640" i="16"/>
  <c r="F640" i="16"/>
  <c r="G640" i="16"/>
  <c r="H640" i="16"/>
  <c r="C641" i="16"/>
  <c r="E641" i="16"/>
  <c r="F641" i="16"/>
  <c r="G641" i="16"/>
  <c r="H641" i="16"/>
  <c r="C642" i="16"/>
  <c r="E642" i="16"/>
  <c r="F642" i="16"/>
  <c r="C643" i="16"/>
  <c r="E643" i="16"/>
  <c r="F643" i="16"/>
  <c r="G643" i="16"/>
  <c r="C644" i="16"/>
  <c r="E644" i="16"/>
  <c r="F644" i="16"/>
  <c r="G644" i="16"/>
  <c r="H644" i="16"/>
  <c r="C645" i="16"/>
  <c r="E645" i="16"/>
  <c r="F645" i="16"/>
  <c r="G645" i="16"/>
  <c r="H645" i="16"/>
  <c r="C646" i="16"/>
  <c r="E646" i="16"/>
  <c r="F646" i="16"/>
  <c r="G646" i="16"/>
  <c r="H646" i="16"/>
  <c r="C647" i="16"/>
  <c r="E647" i="16"/>
  <c r="F647" i="16"/>
  <c r="C648" i="16"/>
  <c r="E648" i="16"/>
  <c r="F648" i="16"/>
  <c r="C649" i="16"/>
  <c r="E649" i="16"/>
  <c r="F649" i="16"/>
  <c r="G649" i="16"/>
  <c r="C650" i="16"/>
  <c r="E650" i="16"/>
  <c r="F650" i="16"/>
  <c r="G650" i="16"/>
  <c r="H650" i="16"/>
  <c r="C651" i="16"/>
  <c r="E651" i="16"/>
  <c r="F651" i="16"/>
  <c r="G651" i="16"/>
  <c r="C652" i="16"/>
  <c r="E652" i="16"/>
  <c r="F652" i="16"/>
  <c r="G652" i="16"/>
  <c r="C653" i="16"/>
  <c r="E653" i="16"/>
  <c r="F653" i="16"/>
  <c r="G653" i="16"/>
  <c r="H653" i="16"/>
  <c r="C654" i="16"/>
  <c r="E654" i="16"/>
  <c r="F654" i="16"/>
  <c r="C655" i="16"/>
  <c r="E655" i="16"/>
  <c r="F655" i="16"/>
  <c r="G655" i="16"/>
  <c r="C656" i="16"/>
  <c r="E656" i="16"/>
  <c r="F656" i="16"/>
  <c r="G656" i="16"/>
  <c r="H656" i="16"/>
  <c r="C657" i="16"/>
  <c r="E657" i="16"/>
  <c r="F657" i="16"/>
  <c r="G657" i="16"/>
  <c r="H657" i="16"/>
  <c r="C658" i="16"/>
  <c r="E658" i="16"/>
  <c r="F658" i="16"/>
  <c r="G658" i="16"/>
  <c r="H658" i="16"/>
  <c r="C659" i="16"/>
  <c r="E659" i="16"/>
  <c r="F659" i="16"/>
  <c r="C660" i="16"/>
  <c r="E660" i="16"/>
  <c r="F660" i="16"/>
  <c r="G660" i="16"/>
  <c r="C661" i="16"/>
  <c r="E661" i="16"/>
  <c r="F661" i="16"/>
  <c r="G661" i="16"/>
  <c r="H661" i="16"/>
  <c r="C662" i="16"/>
  <c r="E662" i="16"/>
  <c r="F662" i="16"/>
  <c r="G662" i="16"/>
  <c r="H662" i="16"/>
  <c r="C663" i="16"/>
  <c r="E663" i="16"/>
  <c r="F663" i="16"/>
  <c r="G663" i="16"/>
  <c r="H663" i="16"/>
  <c r="C664" i="16"/>
  <c r="E664" i="16"/>
  <c r="F664" i="16"/>
  <c r="C665" i="16"/>
  <c r="E665" i="16"/>
  <c r="F665" i="16"/>
  <c r="G665" i="16"/>
  <c r="C666" i="16"/>
  <c r="E666" i="16"/>
  <c r="F666" i="16"/>
  <c r="G666" i="16"/>
  <c r="H666" i="16"/>
  <c r="C667" i="16"/>
  <c r="E667" i="16"/>
  <c r="F667" i="16"/>
  <c r="G667" i="16"/>
  <c r="H667" i="16"/>
  <c r="C668" i="16"/>
  <c r="E668" i="16"/>
  <c r="F668" i="16"/>
  <c r="G668" i="16"/>
  <c r="H668" i="16"/>
  <c r="C669" i="16"/>
  <c r="E669" i="16"/>
  <c r="F669" i="16"/>
  <c r="C670" i="16"/>
  <c r="E670" i="16"/>
  <c r="F670" i="16"/>
  <c r="C671" i="16"/>
  <c r="E671" i="16"/>
  <c r="F671" i="16"/>
  <c r="C672" i="16"/>
  <c r="E672" i="16"/>
  <c r="F672" i="16"/>
  <c r="C673" i="16"/>
  <c r="E673" i="16"/>
  <c r="F673" i="16"/>
  <c r="C674" i="16"/>
  <c r="E674" i="16"/>
  <c r="F674" i="16"/>
  <c r="C675" i="16"/>
  <c r="E675" i="16"/>
  <c r="F675" i="16"/>
  <c r="C676" i="16"/>
  <c r="E676" i="16"/>
  <c r="F676" i="16"/>
  <c r="C677" i="16"/>
  <c r="E677" i="16"/>
  <c r="F677" i="16"/>
  <c r="C678" i="16"/>
  <c r="E678" i="16"/>
  <c r="F678" i="16"/>
  <c r="G678" i="16"/>
  <c r="C679" i="16"/>
  <c r="E679" i="16"/>
  <c r="F679" i="16"/>
  <c r="G679" i="16"/>
  <c r="H679" i="16"/>
  <c r="C680" i="16"/>
  <c r="E680" i="16"/>
  <c r="F680" i="16"/>
  <c r="G680" i="16"/>
  <c r="H680" i="16"/>
  <c r="C681" i="16"/>
  <c r="E681" i="16"/>
  <c r="F681" i="16"/>
  <c r="C682" i="16"/>
  <c r="E682" i="16"/>
  <c r="F682" i="16"/>
  <c r="C683" i="16"/>
  <c r="E683" i="16"/>
  <c r="F683" i="16"/>
  <c r="C684" i="16"/>
  <c r="E684" i="16"/>
  <c r="F684" i="16"/>
  <c r="C685" i="16"/>
  <c r="E685" i="16"/>
  <c r="F685" i="16"/>
  <c r="C686" i="16"/>
  <c r="E686" i="16"/>
  <c r="F686" i="16"/>
  <c r="G686" i="16"/>
  <c r="E687" i="16"/>
  <c r="F687" i="16"/>
  <c r="G687" i="16"/>
  <c r="E688" i="16"/>
  <c r="F688" i="16"/>
  <c r="G688" i="16"/>
  <c r="E689" i="16"/>
  <c r="F689" i="16"/>
  <c r="G689" i="16"/>
  <c r="E690" i="16"/>
  <c r="F690" i="16"/>
  <c r="G690" i="16"/>
  <c r="E691" i="16"/>
  <c r="F691" i="16"/>
  <c r="G691" i="16"/>
  <c r="E692" i="16"/>
  <c r="F692" i="16"/>
  <c r="G692" i="16"/>
  <c r="E693" i="16"/>
  <c r="F693" i="16"/>
  <c r="G693" i="16"/>
  <c r="E694" i="16"/>
  <c r="F694" i="16"/>
  <c r="G694" i="16"/>
  <c r="E695" i="16"/>
  <c r="F695" i="16"/>
  <c r="G695" i="16"/>
  <c r="E696" i="16"/>
  <c r="F696" i="16"/>
  <c r="G696" i="16"/>
  <c r="E697" i="16"/>
  <c r="F697" i="16"/>
  <c r="G697" i="16"/>
  <c r="C698" i="16"/>
  <c r="E698" i="16"/>
  <c r="F698" i="16"/>
  <c r="G698" i="16"/>
  <c r="C699" i="16"/>
  <c r="E699" i="16"/>
  <c r="F699" i="16"/>
  <c r="G699" i="16"/>
  <c r="H699" i="16"/>
  <c r="C700" i="16"/>
  <c r="E700" i="16"/>
  <c r="F700" i="16"/>
  <c r="G700" i="16"/>
  <c r="H700" i="16"/>
  <c r="C701" i="16"/>
  <c r="E701" i="16"/>
  <c r="F701" i="16"/>
  <c r="G701" i="16"/>
  <c r="H701" i="16"/>
  <c r="C702" i="16"/>
  <c r="E702" i="16"/>
  <c r="F702" i="16"/>
  <c r="G702" i="16"/>
  <c r="H702" i="16"/>
  <c r="C703" i="16"/>
  <c r="E703" i="16"/>
  <c r="F703" i="16"/>
  <c r="G703" i="16"/>
  <c r="H703" i="16"/>
  <c r="C704" i="16"/>
  <c r="E704" i="16"/>
  <c r="F704" i="16"/>
  <c r="G704" i="16"/>
  <c r="H704" i="16"/>
  <c r="C705" i="16"/>
  <c r="E705" i="16"/>
  <c r="F705" i="16"/>
  <c r="G705" i="16"/>
  <c r="H705" i="16"/>
  <c r="C706" i="16"/>
  <c r="E706" i="16"/>
  <c r="F706" i="16"/>
  <c r="G706" i="16"/>
  <c r="H706" i="16"/>
  <c r="C707" i="16"/>
  <c r="E707" i="16"/>
  <c r="F707" i="16"/>
  <c r="G707" i="16"/>
  <c r="H707" i="16"/>
  <c r="C708" i="16"/>
  <c r="E708" i="16"/>
  <c r="F708" i="16"/>
  <c r="G708" i="16"/>
  <c r="H708" i="16"/>
  <c r="C709" i="16"/>
  <c r="E709" i="16"/>
  <c r="F709" i="16"/>
  <c r="G709" i="16"/>
  <c r="H709" i="16"/>
  <c r="B4" i="15"/>
  <c r="B10" i="15"/>
  <c r="C20" i="15"/>
  <c r="E20" i="15"/>
  <c r="B5" i="15" s="1"/>
  <c r="F20" i="15"/>
  <c r="G20" i="15"/>
  <c r="K20" i="15"/>
  <c r="C21" i="15"/>
  <c r="E21" i="15"/>
  <c r="F21" i="15"/>
  <c r="G21" i="15"/>
  <c r="H21" i="15"/>
  <c r="C22" i="15"/>
  <c r="E22" i="15"/>
  <c r="F22" i="15"/>
  <c r="G22" i="15"/>
  <c r="H22" i="15"/>
  <c r="C23" i="15"/>
  <c r="E23" i="15"/>
  <c r="F23" i="15"/>
  <c r="G23" i="15"/>
  <c r="H23" i="15"/>
  <c r="C24" i="15"/>
  <c r="E24" i="15"/>
  <c r="F24" i="15"/>
  <c r="G24" i="15"/>
  <c r="H24" i="15"/>
  <c r="C25" i="15"/>
  <c r="E25" i="15"/>
  <c r="F25" i="15"/>
  <c r="G25" i="15"/>
  <c r="H25" i="15"/>
  <c r="C26" i="15"/>
  <c r="E26" i="15"/>
  <c r="F26" i="15"/>
  <c r="G26" i="15"/>
  <c r="H26" i="15"/>
  <c r="C27" i="15"/>
  <c r="E27" i="15"/>
  <c r="F27" i="15"/>
  <c r="G27" i="15"/>
  <c r="H27" i="15"/>
  <c r="C28" i="15"/>
  <c r="E28" i="15"/>
  <c r="F28" i="15"/>
  <c r="G28" i="15"/>
  <c r="H28" i="15"/>
  <c r="C29" i="15"/>
  <c r="E29" i="15"/>
  <c r="F29" i="15"/>
  <c r="G29" i="15"/>
  <c r="H29" i="15"/>
  <c r="C30" i="15"/>
  <c r="E30" i="15"/>
  <c r="F30" i="15"/>
  <c r="G30" i="15"/>
  <c r="H30" i="15"/>
  <c r="C31" i="15"/>
  <c r="E31" i="15"/>
  <c r="F31" i="15"/>
  <c r="G31" i="15"/>
  <c r="H31" i="15"/>
  <c r="C32" i="15"/>
  <c r="E32" i="15"/>
  <c r="F32" i="15"/>
  <c r="G32" i="15"/>
  <c r="H32" i="15"/>
  <c r="C33" i="15"/>
  <c r="E33" i="15"/>
  <c r="F33" i="15"/>
  <c r="G33" i="15"/>
  <c r="H33" i="15"/>
  <c r="C34" i="15"/>
  <c r="E34" i="15"/>
  <c r="F34" i="15"/>
  <c r="G34" i="15"/>
  <c r="H34" i="15"/>
  <c r="C35" i="15"/>
  <c r="E35" i="15"/>
  <c r="F35" i="15"/>
  <c r="G35" i="15"/>
  <c r="H35" i="15"/>
  <c r="C36" i="15"/>
  <c r="E36" i="15"/>
  <c r="F36" i="15"/>
  <c r="G36" i="15"/>
  <c r="H36" i="15"/>
  <c r="C37" i="15"/>
  <c r="E37" i="15"/>
  <c r="F37" i="15"/>
  <c r="G37" i="15"/>
  <c r="H37" i="15"/>
  <c r="C38" i="15"/>
  <c r="E38" i="15"/>
  <c r="F38" i="15"/>
  <c r="G38" i="15"/>
  <c r="H38" i="15"/>
  <c r="C39" i="15"/>
  <c r="E39" i="15"/>
  <c r="F39" i="15"/>
  <c r="G39" i="15"/>
  <c r="H39" i="15"/>
  <c r="C40" i="15"/>
  <c r="E40" i="15"/>
  <c r="F40" i="15"/>
  <c r="G40" i="15"/>
  <c r="H40" i="15"/>
  <c r="C41" i="15"/>
  <c r="E41" i="15"/>
  <c r="F41" i="15"/>
  <c r="G41" i="15"/>
  <c r="H41" i="15"/>
  <c r="C42" i="15"/>
  <c r="E42" i="15"/>
  <c r="F42" i="15"/>
  <c r="G42" i="15"/>
  <c r="H42" i="15"/>
  <c r="C43" i="15"/>
  <c r="E43" i="15"/>
  <c r="F43" i="15"/>
  <c r="G43" i="15"/>
  <c r="H43" i="15"/>
  <c r="C44" i="15"/>
  <c r="E44" i="15"/>
  <c r="F44" i="15"/>
  <c r="G44" i="15"/>
  <c r="H44" i="15"/>
  <c r="C45" i="15"/>
  <c r="E45" i="15"/>
  <c r="F45" i="15"/>
  <c r="G45" i="15"/>
  <c r="H45" i="15"/>
  <c r="C46" i="15"/>
  <c r="E46" i="15"/>
  <c r="F46" i="15"/>
  <c r="G46" i="15"/>
  <c r="H46" i="15"/>
  <c r="C47" i="15"/>
  <c r="E47" i="15"/>
  <c r="F47" i="15"/>
  <c r="G47" i="15"/>
  <c r="H47" i="15"/>
  <c r="C48" i="15"/>
  <c r="E48" i="15"/>
  <c r="F48" i="15"/>
  <c r="G48" i="15"/>
  <c r="H48" i="15"/>
  <c r="C49" i="15"/>
  <c r="E49" i="15"/>
  <c r="F49" i="15"/>
  <c r="G49" i="15"/>
  <c r="H49" i="15"/>
  <c r="C50" i="15"/>
  <c r="E50" i="15"/>
  <c r="F50" i="15"/>
  <c r="G50" i="15"/>
  <c r="H50" i="15"/>
  <c r="C51" i="15"/>
  <c r="E51" i="15"/>
  <c r="F51" i="15"/>
  <c r="G51" i="15"/>
  <c r="H51" i="15"/>
  <c r="C52" i="15"/>
  <c r="E52" i="15"/>
  <c r="F52" i="15"/>
  <c r="G52" i="15"/>
  <c r="H52" i="15"/>
  <c r="C53" i="15"/>
  <c r="E53" i="15"/>
  <c r="F53" i="15"/>
  <c r="G53" i="15"/>
  <c r="H53" i="15"/>
  <c r="C54" i="15"/>
  <c r="E54" i="15"/>
  <c r="F54" i="15"/>
  <c r="G54" i="15"/>
  <c r="H54" i="15"/>
  <c r="C55" i="15"/>
  <c r="E55" i="15"/>
  <c r="F55" i="15"/>
  <c r="G55" i="15"/>
  <c r="H55" i="15"/>
  <c r="C56" i="15"/>
  <c r="E56" i="15"/>
  <c r="F56" i="15"/>
  <c r="G56" i="15"/>
  <c r="H56" i="15"/>
  <c r="C57" i="15"/>
  <c r="E57" i="15"/>
  <c r="F57" i="15"/>
  <c r="G57" i="15"/>
  <c r="H57" i="15"/>
  <c r="C58" i="15"/>
  <c r="E58" i="15"/>
  <c r="F58" i="15"/>
  <c r="G58" i="15"/>
  <c r="H58" i="15"/>
  <c r="C59" i="15"/>
  <c r="E59" i="15"/>
  <c r="F59" i="15"/>
  <c r="G59" i="15"/>
  <c r="H59" i="15"/>
  <c r="C60" i="15"/>
  <c r="E60" i="15"/>
  <c r="F60" i="15"/>
  <c r="G60" i="15"/>
  <c r="H60" i="15"/>
  <c r="C61" i="15"/>
  <c r="E61" i="15"/>
  <c r="F61" i="15"/>
  <c r="G61" i="15"/>
  <c r="H61" i="15"/>
  <c r="C62" i="15"/>
  <c r="E62" i="15"/>
  <c r="F62" i="15"/>
  <c r="G62" i="15"/>
  <c r="H62" i="15"/>
  <c r="C63" i="15"/>
  <c r="E63" i="15"/>
  <c r="F63" i="15"/>
  <c r="G63" i="15"/>
  <c r="H63" i="15"/>
  <c r="C64" i="15"/>
  <c r="E64" i="15"/>
  <c r="F64" i="15"/>
  <c r="G64" i="15"/>
  <c r="H64" i="15"/>
  <c r="C65" i="15"/>
  <c r="E65" i="15"/>
  <c r="F65" i="15"/>
  <c r="G65" i="15"/>
  <c r="H65" i="15"/>
  <c r="C66" i="15"/>
  <c r="E66" i="15"/>
  <c r="F66" i="15"/>
  <c r="G66" i="15"/>
  <c r="H66" i="15"/>
  <c r="C67" i="15"/>
  <c r="E67" i="15"/>
  <c r="F67" i="15"/>
  <c r="G67" i="15"/>
  <c r="H67" i="15"/>
  <c r="C68" i="15"/>
  <c r="E68" i="15"/>
  <c r="F68" i="15"/>
  <c r="G68" i="15"/>
  <c r="H68" i="15"/>
  <c r="C69" i="15"/>
  <c r="E69" i="15"/>
  <c r="F69" i="15"/>
  <c r="G69" i="15"/>
  <c r="H69" i="15"/>
  <c r="C70" i="15"/>
  <c r="E70" i="15"/>
  <c r="F70" i="15"/>
  <c r="G70" i="15"/>
  <c r="H70" i="15"/>
  <c r="C71" i="15"/>
  <c r="E71" i="15"/>
  <c r="F71" i="15"/>
  <c r="G71" i="15"/>
  <c r="H71" i="15"/>
  <c r="C72" i="15"/>
  <c r="E72" i="15"/>
  <c r="F72" i="15"/>
  <c r="G72" i="15"/>
  <c r="H72" i="15"/>
  <c r="C73" i="15"/>
  <c r="E73" i="15"/>
  <c r="F73" i="15"/>
  <c r="G73" i="15"/>
  <c r="H73" i="15"/>
  <c r="C74" i="15"/>
  <c r="E74" i="15"/>
  <c r="F74" i="15"/>
  <c r="G74" i="15"/>
  <c r="H74" i="15"/>
  <c r="C75" i="15"/>
  <c r="E75" i="15"/>
  <c r="F75" i="15"/>
  <c r="G75" i="15"/>
  <c r="H75" i="15"/>
  <c r="C76" i="15"/>
  <c r="E76" i="15"/>
  <c r="F76" i="15"/>
  <c r="G76" i="15"/>
  <c r="H76" i="15"/>
  <c r="C77" i="15"/>
  <c r="E77" i="15"/>
  <c r="F77" i="15"/>
  <c r="G77" i="15"/>
  <c r="H77" i="15"/>
  <c r="C78" i="15"/>
  <c r="E78" i="15"/>
  <c r="F78" i="15"/>
  <c r="G78" i="15"/>
  <c r="H78" i="15"/>
  <c r="C79" i="15"/>
  <c r="E79" i="15"/>
  <c r="F79" i="15"/>
  <c r="G79" i="15"/>
  <c r="H79" i="15"/>
  <c r="C80" i="15"/>
  <c r="E80" i="15"/>
  <c r="F80" i="15"/>
  <c r="G80" i="15"/>
  <c r="H80" i="15"/>
  <c r="C81" i="15"/>
  <c r="E81" i="15"/>
  <c r="F81" i="15"/>
  <c r="G81" i="15"/>
  <c r="H81" i="15"/>
  <c r="C82" i="15"/>
  <c r="E82" i="15"/>
  <c r="F82" i="15"/>
  <c r="G82" i="15"/>
  <c r="H82" i="15"/>
  <c r="C83" i="15"/>
  <c r="E83" i="15"/>
  <c r="F83" i="15"/>
  <c r="G83" i="15"/>
  <c r="H83" i="15"/>
  <c r="C84" i="15"/>
  <c r="E84" i="15"/>
  <c r="F84" i="15"/>
  <c r="G84" i="15"/>
  <c r="H84" i="15"/>
  <c r="C85" i="15"/>
  <c r="E85" i="15"/>
  <c r="F85" i="15"/>
  <c r="G85" i="15"/>
  <c r="H85" i="15"/>
  <c r="C86" i="15"/>
  <c r="E86" i="15"/>
  <c r="F86" i="15"/>
  <c r="G86" i="15"/>
  <c r="H86" i="15"/>
  <c r="C87" i="15"/>
  <c r="E87" i="15"/>
  <c r="F87" i="15"/>
  <c r="G87" i="15"/>
  <c r="H87" i="15"/>
  <c r="C88" i="15"/>
  <c r="E88" i="15"/>
  <c r="F88" i="15"/>
  <c r="G88" i="15"/>
  <c r="H88" i="15"/>
  <c r="C89" i="15"/>
  <c r="E89" i="15"/>
  <c r="F89" i="15"/>
  <c r="G89" i="15"/>
  <c r="H89" i="15"/>
  <c r="C90" i="15"/>
  <c r="E90" i="15"/>
  <c r="F90" i="15"/>
  <c r="G90" i="15"/>
  <c r="H90" i="15"/>
  <c r="C91" i="15"/>
  <c r="E91" i="15"/>
  <c r="F91" i="15"/>
  <c r="G91" i="15"/>
  <c r="H91" i="15"/>
  <c r="C92" i="15"/>
  <c r="E92" i="15"/>
  <c r="F92" i="15"/>
  <c r="G92" i="15"/>
  <c r="H92" i="15"/>
  <c r="C93" i="15"/>
  <c r="E93" i="15"/>
  <c r="F93" i="15"/>
  <c r="G93" i="15"/>
  <c r="H93" i="15"/>
  <c r="C94" i="15"/>
  <c r="E94" i="15"/>
  <c r="F94" i="15"/>
  <c r="G94" i="15"/>
  <c r="H94" i="15"/>
  <c r="C95" i="15"/>
  <c r="E95" i="15"/>
  <c r="F95" i="15"/>
  <c r="G95" i="15"/>
  <c r="H95" i="15"/>
  <c r="C96" i="15"/>
  <c r="E96" i="15"/>
  <c r="F96" i="15"/>
  <c r="G96" i="15"/>
  <c r="H96" i="15"/>
  <c r="C97" i="15"/>
  <c r="E97" i="15"/>
  <c r="F97" i="15"/>
  <c r="G97" i="15"/>
  <c r="H97" i="15"/>
  <c r="C98" i="15"/>
  <c r="E98" i="15"/>
  <c r="F98" i="15"/>
  <c r="G98" i="15"/>
  <c r="C99" i="15"/>
  <c r="E99" i="15"/>
  <c r="F99" i="15"/>
  <c r="G99" i="15"/>
  <c r="C100" i="15"/>
  <c r="E100" i="15"/>
  <c r="F100" i="15"/>
  <c r="G100" i="15"/>
  <c r="H100" i="15"/>
  <c r="C101" i="15"/>
  <c r="E101" i="15"/>
  <c r="F101" i="15"/>
  <c r="C102" i="15"/>
  <c r="E102" i="15"/>
  <c r="F102" i="15"/>
  <c r="G102" i="15"/>
  <c r="C103" i="15"/>
  <c r="E103" i="15"/>
  <c r="F103" i="15"/>
  <c r="G103" i="15"/>
  <c r="H103" i="15"/>
  <c r="C104" i="15"/>
  <c r="E104" i="15"/>
  <c r="F104" i="15"/>
  <c r="G104" i="15"/>
  <c r="H104" i="15"/>
  <c r="C105" i="15"/>
  <c r="E105" i="15"/>
  <c r="F105" i="15"/>
  <c r="G105" i="15"/>
  <c r="H105" i="15"/>
  <c r="C106" i="15"/>
  <c r="E106" i="15"/>
  <c r="F106" i="15"/>
  <c r="C107" i="15"/>
  <c r="E107" i="15"/>
  <c r="F107" i="15"/>
  <c r="C108" i="15"/>
  <c r="E108" i="15"/>
  <c r="F108" i="15"/>
  <c r="G108" i="15"/>
  <c r="C109" i="15"/>
  <c r="E109" i="15"/>
  <c r="F109" i="15"/>
  <c r="C110" i="15"/>
  <c r="E110" i="15"/>
  <c r="F110" i="15"/>
  <c r="C111" i="15"/>
  <c r="E111" i="15"/>
  <c r="F111" i="15"/>
  <c r="G111" i="15"/>
  <c r="C112" i="15"/>
  <c r="E112" i="15"/>
  <c r="F112" i="15"/>
  <c r="G112" i="15"/>
  <c r="H112" i="15"/>
  <c r="C113" i="15"/>
  <c r="E113" i="15"/>
  <c r="F113" i="15"/>
  <c r="G113" i="15"/>
  <c r="H113" i="15"/>
  <c r="C114" i="15"/>
  <c r="E114" i="15"/>
  <c r="F114" i="15"/>
  <c r="G114" i="15"/>
  <c r="H114" i="15" s="1"/>
  <c r="C115" i="15"/>
  <c r="E115" i="15"/>
  <c r="F115" i="15"/>
  <c r="G115" i="15"/>
  <c r="H115" i="15"/>
  <c r="C116" i="15"/>
  <c r="E116" i="15"/>
  <c r="F116" i="15"/>
  <c r="C117" i="15"/>
  <c r="E117" i="15"/>
  <c r="F117" i="15"/>
  <c r="C118" i="15"/>
  <c r="E118" i="15"/>
  <c r="F118" i="15"/>
  <c r="C119" i="15"/>
  <c r="E119" i="15"/>
  <c r="F119" i="15"/>
  <c r="C120" i="15"/>
  <c r="E120" i="15"/>
  <c r="F120" i="15"/>
  <c r="G120" i="15"/>
  <c r="C121" i="15"/>
  <c r="E121" i="15"/>
  <c r="F121" i="15"/>
  <c r="G121" i="15"/>
  <c r="H121" i="15"/>
  <c r="C122" i="15"/>
  <c r="E122" i="15"/>
  <c r="F122" i="15"/>
  <c r="G122" i="15"/>
  <c r="H122" i="15"/>
  <c r="C123" i="15"/>
  <c r="E123" i="15"/>
  <c r="F123" i="15"/>
  <c r="C124" i="15"/>
  <c r="E124" i="15"/>
  <c r="F124" i="15"/>
  <c r="G124" i="15"/>
  <c r="C125" i="15"/>
  <c r="E125" i="15"/>
  <c r="F125" i="15"/>
  <c r="C126" i="15"/>
  <c r="E126" i="15"/>
  <c r="F126" i="15"/>
  <c r="G126" i="15"/>
  <c r="C127" i="15"/>
  <c r="E127" i="15"/>
  <c r="F127" i="15"/>
  <c r="G127" i="15"/>
  <c r="H127" i="15"/>
  <c r="C128" i="15"/>
  <c r="E128" i="15"/>
  <c r="F128" i="15"/>
  <c r="G128" i="15"/>
  <c r="H128" i="15"/>
  <c r="C129" i="15"/>
  <c r="E129" i="15"/>
  <c r="F129" i="15"/>
  <c r="C130" i="15"/>
  <c r="E130" i="15"/>
  <c r="F130" i="15"/>
  <c r="C131" i="15"/>
  <c r="E131" i="15"/>
  <c r="F131" i="15"/>
  <c r="C132" i="15"/>
  <c r="E132" i="15"/>
  <c r="F132" i="15"/>
  <c r="C133" i="15"/>
  <c r="E133" i="15"/>
  <c r="F133" i="15"/>
  <c r="C134" i="15"/>
  <c r="E134" i="15"/>
  <c r="F134" i="15"/>
  <c r="G134" i="15"/>
  <c r="C135" i="15"/>
  <c r="E135" i="15"/>
  <c r="F135" i="15"/>
  <c r="G135" i="15"/>
  <c r="H135" i="15"/>
  <c r="C136" i="15"/>
  <c r="E136" i="15"/>
  <c r="F136" i="15"/>
  <c r="G136" i="15"/>
  <c r="H136" i="15"/>
  <c r="C137" i="15"/>
  <c r="E137" i="15"/>
  <c r="F137" i="15"/>
  <c r="C138" i="15"/>
  <c r="E138" i="15"/>
  <c r="F138" i="15"/>
  <c r="C139" i="15"/>
  <c r="E139" i="15"/>
  <c r="F139" i="15"/>
  <c r="G139" i="15"/>
  <c r="C140" i="15"/>
  <c r="E140" i="15"/>
  <c r="F140" i="15"/>
  <c r="C141" i="15"/>
  <c r="E141" i="15"/>
  <c r="F141" i="15"/>
  <c r="C142" i="15"/>
  <c r="E142" i="15"/>
  <c r="F142" i="15"/>
  <c r="C143" i="15"/>
  <c r="E143" i="15"/>
  <c r="F143" i="15"/>
  <c r="G143" i="15"/>
  <c r="C144" i="15"/>
  <c r="E144" i="15"/>
  <c r="F144" i="15"/>
  <c r="G144" i="15"/>
  <c r="H144" i="15"/>
  <c r="C145" i="15"/>
  <c r="E145" i="15"/>
  <c r="F145" i="15"/>
  <c r="G145" i="15"/>
  <c r="H145" i="15"/>
  <c r="C146" i="15"/>
  <c r="E146" i="15"/>
  <c r="F146" i="15"/>
  <c r="G146" i="15"/>
  <c r="H146" i="15"/>
  <c r="C147" i="15"/>
  <c r="E147" i="15"/>
  <c r="F147" i="15"/>
  <c r="G147" i="15"/>
  <c r="H147" i="15"/>
  <c r="C148" i="15"/>
  <c r="E148" i="15"/>
  <c r="F148" i="15"/>
  <c r="G148" i="15"/>
  <c r="H148" i="15" s="1"/>
  <c r="C149" i="15"/>
  <c r="E149" i="15"/>
  <c r="F149" i="15"/>
  <c r="G149" i="15"/>
  <c r="H149" i="15"/>
  <c r="C150" i="15"/>
  <c r="E150" i="15"/>
  <c r="F150" i="15"/>
  <c r="C151" i="15"/>
  <c r="E151" i="15"/>
  <c r="F151" i="15"/>
  <c r="C152" i="15"/>
  <c r="E152" i="15"/>
  <c r="F152" i="15"/>
  <c r="C153" i="15"/>
  <c r="E153" i="15"/>
  <c r="F153" i="15"/>
  <c r="G153" i="15"/>
  <c r="C154" i="15"/>
  <c r="E154" i="15"/>
  <c r="F154" i="15"/>
  <c r="C155" i="15"/>
  <c r="E155" i="15"/>
  <c r="F155" i="15"/>
  <c r="G155" i="15"/>
  <c r="C156" i="15"/>
  <c r="E156" i="15"/>
  <c r="F156" i="15"/>
  <c r="C157" i="15"/>
  <c r="E157" i="15"/>
  <c r="F157" i="15"/>
  <c r="C158" i="15"/>
  <c r="E158" i="15"/>
  <c r="F158" i="15"/>
  <c r="C159" i="15"/>
  <c r="E159" i="15"/>
  <c r="F159" i="15"/>
  <c r="G159" i="15"/>
  <c r="C160" i="15"/>
  <c r="E160" i="15"/>
  <c r="F160" i="15"/>
  <c r="G160" i="15"/>
  <c r="H160" i="15"/>
  <c r="C161" i="15"/>
  <c r="E161" i="15"/>
  <c r="F161" i="15"/>
  <c r="G161" i="15"/>
  <c r="H161" i="15"/>
  <c r="C162" i="15"/>
  <c r="E162" i="15"/>
  <c r="F162" i="15"/>
  <c r="C163" i="15"/>
  <c r="E163" i="15"/>
  <c r="F163" i="15"/>
  <c r="C164" i="15"/>
  <c r="E164" i="15"/>
  <c r="F164" i="15"/>
  <c r="G164" i="15"/>
  <c r="C165" i="15"/>
  <c r="E165" i="15"/>
  <c r="F165" i="15"/>
  <c r="G165" i="15"/>
  <c r="H165" i="15"/>
  <c r="C166" i="15"/>
  <c r="E166" i="15"/>
  <c r="F166" i="15"/>
  <c r="C167" i="15"/>
  <c r="E167" i="15"/>
  <c r="F167" i="15"/>
  <c r="C168" i="15"/>
  <c r="E168" i="15"/>
  <c r="F168" i="15"/>
  <c r="C169" i="15"/>
  <c r="E169" i="15"/>
  <c r="F169" i="15"/>
  <c r="G169" i="15"/>
  <c r="C170" i="15"/>
  <c r="E170" i="15"/>
  <c r="F170" i="15"/>
  <c r="C171" i="15"/>
  <c r="E171" i="15"/>
  <c r="F171" i="15"/>
  <c r="C172" i="15"/>
  <c r="E172" i="15"/>
  <c r="F172" i="15"/>
  <c r="C173" i="15"/>
  <c r="E173" i="15"/>
  <c r="F173" i="15"/>
  <c r="G173" i="15"/>
  <c r="C174" i="15"/>
  <c r="E174" i="15"/>
  <c r="F174" i="15"/>
  <c r="C175" i="15"/>
  <c r="E175" i="15"/>
  <c r="F175" i="15"/>
  <c r="G175" i="15"/>
  <c r="C176" i="15"/>
  <c r="E176" i="15"/>
  <c r="F176" i="15"/>
  <c r="G176" i="15"/>
  <c r="H176" i="15"/>
  <c r="C177" i="15"/>
  <c r="E177" i="15"/>
  <c r="F177" i="15"/>
  <c r="G177" i="15"/>
  <c r="H177" i="15"/>
  <c r="C178" i="15"/>
  <c r="E178" i="15"/>
  <c r="F178" i="15"/>
  <c r="C179" i="15"/>
  <c r="E179" i="15"/>
  <c r="F179" i="15"/>
  <c r="G179" i="15"/>
  <c r="C180" i="15"/>
  <c r="E180" i="15"/>
  <c r="F180" i="15"/>
  <c r="G180" i="15"/>
  <c r="H180" i="15"/>
  <c r="C181" i="15"/>
  <c r="E181" i="15"/>
  <c r="F181" i="15"/>
  <c r="C182" i="15"/>
  <c r="E182" i="15"/>
  <c r="F182" i="15"/>
  <c r="G182" i="15"/>
  <c r="C183" i="15"/>
  <c r="E183" i="15"/>
  <c r="F183" i="15"/>
  <c r="C184" i="15"/>
  <c r="E184" i="15"/>
  <c r="F184" i="15"/>
  <c r="G184" i="15"/>
  <c r="C185" i="15"/>
  <c r="E185" i="15"/>
  <c r="F185" i="15"/>
  <c r="G185" i="15"/>
  <c r="H185" i="15"/>
  <c r="C186" i="15"/>
  <c r="E186" i="15"/>
  <c r="F186" i="15"/>
  <c r="G186" i="15"/>
  <c r="H186" i="15"/>
  <c r="C187" i="15"/>
  <c r="E187" i="15"/>
  <c r="F187" i="15"/>
  <c r="C188" i="15"/>
  <c r="E188" i="15"/>
  <c r="F188" i="15"/>
  <c r="C189" i="15"/>
  <c r="E189" i="15"/>
  <c r="F189" i="15"/>
  <c r="C190" i="15"/>
  <c r="E190" i="15"/>
  <c r="F190" i="15"/>
  <c r="C191" i="15"/>
  <c r="E191" i="15"/>
  <c r="F191" i="15"/>
  <c r="G191" i="15"/>
  <c r="C192" i="15"/>
  <c r="E192" i="15"/>
  <c r="F192" i="15"/>
  <c r="C193" i="15"/>
  <c r="E193" i="15"/>
  <c r="F193" i="15"/>
  <c r="C194" i="15"/>
  <c r="E194" i="15"/>
  <c r="F194" i="15"/>
  <c r="C195" i="15"/>
  <c r="E195" i="15"/>
  <c r="F195" i="15"/>
  <c r="C196" i="15"/>
  <c r="E196" i="15"/>
  <c r="F196" i="15"/>
  <c r="G196" i="15"/>
  <c r="C197" i="15"/>
  <c r="E197" i="15"/>
  <c r="F197" i="15"/>
  <c r="G197" i="15"/>
  <c r="H197" i="15"/>
  <c r="C198" i="15"/>
  <c r="E198" i="15"/>
  <c r="F198" i="15"/>
  <c r="C199" i="15"/>
  <c r="E199" i="15"/>
  <c r="F199" i="15"/>
  <c r="C200" i="15"/>
  <c r="E200" i="15"/>
  <c r="F200" i="15"/>
  <c r="G200" i="15"/>
  <c r="C201" i="15"/>
  <c r="E201" i="15"/>
  <c r="F201" i="15"/>
  <c r="C202" i="15"/>
  <c r="E202" i="15"/>
  <c r="F202" i="15"/>
  <c r="C203" i="15"/>
  <c r="E203" i="15"/>
  <c r="F203" i="15"/>
  <c r="C204" i="15"/>
  <c r="E204" i="15"/>
  <c r="F204" i="15"/>
  <c r="C205" i="15"/>
  <c r="E205" i="15"/>
  <c r="F205" i="15"/>
  <c r="C206" i="15"/>
  <c r="E206" i="15"/>
  <c r="F206" i="15"/>
  <c r="C207" i="15"/>
  <c r="E207" i="15"/>
  <c r="F207" i="15"/>
  <c r="C208" i="15"/>
  <c r="E208" i="15"/>
  <c r="F208" i="15"/>
  <c r="C209" i="15"/>
  <c r="E209" i="15"/>
  <c r="F209" i="15"/>
  <c r="G209" i="15"/>
  <c r="C210" i="15"/>
  <c r="E210" i="15"/>
  <c r="F210" i="15"/>
  <c r="C211" i="15"/>
  <c r="E211" i="15"/>
  <c r="F211" i="15"/>
  <c r="G211" i="15"/>
  <c r="C212" i="15"/>
  <c r="E212" i="15"/>
  <c r="F212" i="15"/>
  <c r="C213" i="15"/>
  <c r="E213" i="15"/>
  <c r="F213" i="15"/>
  <c r="C214" i="15"/>
  <c r="E214" i="15"/>
  <c r="F214" i="15"/>
  <c r="C215" i="15"/>
  <c r="E215" i="15"/>
  <c r="F215" i="15"/>
  <c r="G215" i="15"/>
  <c r="C216" i="15"/>
  <c r="E216" i="15"/>
  <c r="F216" i="15"/>
  <c r="C217" i="15"/>
  <c r="E217" i="15"/>
  <c r="F217" i="15"/>
  <c r="C218" i="15"/>
  <c r="E218" i="15"/>
  <c r="F218" i="15"/>
  <c r="E219" i="15"/>
  <c r="F219" i="15"/>
  <c r="G219" i="15"/>
  <c r="E220" i="15"/>
  <c r="F220" i="15"/>
  <c r="G220" i="15"/>
  <c r="E221" i="15"/>
  <c r="F221" i="15"/>
  <c r="G221" i="15"/>
  <c r="E222" i="15"/>
  <c r="F222" i="15"/>
  <c r="G222" i="15"/>
  <c r="E223" i="15"/>
  <c r="F223" i="15"/>
  <c r="G223" i="15"/>
  <c r="E224" i="15"/>
  <c r="F224" i="15"/>
  <c r="G224" i="15"/>
  <c r="E225" i="15"/>
  <c r="F225" i="15"/>
  <c r="G225" i="15"/>
  <c r="E226" i="15"/>
  <c r="F226" i="15"/>
  <c r="G226" i="15"/>
  <c r="E227" i="15"/>
  <c r="F227" i="15"/>
  <c r="G227" i="15"/>
  <c r="E228" i="15"/>
  <c r="F228" i="15"/>
  <c r="G228" i="15"/>
  <c r="E229" i="15"/>
  <c r="F229" i="15"/>
  <c r="G229" i="15"/>
  <c r="E230" i="15"/>
  <c r="F230" i="15"/>
  <c r="G230" i="15"/>
  <c r="E231" i="15"/>
  <c r="F231" i="15"/>
  <c r="G231" i="15"/>
  <c r="E232" i="15"/>
  <c r="F232" i="15"/>
  <c r="G232" i="15"/>
  <c r="E233" i="15"/>
  <c r="F233" i="15"/>
  <c r="G233" i="15"/>
  <c r="E234" i="15"/>
  <c r="F234" i="15"/>
  <c r="G234" i="15"/>
  <c r="E235" i="15"/>
  <c r="F235" i="15"/>
  <c r="G235" i="15"/>
  <c r="E236" i="15"/>
  <c r="F236" i="15"/>
  <c r="G236" i="15"/>
  <c r="E237" i="15"/>
  <c r="F237" i="15"/>
  <c r="G237" i="15"/>
  <c r="E238" i="15"/>
  <c r="F238" i="15"/>
  <c r="G238" i="15"/>
  <c r="E239" i="15"/>
  <c r="F239" i="15"/>
  <c r="G239" i="15"/>
  <c r="E240" i="15"/>
  <c r="F240" i="15"/>
  <c r="G240" i="15"/>
  <c r="E241" i="15"/>
  <c r="F241" i="15"/>
  <c r="G241" i="15"/>
  <c r="E242" i="15"/>
  <c r="F242" i="15"/>
  <c r="G242" i="15"/>
  <c r="E243" i="15"/>
  <c r="F243" i="15"/>
  <c r="G243" i="15"/>
  <c r="E244" i="15"/>
  <c r="F244" i="15"/>
  <c r="G244" i="15"/>
  <c r="E245" i="15"/>
  <c r="F245" i="15"/>
  <c r="G245" i="15"/>
  <c r="E246" i="15"/>
  <c r="F246" i="15"/>
  <c r="G246" i="15"/>
  <c r="E247" i="15"/>
  <c r="F247" i="15"/>
  <c r="G247" i="15"/>
  <c r="E248" i="15"/>
  <c r="F248" i="15"/>
  <c r="G248" i="15"/>
  <c r="E249" i="15"/>
  <c r="F249" i="15"/>
  <c r="G249" i="15"/>
  <c r="E250" i="15"/>
  <c r="F250" i="15"/>
  <c r="G250" i="15"/>
  <c r="E251" i="15"/>
  <c r="F251" i="15"/>
  <c r="G251" i="15"/>
  <c r="E252" i="15"/>
  <c r="F252" i="15"/>
  <c r="G252" i="15"/>
  <c r="E253" i="15"/>
  <c r="F253" i="15"/>
  <c r="G253" i="15"/>
  <c r="E254" i="15"/>
  <c r="F254" i="15"/>
  <c r="G254" i="15"/>
  <c r="E255" i="15"/>
  <c r="F255" i="15"/>
  <c r="G255" i="15"/>
  <c r="E256" i="15"/>
  <c r="F256" i="15"/>
  <c r="G256" i="15"/>
  <c r="E257" i="15"/>
  <c r="F257" i="15"/>
  <c r="G257" i="15"/>
  <c r="E258" i="15"/>
  <c r="F258" i="15"/>
  <c r="G258" i="15"/>
  <c r="E259" i="15"/>
  <c r="F259" i="15"/>
  <c r="G259" i="15"/>
  <c r="E260" i="15"/>
  <c r="F260" i="15"/>
  <c r="G260" i="15"/>
  <c r="E261" i="15"/>
  <c r="F261" i="15"/>
  <c r="G261" i="15"/>
  <c r="E262" i="15"/>
  <c r="F262" i="15"/>
  <c r="G262" i="15"/>
  <c r="E263" i="15"/>
  <c r="F263" i="15"/>
  <c r="G263" i="15"/>
  <c r="E264" i="15"/>
  <c r="F264" i="15"/>
  <c r="G264" i="15"/>
  <c r="E265" i="15"/>
  <c r="F265" i="15"/>
  <c r="G265" i="15"/>
  <c r="E266" i="15"/>
  <c r="F266" i="15"/>
  <c r="G266" i="15"/>
  <c r="E267" i="15"/>
  <c r="F267" i="15"/>
  <c r="G267" i="15"/>
  <c r="E268" i="15"/>
  <c r="F268" i="15"/>
  <c r="G268" i="15"/>
  <c r="E269" i="15"/>
  <c r="F269" i="15"/>
  <c r="G269" i="15"/>
  <c r="E270" i="15"/>
  <c r="F270" i="15"/>
  <c r="G270" i="15"/>
  <c r="E271" i="15"/>
  <c r="F271" i="15"/>
  <c r="G271" i="15"/>
  <c r="E272" i="15"/>
  <c r="F272" i="15"/>
  <c r="G272" i="15"/>
  <c r="E273" i="15"/>
  <c r="F273" i="15"/>
  <c r="G273" i="15"/>
  <c r="E274" i="15"/>
  <c r="F274" i="15"/>
  <c r="G274" i="15"/>
  <c r="E275" i="15"/>
  <c r="F275" i="15"/>
  <c r="G275" i="15"/>
  <c r="E276" i="15"/>
  <c r="F276" i="15"/>
  <c r="G276" i="15"/>
  <c r="E277" i="15"/>
  <c r="F277" i="15"/>
  <c r="G277" i="15"/>
  <c r="E278" i="15"/>
  <c r="F278" i="15"/>
  <c r="G278" i="15"/>
  <c r="E279" i="15"/>
  <c r="F279" i="15"/>
  <c r="G279" i="15"/>
  <c r="E280" i="15"/>
  <c r="F280" i="15"/>
  <c r="G280" i="15"/>
  <c r="E281" i="15"/>
  <c r="F281" i="15"/>
  <c r="G281" i="15"/>
  <c r="E282" i="15"/>
  <c r="F282" i="15"/>
  <c r="G282" i="15"/>
  <c r="E283" i="15"/>
  <c r="F283" i="15"/>
  <c r="G283" i="15"/>
  <c r="E284" i="15"/>
  <c r="F284" i="15"/>
  <c r="G284" i="15"/>
  <c r="E285" i="15"/>
  <c r="F285" i="15"/>
  <c r="G285" i="15"/>
  <c r="E286" i="15"/>
  <c r="F286" i="15"/>
  <c r="G286" i="15"/>
  <c r="E287" i="15"/>
  <c r="F287" i="15"/>
  <c r="G287" i="15"/>
  <c r="E288" i="15"/>
  <c r="F288" i="15"/>
  <c r="G288" i="15"/>
  <c r="E289" i="15"/>
  <c r="F289" i="15"/>
  <c r="G289" i="15"/>
  <c r="E290" i="15"/>
  <c r="F290" i="15"/>
  <c r="G290" i="15"/>
  <c r="E291" i="15"/>
  <c r="F291" i="15"/>
  <c r="G291" i="15"/>
  <c r="E292" i="15"/>
  <c r="F292" i="15"/>
  <c r="G292" i="15"/>
  <c r="E293" i="15"/>
  <c r="F293" i="15"/>
  <c r="G293" i="15"/>
  <c r="E294" i="15"/>
  <c r="F294" i="15"/>
  <c r="G294" i="15"/>
  <c r="E295" i="15"/>
  <c r="F295" i="15"/>
  <c r="G295" i="15"/>
  <c r="E296" i="15"/>
  <c r="F296" i="15"/>
  <c r="G296" i="15"/>
  <c r="E297" i="15"/>
  <c r="F297" i="15"/>
  <c r="G297" i="15"/>
  <c r="E298" i="15"/>
  <c r="F298" i="15"/>
  <c r="G298" i="15"/>
  <c r="E299" i="15"/>
  <c r="F299" i="15"/>
  <c r="G299" i="15"/>
  <c r="E300" i="15"/>
  <c r="F300" i="15"/>
  <c r="G300" i="15"/>
  <c r="E301" i="15"/>
  <c r="F301" i="15"/>
  <c r="G301" i="15"/>
  <c r="E302" i="15"/>
  <c r="F302" i="15"/>
  <c r="G302" i="15"/>
  <c r="E303" i="15"/>
  <c r="F303" i="15"/>
  <c r="G303" i="15"/>
  <c r="E304" i="15"/>
  <c r="F304" i="15"/>
  <c r="G304" i="15"/>
  <c r="E305" i="15"/>
  <c r="F305" i="15"/>
  <c r="G305" i="15"/>
  <c r="E306" i="15"/>
  <c r="F306" i="15"/>
  <c r="G306" i="15"/>
  <c r="E307" i="15"/>
  <c r="F307" i="15"/>
  <c r="G307" i="15"/>
  <c r="E308" i="15"/>
  <c r="F308" i="15"/>
  <c r="G308" i="15"/>
  <c r="E309" i="15"/>
  <c r="F309" i="15"/>
  <c r="G309" i="15"/>
  <c r="E310" i="15"/>
  <c r="F310" i="15"/>
  <c r="G310" i="15"/>
  <c r="E311" i="15"/>
  <c r="F311" i="15"/>
  <c r="G311" i="15"/>
  <c r="E312" i="15"/>
  <c r="F312" i="15"/>
  <c r="G312" i="15"/>
  <c r="E313" i="15"/>
  <c r="F313" i="15"/>
  <c r="G313" i="15"/>
  <c r="E314" i="15"/>
  <c r="F314" i="15"/>
  <c r="G314" i="15"/>
  <c r="E315" i="15"/>
  <c r="F315" i="15"/>
  <c r="G315" i="15"/>
  <c r="E316" i="15"/>
  <c r="F316" i="15"/>
  <c r="G316" i="15"/>
  <c r="E317" i="15"/>
  <c r="F317" i="15"/>
  <c r="G317" i="15"/>
  <c r="E318" i="15"/>
  <c r="F318" i="15"/>
  <c r="G318" i="15"/>
  <c r="E319" i="15"/>
  <c r="F319" i="15"/>
  <c r="G319" i="15"/>
  <c r="E320" i="15"/>
  <c r="F320" i="15"/>
  <c r="G320" i="15"/>
  <c r="E321" i="15"/>
  <c r="F321" i="15"/>
  <c r="G321" i="15"/>
  <c r="E322" i="15"/>
  <c r="F322" i="15"/>
  <c r="G322" i="15"/>
  <c r="E323" i="15"/>
  <c r="F323" i="15"/>
  <c r="G323" i="15"/>
  <c r="E324" i="15"/>
  <c r="F324" i="15"/>
  <c r="G324" i="15"/>
  <c r="E325" i="15"/>
  <c r="F325" i="15"/>
  <c r="G325" i="15"/>
  <c r="E326" i="15"/>
  <c r="F326" i="15"/>
  <c r="G326" i="15"/>
  <c r="E327" i="15"/>
  <c r="F327" i="15"/>
  <c r="G327" i="15"/>
  <c r="E328" i="15"/>
  <c r="F328" i="15"/>
  <c r="G328" i="15"/>
  <c r="E329" i="15"/>
  <c r="F329" i="15"/>
  <c r="G329" i="15"/>
  <c r="E330" i="15"/>
  <c r="F330" i="15"/>
  <c r="G330" i="15"/>
  <c r="E331" i="15"/>
  <c r="F331" i="15"/>
  <c r="G331" i="15"/>
  <c r="E332" i="15"/>
  <c r="F332" i="15"/>
  <c r="G332" i="15"/>
  <c r="E333" i="15"/>
  <c r="F333" i="15"/>
  <c r="G333" i="15"/>
  <c r="E334" i="15"/>
  <c r="F334" i="15"/>
  <c r="G334" i="15"/>
  <c r="E335" i="15"/>
  <c r="F335" i="15"/>
  <c r="G335" i="15"/>
  <c r="E336" i="15"/>
  <c r="F336" i="15"/>
  <c r="G336" i="15"/>
  <c r="E337" i="15"/>
  <c r="F337" i="15"/>
  <c r="G337" i="15"/>
  <c r="E338" i="15"/>
  <c r="F338" i="15"/>
  <c r="G338" i="15"/>
  <c r="E339" i="15"/>
  <c r="F339" i="15"/>
  <c r="G339" i="15"/>
  <c r="E340" i="15"/>
  <c r="F340" i="15"/>
  <c r="G340" i="15"/>
  <c r="E341" i="15"/>
  <c r="F341" i="15"/>
  <c r="G341" i="15"/>
  <c r="E342" i="15"/>
  <c r="F342" i="15"/>
  <c r="G342" i="15"/>
  <c r="E343" i="15"/>
  <c r="F343" i="15"/>
  <c r="G343" i="15"/>
  <c r="E344" i="15"/>
  <c r="F344" i="15"/>
  <c r="G344" i="15"/>
  <c r="E345" i="15"/>
  <c r="F345" i="15"/>
  <c r="G345" i="15"/>
  <c r="E346" i="15"/>
  <c r="F346" i="15"/>
  <c r="G346" i="15"/>
  <c r="E347" i="15"/>
  <c r="F347" i="15"/>
  <c r="G347" i="15"/>
  <c r="E348" i="15"/>
  <c r="F348" i="15"/>
  <c r="G348" i="15"/>
  <c r="E349" i="15"/>
  <c r="F349" i="15"/>
  <c r="G349" i="15"/>
  <c r="E350" i="15"/>
  <c r="F350" i="15"/>
  <c r="G350" i="15"/>
  <c r="E351" i="15"/>
  <c r="F351" i="15"/>
  <c r="G351" i="15"/>
  <c r="E352" i="15"/>
  <c r="F352" i="15"/>
  <c r="G352" i="15"/>
  <c r="E353" i="15"/>
  <c r="F353" i="15"/>
  <c r="G353" i="15"/>
  <c r="E354" i="15"/>
  <c r="F354" i="15"/>
  <c r="G354" i="15"/>
  <c r="E355" i="15"/>
  <c r="F355" i="15"/>
  <c r="G355" i="15"/>
  <c r="E356" i="15"/>
  <c r="F356" i="15"/>
  <c r="G356" i="15"/>
  <c r="E357" i="15"/>
  <c r="F357" i="15"/>
  <c r="G357" i="15"/>
  <c r="E358" i="15"/>
  <c r="F358" i="15"/>
  <c r="G358" i="15"/>
  <c r="E359" i="15"/>
  <c r="F359" i="15"/>
  <c r="G359" i="15"/>
  <c r="E360" i="15"/>
  <c r="F360" i="15"/>
  <c r="G360" i="15"/>
  <c r="E361" i="15"/>
  <c r="F361" i="15"/>
  <c r="G361" i="15"/>
  <c r="E362" i="15"/>
  <c r="F362" i="15"/>
  <c r="G362" i="15"/>
  <c r="E363" i="15"/>
  <c r="F363" i="15"/>
  <c r="G363" i="15"/>
  <c r="E364" i="15"/>
  <c r="F364" i="15"/>
  <c r="G364" i="15"/>
  <c r="E365" i="15"/>
  <c r="F365" i="15"/>
  <c r="G365" i="15"/>
  <c r="E366" i="15"/>
  <c r="F366" i="15"/>
  <c r="G366" i="15"/>
  <c r="E367" i="15"/>
  <c r="F367" i="15"/>
  <c r="G367" i="15"/>
  <c r="E368" i="15"/>
  <c r="F368" i="15"/>
  <c r="G368" i="15"/>
  <c r="E369" i="15"/>
  <c r="F369" i="15"/>
  <c r="G369" i="15"/>
  <c r="E370" i="15"/>
  <c r="F370" i="15"/>
  <c r="G370" i="15"/>
  <c r="E371" i="15"/>
  <c r="F371" i="15"/>
  <c r="G371" i="15"/>
  <c r="E372" i="15"/>
  <c r="F372" i="15"/>
  <c r="G372" i="15"/>
  <c r="E373" i="15"/>
  <c r="F373" i="15"/>
  <c r="G373" i="15"/>
  <c r="E374" i="15"/>
  <c r="F374" i="15"/>
  <c r="G374" i="15"/>
  <c r="E375" i="15"/>
  <c r="F375" i="15"/>
  <c r="G375" i="15"/>
  <c r="E376" i="15"/>
  <c r="F376" i="15"/>
  <c r="G376" i="15"/>
  <c r="E377" i="15"/>
  <c r="F377" i="15"/>
  <c r="G377" i="15"/>
  <c r="E378" i="15"/>
  <c r="F378" i="15"/>
  <c r="G378" i="15"/>
  <c r="E379" i="15"/>
  <c r="F379" i="15"/>
  <c r="G379" i="15"/>
  <c r="E380" i="15"/>
  <c r="F380" i="15"/>
  <c r="G380" i="15"/>
  <c r="E381" i="15"/>
  <c r="F381" i="15"/>
  <c r="G381" i="15"/>
  <c r="E382" i="15"/>
  <c r="F382" i="15"/>
  <c r="G382" i="15"/>
  <c r="E383" i="15"/>
  <c r="F383" i="15"/>
  <c r="G383" i="15"/>
  <c r="E384" i="15"/>
  <c r="F384" i="15"/>
  <c r="G384" i="15"/>
  <c r="E385" i="15"/>
  <c r="F385" i="15"/>
  <c r="G385" i="15"/>
  <c r="E386" i="15"/>
  <c r="F386" i="15"/>
  <c r="G386" i="15"/>
  <c r="E387" i="15"/>
  <c r="F387" i="15"/>
  <c r="G387" i="15"/>
  <c r="E388" i="15"/>
  <c r="F388" i="15"/>
  <c r="G388" i="15"/>
  <c r="E389" i="15"/>
  <c r="F389" i="15"/>
  <c r="G389" i="15"/>
  <c r="E390" i="15"/>
  <c r="F390" i="15"/>
  <c r="G390" i="15"/>
  <c r="E391" i="15"/>
  <c r="F391" i="15"/>
  <c r="G391" i="15"/>
  <c r="E392" i="15"/>
  <c r="F392" i="15"/>
  <c r="G392" i="15"/>
  <c r="E393" i="15"/>
  <c r="F393" i="15"/>
  <c r="G393" i="15"/>
  <c r="E394" i="15"/>
  <c r="F394" i="15"/>
  <c r="G394" i="15"/>
  <c r="E395" i="15"/>
  <c r="F395" i="15"/>
  <c r="G395" i="15"/>
  <c r="E396" i="15"/>
  <c r="F396" i="15"/>
  <c r="G396" i="15"/>
  <c r="E397" i="15"/>
  <c r="F397" i="15"/>
  <c r="G397" i="15"/>
  <c r="E398" i="15"/>
  <c r="F398" i="15"/>
  <c r="G398" i="15"/>
  <c r="E399" i="15"/>
  <c r="F399" i="15"/>
  <c r="G399" i="15"/>
  <c r="E400" i="15"/>
  <c r="F400" i="15"/>
  <c r="G400" i="15"/>
  <c r="E401" i="15"/>
  <c r="F401" i="15"/>
  <c r="G401" i="15"/>
  <c r="E402" i="15"/>
  <c r="F402" i="15"/>
  <c r="G402" i="15"/>
  <c r="E403" i="15"/>
  <c r="F403" i="15"/>
  <c r="G403" i="15"/>
  <c r="E404" i="15"/>
  <c r="F404" i="15"/>
  <c r="G404" i="15"/>
  <c r="E405" i="15"/>
  <c r="F405" i="15"/>
  <c r="G405" i="15"/>
  <c r="E406" i="15"/>
  <c r="F406" i="15"/>
  <c r="G406" i="15"/>
  <c r="E407" i="15"/>
  <c r="F407" i="15"/>
  <c r="G407" i="15"/>
  <c r="E408" i="15"/>
  <c r="F408" i="15"/>
  <c r="G408" i="15"/>
  <c r="E409" i="15"/>
  <c r="F409" i="15"/>
  <c r="G409" i="15"/>
  <c r="E410" i="15"/>
  <c r="F410" i="15"/>
  <c r="G410" i="15"/>
  <c r="E411" i="15"/>
  <c r="F411" i="15"/>
  <c r="G411" i="15"/>
  <c r="E412" i="15"/>
  <c r="F412" i="15"/>
  <c r="G412" i="15"/>
  <c r="E413" i="15"/>
  <c r="F413" i="15"/>
  <c r="G413" i="15"/>
  <c r="E414" i="15"/>
  <c r="F414" i="15"/>
  <c r="G414" i="15"/>
  <c r="E415" i="15"/>
  <c r="F415" i="15"/>
  <c r="G415" i="15"/>
  <c r="E416" i="15"/>
  <c r="F416" i="15"/>
  <c r="G416" i="15"/>
  <c r="E417" i="15"/>
  <c r="F417" i="15"/>
  <c r="G417" i="15"/>
  <c r="E418" i="15"/>
  <c r="F418" i="15"/>
  <c r="G418" i="15"/>
  <c r="E419" i="15"/>
  <c r="F419" i="15"/>
  <c r="G419" i="15"/>
  <c r="E420" i="15"/>
  <c r="F420" i="15"/>
  <c r="G420" i="15"/>
  <c r="E421" i="15"/>
  <c r="F421" i="15"/>
  <c r="G421" i="15"/>
  <c r="E422" i="15"/>
  <c r="F422" i="15"/>
  <c r="G422" i="15"/>
  <c r="E423" i="15"/>
  <c r="F423" i="15"/>
  <c r="G423" i="15"/>
  <c r="E424" i="15"/>
  <c r="F424" i="15"/>
  <c r="G424" i="15"/>
  <c r="E425" i="15"/>
  <c r="F425" i="15"/>
  <c r="G425" i="15"/>
  <c r="E426" i="15"/>
  <c r="F426" i="15"/>
  <c r="G426" i="15"/>
  <c r="E427" i="15"/>
  <c r="F427" i="15"/>
  <c r="G427" i="15"/>
  <c r="E428" i="15"/>
  <c r="F428" i="15"/>
  <c r="G428" i="15"/>
  <c r="E429" i="15"/>
  <c r="F429" i="15"/>
  <c r="G429" i="15"/>
  <c r="E430" i="15"/>
  <c r="F430" i="15"/>
  <c r="G430" i="15"/>
  <c r="E431" i="15"/>
  <c r="F431" i="15"/>
  <c r="G431" i="15"/>
  <c r="E432" i="15"/>
  <c r="F432" i="15"/>
  <c r="G432" i="15"/>
  <c r="E433" i="15"/>
  <c r="F433" i="15"/>
  <c r="G433" i="15"/>
  <c r="E434" i="15"/>
  <c r="F434" i="15"/>
  <c r="G434" i="15"/>
  <c r="E435" i="15"/>
  <c r="F435" i="15"/>
  <c r="G435" i="15"/>
  <c r="E436" i="15"/>
  <c r="F436" i="15"/>
  <c r="G436" i="15"/>
  <c r="E437" i="15"/>
  <c r="F437" i="15"/>
  <c r="G437" i="15"/>
  <c r="E438" i="15"/>
  <c r="F438" i="15"/>
  <c r="G438" i="15"/>
  <c r="E439" i="15"/>
  <c r="F439" i="15"/>
  <c r="G439" i="15"/>
  <c r="E440" i="15"/>
  <c r="F440" i="15"/>
  <c r="G440" i="15"/>
  <c r="E441" i="15"/>
  <c r="F441" i="15"/>
  <c r="G441" i="15"/>
  <c r="E442" i="15"/>
  <c r="F442" i="15"/>
  <c r="G442" i="15"/>
  <c r="E443" i="15"/>
  <c r="F443" i="15"/>
  <c r="G443" i="15"/>
  <c r="E444" i="15"/>
  <c r="F444" i="15"/>
  <c r="G444" i="15"/>
  <c r="E445" i="15"/>
  <c r="F445" i="15"/>
  <c r="G445" i="15"/>
  <c r="E446" i="15"/>
  <c r="F446" i="15"/>
  <c r="G446" i="15"/>
  <c r="E447" i="15"/>
  <c r="F447" i="15"/>
  <c r="G447" i="15"/>
  <c r="E448" i="15"/>
  <c r="F448" i="15"/>
  <c r="G448" i="15"/>
  <c r="E449" i="15"/>
  <c r="F449" i="15"/>
  <c r="G449" i="15"/>
  <c r="E450" i="15"/>
  <c r="F450" i="15"/>
  <c r="G450" i="15"/>
  <c r="E451" i="15"/>
  <c r="F451" i="15"/>
  <c r="G451" i="15"/>
  <c r="E452" i="15"/>
  <c r="F452" i="15"/>
  <c r="G452" i="15"/>
  <c r="E453" i="15"/>
  <c r="F453" i="15"/>
  <c r="G453" i="15"/>
  <c r="E454" i="15"/>
  <c r="F454" i="15"/>
  <c r="G454" i="15"/>
  <c r="E455" i="15"/>
  <c r="F455" i="15"/>
  <c r="G455" i="15"/>
  <c r="E456" i="15"/>
  <c r="F456" i="15"/>
  <c r="G456" i="15"/>
  <c r="E457" i="15"/>
  <c r="F457" i="15"/>
  <c r="G457" i="15"/>
  <c r="E458" i="15"/>
  <c r="F458" i="15"/>
  <c r="G458" i="15"/>
  <c r="E459" i="15"/>
  <c r="F459" i="15"/>
  <c r="G459" i="15"/>
  <c r="E460" i="15"/>
  <c r="F460" i="15"/>
  <c r="G460" i="15"/>
  <c r="E461" i="15"/>
  <c r="F461" i="15"/>
  <c r="G461" i="15"/>
  <c r="E462" i="15"/>
  <c r="F462" i="15"/>
  <c r="G462" i="15"/>
  <c r="E463" i="15"/>
  <c r="F463" i="15"/>
  <c r="G463" i="15"/>
  <c r="E464" i="15"/>
  <c r="F464" i="15"/>
  <c r="G464" i="15"/>
  <c r="E465" i="15"/>
  <c r="F465" i="15"/>
  <c r="G465" i="15"/>
  <c r="E466" i="15"/>
  <c r="F466" i="15"/>
  <c r="G466" i="15"/>
  <c r="E467" i="15"/>
  <c r="F467" i="15"/>
  <c r="G467" i="15"/>
  <c r="E468" i="15"/>
  <c r="F468" i="15"/>
  <c r="G468" i="15"/>
  <c r="E469" i="15"/>
  <c r="F469" i="15"/>
  <c r="G469" i="15"/>
  <c r="E470" i="15"/>
  <c r="F470" i="15"/>
  <c r="G470" i="15"/>
  <c r="E471" i="15"/>
  <c r="F471" i="15"/>
  <c r="G471" i="15"/>
  <c r="E472" i="15"/>
  <c r="F472" i="15"/>
  <c r="G472" i="15"/>
  <c r="E473" i="15"/>
  <c r="F473" i="15"/>
  <c r="G473" i="15"/>
  <c r="E474" i="15"/>
  <c r="F474" i="15"/>
  <c r="G474" i="15"/>
  <c r="E475" i="15"/>
  <c r="F475" i="15"/>
  <c r="G475" i="15"/>
  <c r="E476" i="15"/>
  <c r="F476" i="15"/>
  <c r="G476" i="15"/>
  <c r="E477" i="15"/>
  <c r="F477" i="15"/>
  <c r="G477" i="15"/>
  <c r="E478" i="15"/>
  <c r="F478" i="15"/>
  <c r="G478" i="15"/>
  <c r="E479" i="15"/>
  <c r="F479" i="15"/>
  <c r="G479" i="15"/>
  <c r="E480" i="15"/>
  <c r="F480" i="15"/>
  <c r="G480" i="15"/>
  <c r="E481" i="15"/>
  <c r="F481" i="15"/>
  <c r="G481" i="15"/>
  <c r="E482" i="15"/>
  <c r="F482" i="15"/>
  <c r="G482" i="15"/>
  <c r="E483" i="15"/>
  <c r="F483" i="15"/>
  <c r="G483" i="15"/>
  <c r="E484" i="15"/>
  <c r="F484" i="15"/>
  <c r="G484" i="15"/>
  <c r="E485" i="15"/>
  <c r="F485" i="15"/>
  <c r="G485" i="15"/>
  <c r="E486" i="15"/>
  <c r="F486" i="15"/>
  <c r="G486" i="15"/>
  <c r="E487" i="15"/>
  <c r="F487" i="15"/>
  <c r="G487" i="15"/>
  <c r="E488" i="15"/>
  <c r="F488" i="15"/>
  <c r="G488" i="15"/>
  <c r="E489" i="15"/>
  <c r="F489" i="15"/>
  <c r="G489" i="15"/>
  <c r="E490" i="15"/>
  <c r="F490" i="15"/>
  <c r="G490" i="15"/>
  <c r="E491" i="15"/>
  <c r="F491" i="15"/>
  <c r="G491" i="15"/>
  <c r="E492" i="15"/>
  <c r="F492" i="15"/>
  <c r="G492" i="15"/>
  <c r="E493" i="15"/>
  <c r="F493" i="15"/>
  <c r="G493" i="15"/>
  <c r="E494" i="15"/>
  <c r="F494" i="15"/>
  <c r="G494" i="15"/>
  <c r="E495" i="15"/>
  <c r="F495" i="15"/>
  <c r="G495" i="15"/>
  <c r="E496" i="15"/>
  <c r="F496" i="15"/>
  <c r="G496" i="15"/>
  <c r="E497" i="15"/>
  <c r="F497" i="15"/>
  <c r="G497" i="15"/>
  <c r="E498" i="15"/>
  <c r="F498" i="15"/>
  <c r="G498" i="15"/>
  <c r="E499" i="15"/>
  <c r="F499" i="15"/>
  <c r="G499" i="15"/>
  <c r="E500" i="15"/>
  <c r="F500" i="15"/>
  <c r="G500" i="15"/>
  <c r="E501" i="15"/>
  <c r="F501" i="15"/>
  <c r="G501" i="15"/>
  <c r="E502" i="15"/>
  <c r="F502" i="15"/>
  <c r="G502" i="15"/>
  <c r="E503" i="15"/>
  <c r="F503" i="15"/>
  <c r="G503" i="15"/>
  <c r="E504" i="15"/>
  <c r="F504" i="15"/>
  <c r="G504" i="15"/>
  <c r="E505" i="15"/>
  <c r="F505" i="15"/>
  <c r="G505" i="15"/>
  <c r="E506" i="15"/>
  <c r="F506" i="15"/>
  <c r="G506" i="15"/>
  <c r="E507" i="15"/>
  <c r="F507" i="15"/>
  <c r="G507" i="15"/>
  <c r="E508" i="15"/>
  <c r="F508" i="15"/>
  <c r="G508" i="15"/>
  <c r="E509" i="15"/>
  <c r="F509" i="15"/>
  <c r="G509" i="15"/>
  <c r="E510" i="15"/>
  <c r="F510" i="15"/>
  <c r="G510" i="15"/>
  <c r="E511" i="15"/>
  <c r="F511" i="15"/>
  <c r="G511" i="15"/>
  <c r="E512" i="15"/>
  <c r="F512" i="15"/>
  <c r="G512" i="15"/>
  <c r="E513" i="15"/>
  <c r="F513" i="15"/>
  <c r="G513" i="15"/>
  <c r="E514" i="15"/>
  <c r="F514" i="15"/>
  <c r="G514" i="15"/>
  <c r="E515" i="15"/>
  <c r="F515" i="15"/>
  <c r="G515" i="15"/>
  <c r="E516" i="15"/>
  <c r="F516" i="15"/>
  <c r="G516" i="15"/>
  <c r="E517" i="15"/>
  <c r="F517" i="15"/>
  <c r="G517" i="15"/>
  <c r="E518" i="15"/>
  <c r="F518" i="15"/>
  <c r="G518" i="15"/>
  <c r="E519" i="15"/>
  <c r="F519" i="15"/>
  <c r="G519" i="15"/>
  <c r="E520" i="15"/>
  <c r="F520" i="15"/>
  <c r="G520" i="15"/>
  <c r="E521" i="15"/>
  <c r="F521" i="15"/>
  <c r="G521" i="15"/>
  <c r="E522" i="15"/>
  <c r="F522" i="15"/>
  <c r="G522" i="15"/>
  <c r="E523" i="15"/>
  <c r="F523" i="15"/>
  <c r="G523" i="15"/>
  <c r="E524" i="15"/>
  <c r="F524" i="15"/>
  <c r="G524" i="15"/>
  <c r="E525" i="15"/>
  <c r="F525" i="15"/>
  <c r="G525" i="15"/>
  <c r="E526" i="15"/>
  <c r="F526" i="15"/>
  <c r="G526" i="15"/>
  <c r="E527" i="15"/>
  <c r="F527" i="15"/>
  <c r="G527" i="15"/>
  <c r="E528" i="15"/>
  <c r="F528" i="15"/>
  <c r="G528" i="15"/>
  <c r="E529" i="15"/>
  <c r="F529" i="15"/>
  <c r="G529" i="15"/>
  <c r="E530" i="15"/>
  <c r="F530" i="15"/>
  <c r="G530" i="15"/>
  <c r="E531" i="15"/>
  <c r="F531" i="15"/>
  <c r="G531" i="15"/>
  <c r="E532" i="15"/>
  <c r="F532" i="15"/>
  <c r="G532" i="15"/>
  <c r="E533" i="15"/>
  <c r="F533" i="15"/>
  <c r="G533" i="15"/>
  <c r="E534" i="15"/>
  <c r="F534" i="15"/>
  <c r="G534" i="15"/>
  <c r="E535" i="15"/>
  <c r="F535" i="15"/>
  <c r="G535" i="15"/>
  <c r="E536" i="15"/>
  <c r="F536" i="15"/>
  <c r="G536" i="15"/>
  <c r="E537" i="15"/>
  <c r="F537" i="15"/>
  <c r="G537" i="15"/>
  <c r="E538" i="15"/>
  <c r="F538" i="15"/>
  <c r="G538" i="15"/>
  <c r="E539" i="15"/>
  <c r="F539" i="15"/>
  <c r="G539" i="15"/>
  <c r="E540" i="15"/>
  <c r="F540" i="15"/>
  <c r="G540" i="15"/>
  <c r="E541" i="15"/>
  <c r="F541" i="15"/>
  <c r="G541" i="15"/>
  <c r="E542" i="15"/>
  <c r="F542" i="15"/>
  <c r="G542" i="15"/>
  <c r="E543" i="15"/>
  <c r="F543" i="15"/>
  <c r="G543" i="15"/>
  <c r="E544" i="15"/>
  <c r="F544" i="15"/>
  <c r="G544" i="15"/>
  <c r="E545" i="15"/>
  <c r="F545" i="15"/>
  <c r="G545" i="15"/>
  <c r="E546" i="15"/>
  <c r="F546" i="15"/>
  <c r="G546" i="15"/>
  <c r="E547" i="15"/>
  <c r="F547" i="15"/>
  <c r="G547" i="15"/>
  <c r="E548" i="15"/>
  <c r="F548" i="15"/>
  <c r="G548" i="15"/>
  <c r="E549" i="15"/>
  <c r="F549" i="15"/>
  <c r="G549" i="15"/>
  <c r="E550" i="15"/>
  <c r="F550" i="15"/>
  <c r="G550" i="15"/>
  <c r="E551" i="15"/>
  <c r="F551" i="15"/>
  <c r="E552" i="15"/>
  <c r="F552" i="15"/>
  <c r="G552" i="15"/>
  <c r="E553" i="15"/>
  <c r="F553" i="15"/>
  <c r="G553" i="15"/>
  <c r="E554" i="15"/>
  <c r="F554" i="15"/>
  <c r="G554" i="15"/>
  <c r="E555" i="15"/>
  <c r="F555" i="15"/>
  <c r="G555" i="15"/>
  <c r="E556" i="15"/>
  <c r="F556" i="15"/>
  <c r="G556" i="15"/>
  <c r="E557" i="15"/>
  <c r="F557" i="15"/>
  <c r="G557" i="15"/>
  <c r="E558" i="15"/>
  <c r="F558" i="15"/>
  <c r="G558" i="15"/>
  <c r="E559" i="15"/>
  <c r="F559" i="15"/>
  <c r="G559" i="15"/>
  <c r="E560" i="15"/>
  <c r="F560" i="15"/>
  <c r="G560" i="15"/>
  <c r="E561" i="15"/>
  <c r="F561" i="15"/>
  <c r="G561" i="15"/>
  <c r="E562" i="15"/>
  <c r="F562" i="15"/>
  <c r="G562" i="15"/>
  <c r="E563" i="15"/>
  <c r="F563" i="15"/>
  <c r="G563" i="15"/>
  <c r="E564" i="15"/>
  <c r="F564" i="15"/>
  <c r="G564" i="15"/>
  <c r="E565" i="15"/>
  <c r="F565" i="15"/>
  <c r="G565" i="15"/>
  <c r="E566" i="15"/>
  <c r="F566" i="15"/>
  <c r="G566" i="15"/>
  <c r="E567" i="15"/>
  <c r="F567" i="15"/>
  <c r="E568" i="15"/>
  <c r="F568" i="15"/>
  <c r="G568" i="15"/>
  <c r="E569" i="15"/>
  <c r="F569" i="15"/>
  <c r="G569" i="15"/>
  <c r="E570" i="15"/>
  <c r="F570" i="15"/>
  <c r="G570" i="15"/>
  <c r="E571" i="15"/>
  <c r="F571" i="15"/>
  <c r="G571" i="15"/>
  <c r="E572" i="15"/>
  <c r="F572" i="15"/>
  <c r="E573" i="15"/>
  <c r="F573" i="15"/>
  <c r="G573" i="15"/>
  <c r="E574" i="15"/>
  <c r="F574" i="15"/>
  <c r="G574" i="15"/>
  <c r="E575" i="15"/>
  <c r="F575" i="15"/>
  <c r="E576" i="15"/>
  <c r="F576" i="15"/>
  <c r="G576" i="15"/>
  <c r="E577" i="15"/>
  <c r="F577" i="15"/>
  <c r="G577" i="15"/>
  <c r="E578" i="15"/>
  <c r="F578" i="15"/>
  <c r="G578" i="15"/>
  <c r="E579" i="15"/>
  <c r="F579" i="15"/>
  <c r="G579" i="15"/>
  <c r="E580" i="15"/>
  <c r="F580" i="15"/>
  <c r="G580" i="15"/>
  <c r="E581" i="15"/>
  <c r="F581" i="15"/>
  <c r="G581" i="15"/>
  <c r="E582" i="15"/>
  <c r="F582" i="15"/>
  <c r="G582" i="15"/>
  <c r="E583" i="15"/>
  <c r="F583" i="15"/>
  <c r="G583" i="15"/>
  <c r="E584" i="15"/>
  <c r="F584" i="15"/>
  <c r="G584" i="15"/>
  <c r="E585" i="15"/>
  <c r="F585" i="15"/>
  <c r="G585" i="15"/>
  <c r="E586" i="15"/>
  <c r="F586" i="15"/>
  <c r="G586" i="15"/>
  <c r="E587" i="15"/>
  <c r="F587" i="15"/>
  <c r="G587" i="15"/>
  <c r="E588" i="15"/>
  <c r="F588" i="15"/>
  <c r="G588" i="15"/>
  <c r="E589" i="15"/>
  <c r="F589" i="15"/>
  <c r="G589" i="15"/>
  <c r="E590" i="15"/>
  <c r="F590" i="15"/>
  <c r="G590" i="15"/>
  <c r="E591" i="15"/>
  <c r="F591" i="15"/>
  <c r="G591" i="15"/>
  <c r="E592" i="15"/>
  <c r="F592" i="15"/>
  <c r="G592" i="15"/>
  <c r="E593" i="15"/>
  <c r="F593" i="15"/>
  <c r="G593" i="15"/>
  <c r="E594" i="15"/>
  <c r="F594" i="15"/>
  <c r="G594" i="15"/>
  <c r="E595" i="15"/>
  <c r="F595" i="15"/>
  <c r="G595" i="15"/>
  <c r="E596" i="15"/>
  <c r="F596" i="15"/>
  <c r="G596" i="15"/>
  <c r="E597" i="15"/>
  <c r="F597" i="15"/>
  <c r="G597" i="15"/>
  <c r="E598" i="15"/>
  <c r="F598" i="15"/>
  <c r="G598" i="15"/>
  <c r="E599" i="15"/>
  <c r="F599" i="15"/>
  <c r="G599" i="15"/>
  <c r="E600" i="15"/>
  <c r="F600" i="15"/>
  <c r="G600" i="15"/>
  <c r="E601" i="15"/>
  <c r="F601" i="15"/>
  <c r="E602" i="15"/>
  <c r="F602" i="15"/>
  <c r="G602" i="15"/>
  <c r="E603" i="15"/>
  <c r="F603" i="15"/>
  <c r="G603" i="15"/>
  <c r="E604" i="15"/>
  <c r="F604" i="15"/>
  <c r="G604" i="15"/>
  <c r="E605" i="15"/>
  <c r="F605" i="15"/>
  <c r="G605" i="15"/>
  <c r="E606" i="15"/>
  <c r="F606" i="15"/>
  <c r="G606" i="15"/>
  <c r="E607" i="15"/>
  <c r="F607" i="15"/>
  <c r="E608" i="15"/>
  <c r="F608" i="15"/>
  <c r="G608" i="15"/>
  <c r="E609" i="15"/>
  <c r="F609" i="15"/>
  <c r="E610" i="15"/>
  <c r="F610" i="15"/>
  <c r="G610" i="15"/>
  <c r="E611" i="15"/>
  <c r="F611" i="15"/>
  <c r="G611" i="15"/>
  <c r="E612" i="15"/>
  <c r="F612" i="15"/>
  <c r="G612" i="15"/>
  <c r="E613" i="15"/>
  <c r="F613" i="15"/>
  <c r="G613" i="15"/>
  <c r="E614" i="15"/>
  <c r="F614" i="15"/>
  <c r="G614" i="15"/>
  <c r="E615" i="15"/>
  <c r="F615" i="15"/>
  <c r="G615" i="15"/>
  <c r="E616" i="15"/>
  <c r="F616" i="15"/>
  <c r="G616" i="15"/>
  <c r="E617" i="15"/>
  <c r="F617" i="15"/>
  <c r="G617" i="15"/>
  <c r="E618" i="15"/>
  <c r="F618" i="15"/>
  <c r="E619" i="15"/>
  <c r="F619" i="15"/>
  <c r="G619" i="15"/>
  <c r="B4" i="14"/>
  <c r="B10" i="14"/>
  <c r="C20" i="14"/>
  <c r="E20" i="14"/>
  <c r="B5" i="14" s="1"/>
  <c r="F20" i="14"/>
  <c r="G20" i="14"/>
  <c r="K20" i="14"/>
  <c r="C21" i="14"/>
  <c r="E21" i="14"/>
  <c r="F21" i="14"/>
  <c r="G21" i="14"/>
  <c r="H21" i="14"/>
  <c r="C22" i="14"/>
  <c r="E22" i="14"/>
  <c r="F22" i="14"/>
  <c r="G22" i="14"/>
  <c r="H22" i="14"/>
  <c r="C23" i="14"/>
  <c r="E23" i="14"/>
  <c r="F23" i="14"/>
  <c r="G23" i="14"/>
  <c r="H23" i="14"/>
  <c r="C24" i="14"/>
  <c r="E24" i="14"/>
  <c r="F24" i="14"/>
  <c r="G24" i="14"/>
  <c r="H24" i="14"/>
  <c r="C25" i="14"/>
  <c r="E25" i="14"/>
  <c r="F25" i="14"/>
  <c r="C26" i="14"/>
  <c r="E26" i="14"/>
  <c r="F26" i="14"/>
  <c r="G26" i="14"/>
  <c r="C27" i="14"/>
  <c r="E27" i="14"/>
  <c r="F27" i="14"/>
  <c r="G27" i="14"/>
  <c r="H27" i="14"/>
  <c r="C28" i="14"/>
  <c r="E28" i="14"/>
  <c r="F28" i="14"/>
  <c r="C29" i="14"/>
  <c r="E29" i="14"/>
  <c r="F29" i="14"/>
  <c r="G29" i="14"/>
  <c r="C30" i="14"/>
  <c r="E30" i="14"/>
  <c r="F30" i="14"/>
  <c r="G30" i="14"/>
  <c r="H30" i="14"/>
  <c r="C31" i="14"/>
  <c r="E31" i="14"/>
  <c r="F31" i="14"/>
  <c r="G31" i="14"/>
  <c r="H31" i="14"/>
  <c r="C32" i="14"/>
  <c r="H32" i="14" s="1"/>
  <c r="E32" i="14"/>
  <c r="F32" i="14"/>
  <c r="G32" i="14"/>
  <c r="C33" i="14"/>
  <c r="E33" i="14"/>
  <c r="F33" i="14"/>
  <c r="G33" i="14"/>
  <c r="H33" i="14"/>
  <c r="C34" i="14"/>
  <c r="E34" i="14"/>
  <c r="F34" i="14"/>
  <c r="G34" i="14"/>
  <c r="H34" i="14" s="1"/>
  <c r="C35" i="14"/>
  <c r="E35" i="14"/>
  <c r="F35" i="14"/>
  <c r="C36" i="14"/>
  <c r="E36" i="14"/>
  <c r="F36" i="14"/>
  <c r="G36" i="14"/>
  <c r="C37" i="14"/>
  <c r="E37" i="14"/>
  <c r="F37" i="14"/>
  <c r="G37" i="14"/>
  <c r="H37" i="14"/>
  <c r="C38" i="14"/>
  <c r="E38" i="14"/>
  <c r="F38" i="14"/>
  <c r="C39" i="14"/>
  <c r="E39" i="14"/>
  <c r="F39" i="14"/>
  <c r="G39" i="14"/>
  <c r="C40" i="14"/>
  <c r="E40" i="14"/>
  <c r="F40" i="14"/>
  <c r="G40" i="14"/>
  <c r="H40" i="14"/>
  <c r="C41" i="14"/>
  <c r="E41" i="14"/>
  <c r="F41" i="14"/>
  <c r="G41" i="14"/>
  <c r="H41" i="14"/>
  <c r="C42" i="14"/>
  <c r="E42" i="14"/>
  <c r="F42" i="14"/>
  <c r="G42" i="14"/>
  <c r="H42" i="14"/>
  <c r="C43" i="14"/>
  <c r="E43" i="14"/>
  <c r="F43" i="14"/>
  <c r="C44" i="14"/>
  <c r="E44" i="14"/>
  <c r="F44" i="14"/>
  <c r="G44" i="14"/>
  <c r="C45" i="14"/>
  <c r="E45" i="14"/>
  <c r="F45" i="14"/>
  <c r="C46" i="14"/>
  <c r="E46" i="14"/>
  <c r="F46" i="14"/>
  <c r="G46" i="14"/>
  <c r="C47" i="14"/>
  <c r="E47" i="14"/>
  <c r="F47" i="14"/>
  <c r="C48" i="14"/>
  <c r="E48" i="14"/>
  <c r="F48" i="14"/>
  <c r="G48" i="14"/>
  <c r="C49" i="14"/>
  <c r="E49" i="14"/>
  <c r="F49" i="14"/>
  <c r="G49" i="14"/>
  <c r="H49" i="14"/>
  <c r="C50" i="14"/>
  <c r="E50" i="14"/>
  <c r="F50" i="14"/>
  <c r="C51" i="14"/>
  <c r="E51" i="14"/>
  <c r="F51" i="14"/>
  <c r="G51" i="14"/>
  <c r="C52" i="14"/>
  <c r="E52" i="14"/>
  <c r="F52" i="14"/>
  <c r="C53" i="14"/>
  <c r="E53" i="14"/>
  <c r="F53" i="14"/>
  <c r="G53" i="14"/>
  <c r="C54" i="14"/>
  <c r="E54" i="14"/>
  <c r="F54" i="14"/>
  <c r="C55" i="14"/>
  <c r="E55" i="14"/>
  <c r="F55" i="14"/>
  <c r="G55" i="14"/>
  <c r="C56" i="14"/>
  <c r="E56" i="14"/>
  <c r="F56" i="14"/>
  <c r="C57" i="14"/>
  <c r="E57" i="14"/>
  <c r="F57" i="14"/>
  <c r="G57" i="14"/>
  <c r="C58" i="14"/>
  <c r="E58" i="14"/>
  <c r="F58" i="14"/>
  <c r="C59" i="14"/>
  <c r="E59" i="14"/>
  <c r="F59" i="14"/>
  <c r="G59" i="14"/>
  <c r="C60" i="14"/>
  <c r="E60" i="14"/>
  <c r="F60" i="14"/>
  <c r="C61" i="14"/>
  <c r="E61" i="14"/>
  <c r="F61" i="14"/>
  <c r="C62" i="14"/>
  <c r="E62" i="14"/>
  <c r="F62" i="14"/>
  <c r="G62" i="14"/>
  <c r="C63" i="14"/>
  <c r="H63" i="14" s="1"/>
  <c r="E63" i="14"/>
  <c r="F63" i="14"/>
  <c r="G63" i="14"/>
  <c r="E64" i="14"/>
  <c r="F64" i="14"/>
  <c r="G64" i="14"/>
  <c r="E65" i="14"/>
  <c r="F65" i="14"/>
  <c r="G65" i="14"/>
  <c r="E66" i="14"/>
  <c r="F66" i="14"/>
  <c r="G66" i="14"/>
  <c r="E67" i="14"/>
  <c r="F67" i="14"/>
  <c r="G67" i="14"/>
  <c r="E68" i="14"/>
  <c r="F68" i="14"/>
  <c r="G68" i="14"/>
  <c r="E69" i="14"/>
  <c r="F69" i="14"/>
  <c r="G69" i="14"/>
  <c r="E70" i="14"/>
  <c r="F70" i="14"/>
  <c r="G70" i="14"/>
  <c r="E71" i="14"/>
  <c r="F71" i="14"/>
  <c r="G71" i="14"/>
  <c r="E72" i="14"/>
  <c r="F72" i="14"/>
  <c r="G72" i="14"/>
  <c r="E73" i="14"/>
  <c r="F73" i="14"/>
  <c r="G73" i="14"/>
  <c r="E74" i="14"/>
  <c r="F74" i="14"/>
  <c r="G74" i="14"/>
  <c r="E75" i="14"/>
  <c r="F75" i="14"/>
  <c r="G75" i="14"/>
  <c r="E76" i="14"/>
  <c r="F76" i="14"/>
  <c r="G76" i="14"/>
  <c r="E77" i="14"/>
  <c r="F77" i="14"/>
  <c r="G77" i="14"/>
  <c r="E78" i="14"/>
  <c r="F78" i="14"/>
  <c r="G78" i="14"/>
  <c r="E79" i="14"/>
  <c r="F79" i="14"/>
  <c r="G79" i="14"/>
  <c r="E80" i="14"/>
  <c r="F80" i="14"/>
  <c r="G80" i="14"/>
  <c r="E81" i="14"/>
  <c r="F81" i="14"/>
  <c r="G81" i="14"/>
  <c r="E82" i="14"/>
  <c r="F82" i="14"/>
  <c r="G82" i="14"/>
  <c r="E83" i="14"/>
  <c r="F83" i="14"/>
  <c r="G83" i="14"/>
  <c r="E84" i="14"/>
  <c r="F84" i="14"/>
  <c r="G84" i="14"/>
  <c r="E85" i="14"/>
  <c r="F85" i="14"/>
  <c r="G85" i="14"/>
  <c r="E86" i="14"/>
  <c r="F86" i="14"/>
  <c r="G86" i="14"/>
  <c r="E87" i="14"/>
  <c r="F87" i="14"/>
  <c r="G87" i="14"/>
  <c r="E88" i="14"/>
  <c r="F88" i="14"/>
  <c r="G88" i="14"/>
  <c r="E89" i="14"/>
  <c r="F89" i="14"/>
  <c r="G89" i="14"/>
  <c r="E90" i="14"/>
  <c r="F90" i="14"/>
  <c r="G90" i="14"/>
  <c r="E91" i="14"/>
  <c r="F91" i="14"/>
  <c r="G91" i="14"/>
  <c r="E92" i="14"/>
  <c r="F92" i="14"/>
  <c r="G92" i="14"/>
  <c r="E93" i="14"/>
  <c r="F93" i="14"/>
  <c r="G93" i="14"/>
  <c r="E94" i="14"/>
  <c r="F94" i="14"/>
  <c r="G94" i="14"/>
  <c r="E95" i="14"/>
  <c r="F95" i="14"/>
  <c r="G95" i="14"/>
  <c r="E96" i="14"/>
  <c r="F96" i="14"/>
  <c r="G96" i="14"/>
  <c r="E97" i="14"/>
  <c r="F97" i="14"/>
  <c r="G97" i="14"/>
  <c r="E98" i="14"/>
  <c r="F98" i="14"/>
  <c r="G98" i="14"/>
  <c r="E99" i="14"/>
  <c r="F99" i="14"/>
  <c r="G99" i="14"/>
  <c r="E100" i="14"/>
  <c r="F100" i="14"/>
  <c r="G100" i="14"/>
  <c r="E101" i="14"/>
  <c r="F101" i="14"/>
  <c r="G101" i="14"/>
  <c r="E102" i="14"/>
  <c r="F102" i="14"/>
  <c r="G102" i="14"/>
  <c r="E103" i="14"/>
  <c r="F103" i="14"/>
  <c r="G103" i="14"/>
  <c r="E104" i="14"/>
  <c r="F104" i="14"/>
  <c r="G104" i="14"/>
  <c r="E105" i="14"/>
  <c r="F105" i="14"/>
  <c r="G105" i="14"/>
  <c r="E106" i="14"/>
  <c r="F106" i="14"/>
  <c r="G106" i="14"/>
  <c r="E107" i="14"/>
  <c r="F107" i="14"/>
  <c r="G107" i="14"/>
  <c r="E108" i="14"/>
  <c r="F108" i="14"/>
  <c r="G108" i="14"/>
  <c r="E109" i="14"/>
  <c r="F109" i="14"/>
  <c r="G109" i="14"/>
  <c r="E110" i="14"/>
  <c r="F110" i="14"/>
  <c r="G110" i="14"/>
  <c r="E111" i="14"/>
  <c r="F111" i="14"/>
  <c r="G111" i="14"/>
  <c r="E112" i="14"/>
  <c r="F112" i="14"/>
  <c r="G112" i="14"/>
  <c r="E113" i="14"/>
  <c r="F113" i="14"/>
  <c r="G113" i="14"/>
  <c r="E114" i="14"/>
  <c r="F114" i="14"/>
  <c r="G114" i="14"/>
  <c r="E115" i="14"/>
  <c r="F115" i="14"/>
  <c r="G115" i="14"/>
  <c r="E116" i="14"/>
  <c r="F116" i="14"/>
  <c r="G116" i="14"/>
  <c r="E117" i="14"/>
  <c r="F117" i="14"/>
  <c r="G117" i="14"/>
  <c r="E118" i="14"/>
  <c r="F118" i="14"/>
  <c r="G118" i="14"/>
  <c r="E119" i="14"/>
  <c r="F119" i="14"/>
  <c r="G119" i="14"/>
  <c r="E120" i="14"/>
  <c r="F120" i="14"/>
  <c r="G120" i="14"/>
  <c r="E121" i="14"/>
  <c r="F121" i="14"/>
  <c r="G121" i="14"/>
  <c r="E122" i="14"/>
  <c r="F122" i="14"/>
  <c r="G122" i="14"/>
  <c r="E123" i="14"/>
  <c r="F123" i="14"/>
  <c r="G123" i="14"/>
  <c r="E124" i="14"/>
  <c r="F124" i="14"/>
  <c r="G124" i="14"/>
  <c r="E125" i="14"/>
  <c r="F125" i="14"/>
  <c r="G125" i="14"/>
  <c r="E126" i="14"/>
  <c r="F126" i="14"/>
  <c r="G126" i="14"/>
  <c r="E127" i="14"/>
  <c r="F127" i="14"/>
  <c r="G127" i="14"/>
  <c r="E128" i="14"/>
  <c r="F128" i="14"/>
  <c r="G128" i="14"/>
  <c r="E129" i="14"/>
  <c r="F129" i="14"/>
  <c r="G129" i="14"/>
  <c r="E130" i="14"/>
  <c r="F130" i="14"/>
  <c r="G130" i="14"/>
  <c r="E131" i="14"/>
  <c r="F131" i="14"/>
  <c r="G131" i="14"/>
  <c r="E132" i="14"/>
  <c r="F132" i="14"/>
  <c r="G132" i="14"/>
  <c r="E133" i="14"/>
  <c r="F133" i="14"/>
  <c r="G133" i="14"/>
  <c r="E134" i="14"/>
  <c r="F134" i="14"/>
  <c r="G134" i="14"/>
  <c r="E135" i="14"/>
  <c r="F135" i="14"/>
  <c r="G135" i="14"/>
  <c r="E136" i="14"/>
  <c r="F136" i="14"/>
  <c r="G136" i="14"/>
  <c r="E137" i="14"/>
  <c r="F137" i="14"/>
  <c r="G137" i="14"/>
  <c r="E138" i="14"/>
  <c r="F138" i="14"/>
  <c r="G138" i="14"/>
  <c r="E139" i="14"/>
  <c r="F139" i="14"/>
  <c r="G139" i="14"/>
  <c r="E140" i="14"/>
  <c r="F140" i="14"/>
  <c r="G140" i="14"/>
  <c r="E141" i="14"/>
  <c r="F141" i="14"/>
  <c r="G141" i="14"/>
  <c r="E142" i="14"/>
  <c r="F142" i="14"/>
  <c r="G142" i="14"/>
  <c r="E143" i="14"/>
  <c r="F143" i="14"/>
  <c r="G143" i="14"/>
  <c r="E144" i="14"/>
  <c r="F144" i="14"/>
  <c r="G144" i="14"/>
  <c r="E145" i="14"/>
  <c r="F145" i="14"/>
  <c r="G145" i="14"/>
  <c r="E146" i="14"/>
  <c r="F146" i="14"/>
  <c r="G146" i="14"/>
  <c r="E147" i="14"/>
  <c r="F147" i="14"/>
  <c r="G147" i="14"/>
  <c r="E148" i="14"/>
  <c r="F148" i="14"/>
  <c r="G148" i="14"/>
  <c r="E149" i="14"/>
  <c r="F149" i="14"/>
  <c r="G149" i="14"/>
  <c r="E150" i="14"/>
  <c r="F150" i="14"/>
  <c r="G150" i="14"/>
  <c r="E151" i="14"/>
  <c r="F151" i="14"/>
  <c r="G151" i="14"/>
  <c r="E152" i="14"/>
  <c r="F152" i="14"/>
  <c r="G152" i="14"/>
  <c r="E153" i="14"/>
  <c r="F153" i="14"/>
  <c r="G153" i="14"/>
  <c r="E154" i="14"/>
  <c r="F154" i="14"/>
  <c r="G154" i="14"/>
  <c r="E155" i="14"/>
  <c r="F155" i="14"/>
  <c r="G155" i="14"/>
  <c r="E156" i="14"/>
  <c r="F156" i="14"/>
  <c r="G156" i="14"/>
  <c r="E157" i="14"/>
  <c r="F157" i="14"/>
  <c r="G157" i="14"/>
  <c r="E158" i="14"/>
  <c r="F158" i="14"/>
  <c r="G158" i="14"/>
  <c r="E159" i="14"/>
  <c r="F159" i="14"/>
  <c r="G159" i="14"/>
  <c r="E160" i="14"/>
  <c r="F160" i="14"/>
  <c r="G160" i="14"/>
  <c r="E161" i="14"/>
  <c r="F161" i="14"/>
  <c r="G161" i="14"/>
  <c r="E162" i="14"/>
  <c r="F162" i="14"/>
  <c r="G162" i="14"/>
  <c r="E163" i="14"/>
  <c r="F163" i="14"/>
  <c r="G163" i="14"/>
  <c r="E164" i="14"/>
  <c r="F164" i="14"/>
  <c r="G164" i="14"/>
  <c r="E165" i="14"/>
  <c r="F165" i="14"/>
  <c r="G165" i="14"/>
  <c r="E166" i="14"/>
  <c r="F166" i="14"/>
  <c r="G166" i="14"/>
  <c r="E167" i="14"/>
  <c r="F167" i="14"/>
  <c r="G167" i="14"/>
  <c r="E168" i="14"/>
  <c r="F168" i="14"/>
  <c r="G168" i="14"/>
  <c r="E169" i="14"/>
  <c r="F169" i="14"/>
  <c r="G169" i="14"/>
  <c r="E170" i="14"/>
  <c r="F170" i="14"/>
  <c r="G170" i="14"/>
  <c r="E171" i="14"/>
  <c r="F171" i="14"/>
  <c r="G171" i="14"/>
  <c r="E172" i="14"/>
  <c r="F172" i="14"/>
  <c r="G172" i="14"/>
  <c r="E173" i="14"/>
  <c r="F173" i="14"/>
  <c r="G173" i="14"/>
  <c r="E174" i="14"/>
  <c r="F174" i="14"/>
  <c r="G174" i="14"/>
  <c r="E175" i="14"/>
  <c r="F175" i="14"/>
  <c r="G175" i="14"/>
  <c r="E176" i="14"/>
  <c r="F176" i="14"/>
  <c r="G176" i="14"/>
  <c r="E177" i="14"/>
  <c r="F177" i="14"/>
  <c r="G177" i="14"/>
  <c r="E178" i="14"/>
  <c r="F178" i="14"/>
  <c r="G178" i="14"/>
  <c r="E179" i="14"/>
  <c r="F179" i="14"/>
  <c r="G179" i="14"/>
  <c r="E180" i="14"/>
  <c r="F180" i="14"/>
  <c r="G180" i="14"/>
  <c r="E181" i="14"/>
  <c r="F181" i="14"/>
  <c r="G181" i="14"/>
  <c r="E182" i="14"/>
  <c r="F182" i="14"/>
  <c r="G182" i="14"/>
  <c r="E183" i="14"/>
  <c r="F183" i="14"/>
  <c r="G183" i="14"/>
  <c r="E184" i="14"/>
  <c r="F184" i="14"/>
  <c r="G184" i="14"/>
  <c r="E185" i="14"/>
  <c r="F185" i="14"/>
  <c r="G185" i="14"/>
  <c r="E186" i="14"/>
  <c r="F186" i="14"/>
  <c r="G186" i="14"/>
  <c r="E187" i="14"/>
  <c r="F187" i="14"/>
  <c r="G187" i="14"/>
  <c r="E188" i="14"/>
  <c r="F188" i="14"/>
  <c r="G188" i="14"/>
  <c r="E189" i="14"/>
  <c r="F189" i="14"/>
  <c r="G189" i="14"/>
  <c r="E190" i="14"/>
  <c r="F190" i="14"/>
  <c r="G190" i="14"/>
  <c r="E191" i="14"/>
  <c r="F191" i="14"/>
  <c r="G191" i="14"/>
  <c r="E192" i="14"/>
  <c r="F192" i="14"/>
  <c r="G192" i="14"/>
  <c r="E193" i="14"/>
  <c r="F193" i="14"/>
  <c r="G193" i="14"/>
  <c r="E194" i="14"/>
  <c r="F194" i="14"/>
  <c r="G194" i="14"/>
  <c r="E195" i="14"/>
  <c r="F195" i="14"/>
  <c r="G195" i="14"/>
  <c r="E196" i="14"/>
  <c r="F196" i="14"/>
  <c r="G196" i="14"/>
  <c r="E197" i="14"/>
  <c r="F197" i="14"/>
  <c r="G197" i="14"/>
  <c r="E198" i="14"/>
  <c r="F198" i="14"/>
  <c r="G198" i="14"/>
  <c r="E199" i="14"/>
  <c r="F199" i="14"/>
  <c r="G199" i="14"/>
  <c r="E200" i="14"/>
  <c r="F200" i="14"/>
  <c r="G200" i="14"/>
  <c r="E201" i="14"/>
  <c r="F201" i="14"/>
  <c r="G201" i="14"/>
  <c r="E202" i="14"/>
  <c r="F202" i="14"/>
  <c r="G202" i="14"/>
  <c r="E203" i="14"/>
  <c r="F203" i="14"/>
  <c r="G203" i="14"/>
  <c r="E204" i="14"/>
  <c r="F204" i="14"/>
  <c r="G204" i="14"/>
  <c r="E205" i="14"/>
  <c r="F205" i="14"/>
  <c r="G205" i="14"/>
  <c r="E206" i="14"/>
  <c r="F206" i="14"/>
  <c r="G206" i="14"/>
  <c r="E207" i="14"/>
  <c r="F207" i="14"/>
  <c r="G207" i="14"/>
  <c r="E208" i="14"/>
  <c r="F208" i="14"/>
  <c r="G208" i="14"/>
  <c r="E209" i="14"/>
  <c r="F209" i="14"/>
  <c r="G209" i="14"/>
  <c r="E210" i="14"/>
  <c r="F210" i="14"/>
  <c r="G210" i="14"/>
  <c r="E211" i="14"/>
  <c r="F211" i="14"/>
  <c r="G211" i="14"/>
  <c r="E212" i="14"/>
  <c r="F212" i="14"/>
  <c r="G212" i="14"/>
  <c r="E213" i="14"/>
  <c r="F213" i="14"/>
  <c r="G213" i="14"/>
  <c r="E214" i="14"/>
  <c r="F214" i="14"/>
  <c r="G214" i="14"/>
  <c r="E215" i="14"/>
  <c r="F215" i="14"/>
  <c r="G215" i="14"/>
  <c r="E216" i="14"/>
  <c r="F216" i="14"/>
  <c r="G216" i="14"/>
  <c r="E217" i="14"/>
  <c r="F217" i="14"/>
  <c r="G217" i="14"/>
  <c r="E218" i="14"/>
  <c r="F218" i="14"/>
  <c r="G218" i="14"/>
  <c r="E219" i="14"/>
  <c r="F219" i="14"/>
  <c r="G219" i="14"/>
  <c r="E220" i="14"/>
  <c r="F220" i="14"/>
  <c r="G220" i="14"/>
  <c r="E221" i="14"/>
  <c r="F221" i="14"/>
  <c r="G221" i="14"/>
  <c r="E222" i="14"/>
  <c r="F222" i="14"/>
  <c r="G222" i="14"/>
  <c r="E223" i="14"/>
  <c r="F223" i="14"/>
  <c r="G223" i="14"/>
  <c r="E224" i="14"/>
  <c r="F224" i="14"/>
  <c r="G224" i="14"/>
  <c r="E225" i="14"/>
  <c r="F225" i="14"/>
  <c r="G225" i="14"/>
  <c r="E226" i="14"/>
  <c r="F226" i="14"/>
  <c r="G226" i="14"/>
  <c r="E227" i="14"/>
  <c r="F227" i="14"/>
  <c r="G227" i="14"/>
  <c r="E228" i="14"/>
  <c r="F228" i="14"/>
  <c r="G228" i="14"/>
  <c r="E229" i="14"/>
  <c r="F229" i="14"/>
  <c r="G229" i="14"/>
  <c r="E230" i="14"/>
  <c r="F230" i="14"/>
  <c r="G230" i="14"/>
  <c r="E231" i="14"/>
  <c r="F231" i="14"/>
  <c r="G231" i="14"/>
  <c r="E232" i="14"/>
  <c r="F232" i="14"/>
  <c r="G232" i="14"/>
  <c r="E233" i="14"/>
  <c r="F233" i="14"/>
  <c r="G233" i="14"/>
  <c r="E234" i="14"/>
  <c r="F234" i="14"/>
  <c r="G234" i="14"/>
  <c r="E235" i="14"/>
  <c r="F235" i="14"/>
  <c r="G235" i="14"/>
  <c r="E236" i="14"/>
  <c r="F236" i="14"/>
  <c r="G236" i="14"/>
  <c r="E237" i="14"/>
  <c r="F237" i="14"/>
  <c r="G237" i="14"/>
  <c r="E238" i="14"/>
  <c r="F238" i="14"/>
  <c r="G238" i="14"/>
  <c r="E239" i="14"/>
  <c r="F239" i="14"/>
  <c r="G239" i="14"/>
  <c r="E240" i="14"/>
  <c r="F240" i="14"/>
  <c r="G240" i="14"/>
  <c r="E241" i="14"/>
  <c r="F241" i="14"/>
  <c r="G241" i="14"/>
  <c r="E242" i="14"/>
  <c r="F242" i="14"/>
  <c r="G242" i="14"/>
  <c r="E243" i="14"/>
  <c r="F243" i="14"/>
  <c r="G243" i="14"/>
  <c r="E244" i="14"/>
  <c r="F244" i="14"/>
  <c r="G244" i="14"/>
  <c r="E245" i="14"/>
  <c r="F245" i="14"/>
  <c r="G245" i="14"/>
  <c r="E246" i="14"/>
  <c r="F246" i="14"/>
  <c r="G246" i="14"/>
  <c r="E247" i="14"/>
  <c r="F247" i="14"/>
  <c r="G247" i="14"/>
  <c r="E248" i="14"/>
  <c r="F248" i="14"/>
  <c r="G248" i="14"/>
  <c r="E249" i="14"/>
  <c r="F249" i="14"/>
  <c r="G249" i="14"/>
  <c r="E250" i="14"/>
  <c r="F250" i="14"/>
  <c r="G250" i="14"/>
  <c r="E251" i="14"/>
  <c r="F251" i="14"/>
  <c r="G251" i="14"/>
  <c r="E252" i="14"/>
  <c r="F252" i="14"/>
  <c r="G252" i="14"/>
  <c r="E253" i="14"/>
  <c r="F253" i="14"/>
  <c r="G253" i="14"/>
  <c r="E254" i="14"/>
  <c r="F254" i="14"/>
  <c r="G254" i="14"/>
  <c r="E255" i="14"/>
  <c r="F255" i="14"/>
  <c r="G255" i="14"/>
  <c r="E256" i="14"/>
  <c r="F256" i="14"/>
  <c r="G256" i="14"/>
  <c r="E257" i="14"/>
  <c r="F257" i="14"/>
  <c r="G257" i="14"/>
  <c r="E258" i="14"/>
  <c r="F258" i="14"/>
  <c r="G258" i="14"/>
  <c r="E259" i="14"/>
  <c r="F259" i="14"/>
  <c r="G259" i="14"/>
  <c r="E260" i="14"/>
  <c r="F260" i="14"/>
  <c r="G260" i="14"/>
  <c r="E261" i="14"/>
  <c r="F261" i="14"/>
  <c r="G261" i="14"/>
  <c r="E262" i="14"/>
  <c r="F262" i="14"/>
  <c r="G262" i="14"/>
  <c r="E263" i="14"/>
  <c r="F263" i="14"/>
  <c r="G263" i="14"/>
  <c r="E264" i="14"/>
  <c r="F264" i="14"/>
  <c r="G264" i="14"/>
  <c r="E265" i="14"/>
  <c r="F265" i="14"/>
  <c r="G265" i="14"/>
  <c r="E266" i="14"/>
  <c r="F266" i="14"/>
  <c r="G266" i="14"/>
  <c r="E267" i="14"/>
  <c r="F267" i="14"/>
  <c r="G267" i="14"/>
  <c r="E268" i="14"/>
  <c r="F268" i="14"/>
  <c r="G268" i="14"/>
  <c r="E269" i="14"/>
  <c r="F269" i="14"/>
  <c r="G269" i="14"/>
  <c r="E270" i="14"/>
  <c r="F270" i="14"/>
  <c r="G270" i="14"/>
  <c r="E271" i="14"/>
  <c r="F271" i="14"/>
  <c r="G271" i="14"/>
  <c r="E272" i="14"/>
  <c r="F272" i="14"/>
  <c r="G272" i="14"/>
  <c r="E273" i="14"/>
  <c r="F273" i="14"/>
  <c r="G273" i="14"/>
  <c r="E274" i="14"/>
  <c r="F274" i="14"/>
  <c r="G274" i="14"/>
  <c r="E275" i="14"/>
  <c r="F275" i="14"/>
  <c r="G275" i="14"/>
  <c r="E276" i="14"/>
  <c r="F276" i="14"/>
  <c r="G276" i="14"/>
  <c r="E277" i="14"/>
  <c r="F277" i="14"/>
  <c r="G277" i="14"/>
  <c r="E278" i="14"/>
  <c r="F278" i="14"/>
  <c r="G278" i="14"/>
  <c r="E279" i="14"/>
  <c r="F279" i="14"/>
  <c r="G279" i="14"/>
  <c r="E280" i="14"/>
  <c r="F280" i="14"/>
  <c r="G280" i="14"/>
  <c r="E281" i="14"/>
  <c r="F281" i="14"/>
  <c r="G281" i="14"/>
  <c r="E282" i="14"/>
  <c r="F282" i="14"/>
  <c r="G282" i="14"/>
  <c r="E283" i="14"/>
  <c r="F283" i="14"/>
  <c r="G283" i="14"/>
  <c r="E284" i="14"/>
  <c r="F284" i="14"/>
  <c r="G284" i="14"/>
  <c r="E285" i="14"/>
  <c r="F285" i="14"/>
  <c r="G285" i="14"/>
  <c r="E286" i="14"/>
  <c r="F286" i="14"/>
  <c r="G286" i="14"/>
  <c r="E287" i="14"/>
  <c r="F287" i="14"/>
  <c r="G287" i="14"/>
  <c r="E288" i="14"/>
  <c r="F288" i="14"/>
  <c r="G288" i="14"/>
  <c r="E289" i="14"/>
  <c r="F289" i="14"/>
  <c r="G289" i="14"/>
  <c r="E290" i="14"/>
  <c r="F290" i="14"/>
  <c r="G290" i="14"/>
  <c r="E291" i="14"/>
  <c r="F291" i="14"/>
  <c r="G291" i="14"/>
  <c r="E292" i="14"/>
  <c r="F292" i="14"/>
  <c r="G292" i="14"/>
  <c r="E293" i="14"/>
  <c r="F293" i="14"/>
  <c r="G293" i="14"/>
  <c r="E294" i="14"/>
  <c r="F294" i="14"/>
  <c r="G294" i="14"/>
  <c r="E295" i="14"/>
  <c r="F295" i="14"/>
  <c r="G295" i="14"/>
  <c r="E296" i="14"/>
  <c r="F296" i="14"/>
  <c r="G296" i="14"/>
  <c r="E297" i="14"/>
  <c r="F297" i="14"/>
  <c r="G297" i="14"/>
  <c r="E298" i="14"/>
  <c r="F298" i="14"/>
  <c r="G298" i="14"/>
  <c r="E299" i="14"/>
  <c r="F299" i="14"/>
  <c r="G299" i="14"/>
  <c r="E300" i="14"/>
  <c r="F300" i="14"/>
  <c r="G300" i="14"/>
  <c r="E301" i="14"/>
  <c r="F301" i="14"/>
  <c r="G301" i="14"/>
  <c r="E302" i="14"/>
  <c r="F302" i="14"/>
  <c r="G302" i="14"/>
  <c r="E303" i="14"/>
  <c r="F303" i="14"/>
  <c r="G303" i="14"/>
  <c r="E304" i="14"/>
  <c r="F304" i="14"/>
  <c r="G304" i="14"/>
  <c r="E305" i="14"/>
  <c r="F305" i="14"/>
  <c r="G305" i="14"/>
  <c r="E306" i="14"/>
  <c r="F306" i="14"/>
  <c r="G306" i="14"/>
  <c r="E307" i="14"/>
  <c r="F307" i="14"/>
  <c r="G307" i="14"/>
  <c r="E308" i="14"/>
  <c r="F308" i="14"/>
  <c r="G308" i="14"/>
  <c r="E309" i="14"/>
  <c r="F309" i="14"/>
  <c r="G309" i="14"/>
  <c r="E310" i="14"/>
  <c r="F310" i="14"/>
  <c r="G310" i="14"/>
  <c r="E311" i="14"/>
  <c r="F311" i="14"/>
  <c r="G311" i="14"/>
  <c r="E312" i="14"/>
  <c r="F312" i="14"/>
  <c r="G312" i="14"/>
  <c r="E313" i="14"/>
  <c r="F313" i="14"/>
  <c r="G313" i="14"/>
  <c r="E314" i="14"/>
  <c r="F314" i="14"/>
  <c r="G314" i="14"/>
  <c r="E315" i="14"/>
  <c r="F315" i="14"/>
  <c r="G315" i="14"/>
  <c r="E316" i="14"/>
  <c r="F316" i="14"/>
  <c r="G316" i="14"/>
  <c r="E317" i="14"/>
  <c r="F317" i="14"/>
  <c r="G317" i="14"/>
  <c r="E318" i="14"/>
  <c r="F318" i="14"/>
  <c r="G318" i="14"/>
  <c r="E319" i="14"/>
  <c r="F319" i="14"/>
  <c r="G319" i="14"/>
  <c r="E320" i="14"/>
  <c r="F320" i="14"/>
  <c r="G320" i="14"/>
  <c r="E321" i="14"/>
  <c r="F321" i="14"/>
  <c r="G321" i="14"/>
  <c r="E322" i="14"/>
  <c r="F322" i="14"/>
  <c r="G322" i="14"/>
  <c r="E323" i="14"/>
  <c r="F323" i="14"/>
  <c r="G323" i="14"/>
  <c r="E324" i="14"/>
  <c r="F324" i="14"/>
  <c r="G324" i="14"/>
  <c r="E325" i="14"/>
  <c r="F325" i="14"/>
  <c r="G325" i="14"/>
  <c r="E326" i="14"/>
  <c r="F326" i="14"/>
  <c r="G326" i="14"/>
  <c r="E327" i="14"/>
  <c r="F327" i="14"/>
  <c r="G327" i="14"/>
  <c r="E328" i="14"/>
  <c r="F328" i="14"/>
  <c r="G328" i="14"/>
  <c r="E329" i="14"/>
  <c r="F329" i="14"/>
  <c r="G329" i="14"/>
  <c r="E330" i="14"/>
  <c r="F330" i="14"/>
  <c r="G330" i="14"/>
  <c r="E331" i="14"/>
  <c r="F331" i="14"/>
  <c r="G331" i="14"/>
  <c r="E332" i="14"/>
  <c r="F332" i="14"/>
  <c r="G332" i="14"/>
  <c r="E333" i="14"/>
  <c r="F333" i="14"/>
  <c r="G333" i="14"/>
  <c r="E334" i="14"/>
  <c r="F334" i="14"/>
  <c r="G334" i="14"/>
  <c r="E335" i="14"/>
  <c r="F335" i="14"/>
  <c r="G335" i="14"/>
  <c r="E336" i="14"/>
  <c r="F336" i="14"/>
  <c r="G336" i="14"/>
  <c r="E337" i="14"/>
  <c r="F337" i="14"/>
  <c r="G337" i="14"/>
  <c r="E338" i="14"/>
  <c r="F338" i="14"/>
  <c r="G338" i="14"/>
  <c r="E339" i="14"/>
  <c r="F339" i="14"/>
  <c r="G339" i="14"/>
  <c r="E340" i="14"/>
  <c r="F340" i="14"/>
  <c r="G340" i="14"/>
  <c r="E341" i="14"/>
  <c r="F341" i="14"/>
  <c r="G341" i="14"/>
  <c r="E342" i="14"/>
  <c r="F342" i="14"/>
  <c r="G342" i="14"/>
  <c r="E343" i="14"/>
  <c r="F343" i="14"/>
  <c r="G343" i="14"/>
  <c r="E344" i="14"/>
  <c r="F344" i="14"/>
  <c r="G344" i="14"/>
  <c r="E345" i="14"/>
  <c r="F345" i="14"/>
  <c r="G345" i="14"/>
  <c r="E346" i="14"/>
  <c r="F346" i="14"/>
  <c r="G346" i="14"/>
  <c r="E347" i="14"/>
  <c r="F347" i="14"/>
  <c r="G347" i="14"/>
  <c r="E348" i="14"/>
  <c r="F348" i="14"/>
  <c r="G348" i="14"/>
  <c r="E349" i="14"/>
  <c r="F349" i="14"/>
  <c r="G349" i="14"/>
  <c r="E350" i="14"/>
  <c r="F350" i="14"/>
  <c r="G350" i="14"/>
  <c r="E351" i="14"/>
  <c r="F351" i="14"/>
  <c r="G351" i="14"/>
  <c r="E352" i="14"/>
  <c r="F352" i="14"/>
  <c r="G352" i="14"/>
  <c r="E353" i="14"/>
  <c r="F353" i="14"/>
  <c r="G353" i="14"/>
  <c r="E354" i="14"/>
  <c r="F354" i="14"/>
  <c r="G354" i="14"/>
  <c r="E355" i="14"/>
  <c r="F355" i="14"/>
  <c r="G355" i="14"/>
  <c r="E356" i="14"/>
  <c r="F356" i="14"/>
  <c r="G356" i="14"/>
  <c r="E357" i="14"/>
  <c r="F357" i="14"/>
  <c r="G357" i="14"/>
  <c r="E358" i="14"/>
  <c r="F358" i="14"/>
  <c r="G358" i="14"/>
  <c r="E359" i="14"/>
  <c r="F359" i="14"/>
  <c r="G359" i="14"/>
  <c r="E360" i="14"/>
  <c r="F360" i="14"/>
  <c r="G360" i="14"/>
  <c r="E361" i="14"/>
  <c r="F361" i="14"/>
  <c r="G361" i="14"/>
  <c r="E362" i="14"/>
  <c r="F362" i="14"/>
  <c r="G362" i="14"/>
  <c r="E363" i="14"/>
  <c r="F363" i="14"/>
  <c r="G363" i="14"/>
  <c r="E364" i="14"/>
  <c r="F364" i="14"/>
  <c r="G364" i="14"/>
  <c r="E365" i="14"/>
  <c r="F365" i="14"/>
  <c r="G365" i="14"/>
  <c r="E366" i="14"/>
  <c r="F366" i="14"/>
  <c r="G366" i="14"/>
  <c r="E367" i="14"/>
  <c r="F367" i="14"/>
  <c r="G367" i="14"/>
  <c r="E368" i="14"/>
  <c r="F368" i="14"/>
  <c r="G368" i="14"/>
  <c r="E369" i="14"/>
  <c r="F369" i="14"/>
  <c r="G369" i="14"/>
  <c r="E370" i="14"/>
  <c r="F370" i="14"/>
  <c r="G370" i="14"/>
  <c r="E371" i="14"/>
  <c r="F371" i="14"/>
  <c r="G371" i="14"/>
  <c r="E372" i="14"/>
  <c r="F372" i="14"/>
  <c r="G372" i="14"/>
  <c r="E373" i="14"/>
  <c r="F373" i="14"/>
  <c r="G373" i="14"/>
  <c r="E374" i="14"/>
  <c r="F374" i="14"/>
  <c r="G374" i="14"/>
  <c r="E375" i="14"/>
  <c r="F375" i="14"/>
  <c r="G375" i="14"/>
  <c r="E376" i="14"/>
  <c r="F376" i="14"/>
  <c r="G376" i="14"/>
  <c r="E377" i="14"/>
  <c r="F377" i="14"/>
  <c r="G377" i="14"/>
  <c r="E378" i="14"/>
  <c r="F378" i="14"/>
  <c r="G378" i="14"/>
  <c r="E379" i="14"/>
  <c r="F379" i="14"/>
  <c r="G379" i="14"/>
  <c r="E380" i="14"/>
  <c r="F380" i="14"/>
  <c r="G380" i="14"/>
  <c r="E381" i="14"/>
  <c r="F381" i="14"/>
  <c r="G381" i="14"/>
  <c r="E382" i="14"/>
  <c r="F382" i="14"/>
  <c r="G382" i="14"/>
  <c r="E383" i="14"/>
  <c r="F383" i="14"/>
  <c r="G383" i="14"/>
  <c r="E384" i="14"/>
  <c r="F384" i="14"/>
  <c r="G384" i="14"/>
  <c r="E385" i="14"/>
  <c r="F385" i="14"/>
  <c r="G385" i="14"/>
  <c r="E386" i="14"/>
  <c r="F386" i="14"/>
  <c r="G386" i="14"/>
  <c r="E387" i="14"/>
  <c r="F387" i="14"/>
  <c r="G387" i="14"/>
  <c r="E388" i="14"/>
  <c r="F388" i="14"/>
  <c r="G388" i="14"/>
  <c r="E389" i="14"/>
  <c r="F389" i="14"/>
  <c r="G389" i="14"/>
  <c r="E390" i="14"/>
  <c r="F390" i="14"/>
  <c r="G390" i="14"/>
  <c r="E391" i="14"/>
  <c r="F391" i="14"/>
  <c r="G391" i="14"/>
  <c r="E392" i="14"/>
  <c r="F392" i="14"/>
  <c r="G392" i="14"/>
  <c r="E393" i="14"/>
  <c r="F393" i="14"/>
  <c r="G393" i="14"/>
  <c r="E394" i="14"/>
  <c r="F394" i="14"/>
  <c r="G394" i="14"/>
  <c r="E395" i="14"/>
  <c r="F395" i="14"/>
  <c r="G395" i="14"/>
  <c r="E396" i="14"/>
  <c r="F396" i="14"/>
  <c r="G396" i="14"/>
  <c r="E397" i="14"/>
  <c r="F397" i="14"/>
  <c r="G397" i="14"/>
  <c r="E398" i="14"/>
  <c r="F398" i="14"/>
  <c r="G398" i="14"/>
  <c r="E399" i="14"/>
  <c r="F399" i="14"/>
  <c r="G399" i="14"/>
  <c r="E400" i="14"/>
  <c r="F400" i="14"/>
  <c r="G400" i="14"/>
  <c r="E401" i="14"/>
  <c r="F401" i="14"/>
  <c r="G401" i="14"/>
  <c r="E402" i="14"/>
  <c r="F402" i="14"/>
  <c r="G402" i="14"/>
  <c r="E403" i="14"/>
  <c r="F403" i="14"/>
  <c r="G403" i="14"/>
  <c r="E404" i="14"/>
  <c r="F404" i="14"/>
  <c r="G404" i="14"/>
  <c r="E405" i="14"/>
  <c r="F405" i="14"/>
  <c r="G405" i="14"/>
  <c r="E406" i="14"/>
  <c r="F406" i="14"/>
  <c r="G406" i="14"/>
  <c r="E407" i="14"/>
  <c r="F407" i="14"/>
  <c r="G407" i="14"/>
  <c r="E408" i="14"/>
  <c r="F408" i="14"/>
  <c r="G408" i="14"/>
  <c r="E409" i="14"/>
  <c r="F409" i="14"/>
  <c r="G409" i="14"/>
  <c r="E410" i="14"/>
  <c r="F410" i="14"/>
  <c r="G410" i="14"/>
  <c r="E411" i="14"/>
  <c r="F411" i="14"/>
  <c r="G411" i="14"/>
  <c r="E412" i="14"/>
  <c r="F412" i="14"/>
  <c r="G412" i="14"/>
  <c r="E413" i="14"/>
  <c r="F413" i="14"/>
  <c r="G413" i="14"/>
  <c r="E414" i="14"/>
  <c r="F414" i="14"/>
  <c r="G414" i="14"/>
  <c r="E415" i="14"/>
  <c r="F415" i="14"/>
  <c r="G415" i="14"/>
  <c r="E416" i="14"/>
  <c r="F416" i="14"/>
  <c r="G416" i="14"/>
  <c r="E417" i="14"/>
  <c r="F417" i="14"/>
  <c r="G417" i="14"/>
  <c r="E418" i="14"/>
  <c r="F418" i="14"/>
  <c r="G418" i="14"/>
  <c r="E419" i="14"/>
  <c r="F419" i="14"/>
  <c r="G419" i="14"/>
  <c r="E420" i="14"/>
  <c r="F420" i="14"/>
  <c r="G420" i="14"/>
  <c r="E421" i="14"/>
  <c r="F421" i="14"/>
  <c r="G421" i="14"/>
  <c r="E422" i="14"/>
  <c r="F422" i="14"/>
  <c r="G422" i="14"/>
  <c r="E423" i="14"/>
  <c r="F423" i="14"/>
  <c r="G423" i="14"/>
  <c r="E424" i="14"/>
  <c r="F424" i="14"/>
  <c r="G424" i="14"/>
  <c r="E425" i="14"/>
  <c r="F425" i="14"/>
  <c r="G425" i="14"/>
  <c r="E426" i="14"/>
  <c r="F426" i="14"/>
  <c r="G426" i="14"/>
  <c r="E427" i="14"/>
  <c r="F427" i="14"/>
  <c r="G427" i="14"/>
  <c r="E428" i="14"/>
  <c r="F428" i="14"/>
  <c r="G428" i="14"/>
  <c r="E429" i="14"/>
  <c r="F429" i="14"/>
  <c r="G429" i="14"/>
  <c r="E430" i="14"/>
  <c r="F430" i="14"/>
  <c r="G430" i="14"/>
  <c r="E431" i="14"/>
  <c r="F431" i="14"/>
  <c r="G431" i="14"/>
  <c r="E432" i="14"/>
  <c r="F432" i="14"/>
  <c r="G432" i="14"/>
  <c r="E433" i="14"/>
  <c r="F433" i="14"/>
  <c r="G433" i="14"/>
  <c r="E434" i="14"/>
  <c r="F434" i="14"/>
  <c r="G434" i="14"/>
  <c r="E435" i="14"/>
  <c r="F435" i="14"/>
  <c r="G435" i="14"/>
  <c r="E436" i="14"/>
  <c r="F436" i="14"/>
  <c r="G436" i="14"/>
  <c r="E437" i="14"/>
  <c r="F437" i="14"/>
  <c r="G437" i="14"/>
  <c r="E438" i="14"/>
  <c r="F438" i="14"/>
  <c r="G438" i="14"/>
  <c r="E439" i="14"/>
  <c r="F439" i="14"/>
  <c r="G439" i="14"/>
  <c r="E440" i="14"/>
  <c r="F440" i="14"/>
  <c r="G440" i="14"/>
  <c r="E441" i="14"/>
  <c r="F441" i="14"/>
  <c r="G441" i="14"/>
  <c r="E442" i="14"/>
  <c r="F442" i="14"/>
  <c r="G442" i="14"/>
  <c r="E443" i="14"/>
  <c r="F443" i="14"/>
  <c r="G443" i="14"/>
  <c r="E444" i="14"/>
  <c r="F444" i="14"/>
  <c r="G444" i="14"/>
  <c r="E445" i="14"/>
  <c r="F445" i="14"/>
  <c r="G445" i="14"/>
  <c r="E446" i="14"/>
  <c r="F446" i="14"/>
  <c r="G446" i="14"/>
  <c r="E447" i="14"/>
  <c r="F447" i="14"/>
  <c r="G447" i="14"/>
  <c r="E448" i="14"/>
  <c r="F448" i="14"/>
  <c r="G448" i="14"/>
  <c r="E449" i="14"/>
  <c r="F449" i="14"/>
  <c r="G449" i="14"/>
  <c r="E450" i="14"/>
  <c r="F450" i="14"/>
  <c r="G450" i="14"/>
  <c r="E451" i="14"/>
  <c r="F451" i="14"/>
  <c r="G451" i="14"/>
  <c r="E452" i="14"/>
  <c r="F452" i="14"/>
  <c r="G452" i="14"/>
  <c r="E453" i="14"/>
  <c r="F453" i="14"/>
  <c r="G453" i="14"/>
  <c r="E454" i="14"/>
  <c r="F454" i="14"/>
  <c r="G454" i="14"/>
  <c r="E455" i="14"/>
  <c r="F455" i="14"/>
  <c r="G455" i="14"/>
  <c r="E456" i="14"/>
  <c r="F456" i="14"/>
  <c r="G456" i="14"/>
  <c r="E457" i="14"/>
  <c r="F457" i="14"/>
  <c r="G457" i="14"/>
  <c r="E458" i="14"/>
  <c r="F458" i="14"/>
  <c r="G458" i="14"/>
  <c r="E459" i="14"/>
  <c r="F459" i="14"/>
  <c r="G459" i="14"/>
  <c r="E460" i="14"/>
  <c r="F460" i="14"/>
  <c r="G460" i="14"/>
  <c r="E461" i="14"/>
  <c r="F461" i="14"/>
  <c r="G461" i="14"/>
  <c r="E462" i="14"/>
  <c r="F462" i="14"/>
  <c r="G462" i="14"/>
  <c r="E463" i="14"/>
  <c r="F463" i="14"/>
  <c r="G463" i="14"/>
  <c r="E464" i="14"/>
  <c r="F464" i="14"/>
  <c r="G464" i="14"/>
  <c r="E465" i="14"/>
  <c r="F465" i="14"/>
  <c r="G465" i="14"/>
  <c r="E466" i="14"/>
  <c r="F466" i="14"/>
  <c r="G466" i="14"/>
  <c r="E467" i="14"/>
  <c r="F467" i="14"/>
  <c r="G467" i="14"/>
  <c r="E468" i="14"/>
  <c r="F468" i="14"/>
  <c r="G468" i="14"/>
  <c r="E469" i="14"/>
  <c r="F469" i="14"/>
  <c r="G469" i="14"/>
  <c r="E470" i="14"/>
  <c r="F470" i="14"/>
  <c r="G470" i="14"/>
  <c r="E471" i="14"/>
  <c r="F471" i="14"/>
  <c r="G471" i="14"/>
  <c r="E472" i="14"/>
  <c r="F472" i="14"/>
  <c r="G472" i="14"/>
  <c r="E473" i="14"/>
  <c r="F473" i="14"/>
  <c r="G473" i="14"/>
  <c r="E474" i="14"/>
  <c r="F474" i="14"/>
  <c r="G474" i="14"/>
  <c r="E475" i="14"/>
  <c r="F475" i="14"/>
  <c r="G475" i="14"/>
  <c r="E476" i="14"/>
  <c r="F476" i="14"/>
  <c r="G476" i="14"/>
  <c r="E477" i="14"/>
  <c r="F477" i="14"/>
  <c r="G477" i="14"/>
  <c r="E478" i="14"/>
  <c r="F478" i="14"/>
  <c r="G478" i="14"/>
  <c r="E479" i="14"/>
  <c r="F479" i="14"/>
  <c r="G479" i="14"/>
  <c r="E480" i="14"/>
  <c r="F480" i="14"/>
  <c r="G480" i="14"/>
  <c r="E481" i="14"/>
  <c r="F481" i="14"/>
  <c r="G481" i="14"/>
  <c r="E482" i="14"/>
  <c r="F482" i="14"/>
  <c r="G482" i="14"/>
  <c r="E483" i="14"/>
  <c r="F483" i="14"/>
  <c r="G483" i="14"/>
  <c r="E484" i="14"/>
  <c r="F484" i="14"/>
  <c r="G484" i="14"/>
  <c r="E485" i="14"/>
  <c r="F485" i="14"/>
  <c r="G485" i="14"/>
  <c r="E486" i="14"/>
  <c r="F486" i="14"/>
  <c r="G486" i="14"/>
  <c r="E487" i="14"/>
  <c r="F487" i="14"/>
  <c r="G487" i="14"/>
  <c r="E488" i="14"/>
  <c r="F488" i="14"/>
  <c r="G488" i="14"/>
  <c r="E489" i="14"/>
  <c r="F489" i="14"/>
  <c r="G489" i="14"/>
  <c r="E490" i="14"/>
  <c r="F490" i="14"/>
  <c r="G490" i="14"/>
  <c r="E491" i="14"/>
  <c r="F491" i="14"/>
  <c r="G491" i="14"/>
  <c r="E492" i="14"/>
  <c r="F492" i="14"/>
  <c r="G492" i="14"/>
  <c r="E493" i="14"/>
  <c r="F493" i="14"/>
  <c r="G493" i="14"/>
  <c r="E494" i="14"/>
  <c r="F494" i="14"/>
  <c r="G494" i="14"/>
  <c r="E495" i="14"/>
  <c r="F495" i="14"/>
  <c r="G495" i="14"/>
  <c r="E496" i="14"/>
  <c r="F496" i="14"/>
  <c r="G496" i="14"/>
  <c r="E497" i="14"/>
  <c r="F497" i="14"/>
  <c r="G497" i="14"/>
  <c r="E498" i="14"/>
  <c r="F498" i="14"/>
  <c r="G498" i="14"/>
  <c r="E499" i="14"/>
  <c r="F499" i="14"/>
  <c r="G499" i="14"/>
  <c r="E500" i="14"/>
  <c r="F500" i="14"/>
  <c r="G500" i="14"/>
  <c r="E501" i="14"/>
  <c r="F501" i="14"/>
  <c r="G501" i="14"/>
  <c r="E502" i="14"/>
  <c r="F502" i="14"/>
  <c r="G502" i="14"/>
  <c r="E503" i="14"/>
  <c r="F503" i="14"/>
  <c r="G503" i="14"/>
  <c r="E504" i="14"/>
  <c r="F504" i="14"/>
  <c r="G504" i="14"/>
  <c r="E505" i="14"/>
  <c r="F505" i="14"/>
  <c r="G505" i="14"/>
  <c r="E506" i="14"/>
  <c r="F506" i="14"/>
  <c r="G506" i="14"/>
  <c r="E507" i="14"/>
  <c r="F507" i="14"/>
  <c r="G507" i="14"/>
  <c r="E508" i="14"/>
  <c r="F508" i="14"/>
  <c r="G508" i="14"/>
  <c r="E509" i="14"/>
  <c r="F509" i="14"/>
  <c r="G509" i="14"/>
  <c r="E510" i="14"/>
  <c r="F510" i="14"/>
  <c r="G510" i="14"/>
  <c r="E511" i="14"/>
  <c r="F511" i="14"/>
  <c r="G511" i="14"/>
  <c r="E512" i="14"/>
  <c r="F512" i="14"/>
  <c r="G512" i="14"/>
  <c r="E513" i="14"/>
  <c r="F513" i="14"/>
  <c r="G513" i="14"/>
  <c r="E514" i="14"/>
  <c r="F514" i="14"/>
  <c r="G514" i="14"/>
  <c r="E515" i="14"/>
  <c r="F515" i="14"/>
  <c r="G515" i="14"/>
  <c r="E516" i="14"/>
  <c r="F516" i="14"/>
  <c r="G516" i="14"/>
  <c r="E517" i="14"/>
  <c r="F517" i="14"/>
  <c r="G517" i="14"/>
  <c r="E518" i="14"/>
  <c r="F518" i="14"/>
  <c r="G518" i="14"/>
  <c r="E519" i="14"/>
  <c r="F519" i="14"/>
  <c r="G519" i="14"/>
  <c r="E520" i="14"/>
  <c r="F520" i="14"/>
  <c r="G520" i="14"/>
  <c r="E521" i="14"/>
  <c r="F521" i="14"/>
  <c r="G521" i="14"/>
  <c r="E522" i="14"/>
  <c r="F522" i="14"/>
  <c r="G522" i="14"/>
  <c r="E523" i="14"/>
  <c r="F523" i="14"/>
  <c r="G523" i="14"/>
  <c r="E524" i="14"/>
  <c r="F524" i="14"/>
  <c r="G524" i="14"/>
  <c r="E525" i="14"/>
  <c r="F525" i="14"/>
  <c r="G525" i="14"/>
  <c r="E526" i="14"/>
  <c r="F526" i="14"/>
  <c r="G526" i="14"/>
  <c r="E527" i="14"/>
  <c r="F527" i="14"/>
  <c r="G527" i="14"/>
  <c r="E528" i="14"/>
  <c r="F528" i="14"/>
  <c r="G528" i="14"/>
  <c r="E529" i="14"/>
  <c r="F529" i="14"/>
  <c r="G529" i="14"/>
  <c r="E530" i="14"/>
  <c r="F530" i="14"/>
  <c r="G530" i="14"/>
  <c r="E531" i="14"/>
  <c r="F531" i="14"/>
  <c r="G531" i="14"/>
  <c r="E532" i="14"/>
  <c r="F532" i="14"/>
  <c r="G532" i="14"/>
  <c r="E533" i="14"/>
  <c r="F533" i="14"/>
  <c r="G533" i="14"/>
  <c r="E534" i="14"/>
  <c r="F534" i="14"/>
  <c r="G534" i="14"/>
  <c r="E535" i="14"/>
  <c r="F535" i="14"/>
  <c r="G535" i="14"/>
  <c r="E536" i="14"/>
  <c r="F536" i="14"/>
  <c r="G536" i="14"/>
  <c r="E537" i="14"/>
  <c r="F537" i="14"/>
  <c r="G537" i="14"/>
  <c r="E538" i="14"/>
  <c r="F538" i="14"/>
  <c r="G538" i="14"/>
  <c r="E539" i="14"/>
  <c r="F539" i="14"/>
  <c r="G539" i="14"/>
  <c r="E540" i="14"/>
  <c r="F540" i="14"/>
  <c r="G540" i="14"/>
  <c r="E541" i="14"/>
  <c r="F541" i="14"/>
  <c r="G541" i="14"/>
  <c r="E542" i="14"/>
  <c r="F542" i="14"/>
  <c r="G542" i="14"/>
  <c r="E543" i="14"/>
  <c r="F543" i="14"/>
  <c r="G543" i="14"/>
  <c r="E544" i="14"/>
  <c r="F544" i="14"/>
  <c r="G544" i="14"/>
  <c r="E545" i="14"/>
  <c r="F545" i="14"/>
  <c r="G545" i="14"/>
  <c r="E546" i="14"/>
  <c r="F546" i="14"/>
  <c r="G546" i="14"/>
  <c r="E547" i="14"/>
  <c r="F547" i="14"/>
  <c r="G547" i="14"/>
  <c r="E548" i="14"/>
  <c r="F548" i="14"/>
  <c r="G548" i="14"/>
  <c r="E549" i="14"/>
  <c r="F549" i="14"/>
  <c r="G549" i="14"/>
  <c r="E550" i="14"/>
  <c r="F550" i="14"/>
  <c r="G550" i="14"/>
  <c r="E551" i="14"/>
  <c r="F551" i="14"/>
  <c r="G551" i="14"/>
  <c r="E552" i="14"/>
  <c r="F552" i="14"/>
  <c r="G552" i="14"/>
  <c r="E553" i="14"/>
  <c r="F553" i="14"/>
  <c r="G553" i="14"/>
  <c r="E554" i="14"/>
  <c r="F554" i="14"/>
  <c r="G554" i="14"/>
  <c r="E555" i="14"/>
  <c r="F555" i="14"/>
  <c r="G555" i="14"/>
  <c r="E556" i="14"/>
  <c r="F556" i="14"/>
  <c r="G556" i="14"/>
  <c r="E557" i="14"/>
  <c r="F557" i="14"/>
  <c r="G557" i="14"/>
  <c r="E558" i="14"/>
  <c r="F558" i="14"/>
  <c r="G558" i="14"/>
  <c r="E559" i="14"/>
  <c r="F559" i="14"/>
  <c r="G559" i="14"/>
  <c r="E560" i="14"/>
  <c r="F560" i="14"/>
  <c r="G560" i="14"/>
  <c r="E561" i="14"/>
  <c r="F561" i="14"/>
  <c r="G561" i="14"/>
  <c r="E562" i="14"/>
  <c r="F562" i="14"/>
  <c r="G562" i="14"/>
  <c r="E563" i="14"/>
  <c r="F563" i="14"/>
  <c r="G563" i="14"/>
  <c r="E564" i="14"/>
  <c r="F564" i="14"/>
  <c r="G564" i="14"/>
  <c r="E565" i="14"/>
  <c r="F565" i="14"/>
  <c r="G565" i="14"/>
  <c r="E566" i="14"/>
  <c r="F566" i="14"/>
  <c r="G566" i="14"/>
  <c r="E567" i="14"/>
  <c r="F567" i="14"/>
  <c r="G567" i="14"/>
  <c r="E568" i="14"/>
  <c r="F568" i="14"/>
  <c r="G568" i="14"/>
  <c r="E569" i="14"/>
  <c r="F569" i="14"/>
  <c r="G569" i="14"/>
  <c r="E570" i="14"/>
  <c r="F570" i="14"/>
  <c r="G570" i="14"/>
  <c r="E571" i="14"/>
  <c r="F571" i="14"/>
  <c r="G571" i="14"/>
  <c r="E572" i="14"/>
  <c r="F572" i="14"/>
  <c r="G572" i="14"/>
  <c r="E573" i="14"/>
  <c r="F573" i="14"/>
  <c r="G573" i="14"/>
  <c r="E574" i="14"/>
  <c r="F574" i="14"/>
  <c r="G574" i="14"/>
  <c r="E575" i="14"/>
  <c r="F575" i="14"/>
  <c r="G575" i="14"/>
  <c r="E576" i="14"/>
  <c r="F576" i="14"/>
  <c r="G576" i="14"/>
  <c r="E577" i="14"/>
  <c r="F577" i="14"/>
  <c r="G577" i="14"/>
  <c r="E578" i="14"/>
  <c r="F578" i="14"/>
  <c r="G578" i="14"/>
  <c r="E579" i="14"/>
  <c r="F579" i="14"/>
  <c r="G579" i="14"/>
  <c r="E580" i="14"/>
  <c r="F580" i="14"/>
  <c r="G580" i="14"/>
  <c r="E581" i="14"/>
  <c r="F581" i="14"/>
  <c r="G581" i="14"/>
  <c r="E582" i="14"/>
  <c r="F582" i="14"/>
  <c r="G582" i="14"/>
  <c r="E583" i="14"/>
  <c r="F583" i="14"/>
  <c r="G583" i="14"/>
  <c r="E584" i="14"/>
  <c r="F584" i="14"/>
  <c r="G584" i="14"/>
  <c r="E585" i="14"/>
  <c r="F585" i="14"/>
  <c r="G585" i="14"/>
  <c r="E586" i="14"/>
  <c r="F586" i="14"/>
  <c r="G586" i="14"/>
  <c r="E587" i="14"/>
  <c r="F587" i="14"/>
  <c r="G587" i="14"/>
  <c r="E588" i="14"/>
  <c r="F588" i="14"/>
  <c r="G588" i="14"/>
  <c r="E589" i="14"/>
  <c r="F589" i="14"/>
  <c r="G589" i="14"/>
  <c r="E590" i="14"/>
  <c r="F590" i="14"/>
  <c r="G590" i="14"/>
  <c r="E591" i="14"/>
  <c r="F591" i="14"/>
  <c r="G591" i="14"/>
  <c r="E592" i="14"/>
  <c r="F592" i="14"/>
  <c r="G592" i="14"/>
  <c r="E593" i="14"/>
  <c r="F593" i="14"/>
  <c r="G593" i="14"/>
  <c r="E594" i="14"/>
  <c r="F594" i="14"/>
  <c r="G594" i="14"/>
  <c r="E595" i="14"/>
  <c r="F595" i="14"/>
  <c r="G595" i="14"/>
  <c r="E596" i="14"/>
  <c r="F596" i="14"/>
  <c r="G596" i="14"/>
  <c r="E597" i="14"/>
  <c r="F597" i="14"/>
  <c r="G597" i="14"/>
  <c r="E598" i="14"/>
  <c r="F598" i="14"/>
  <c r="G598" i="14"/>
  <c r="E599" i="14"/>
  <c r="F599" i="14"/>
  <c r="G599" i="14"/>
  <c r="E600" i="14"/>
  <c r="F600" i="14"/>
  <c r="G600" i="14"/>
  <c r="E601" i="14"/>
  <c r="F601" i="14"/>
  <c r="G601" i="14"/>
  <c r="E602" i="14"/>
  <c r="F602" i="14"/>
  <c r="G602" i="14"/>
  <c r="E603" i="14"/>
  <c r="F603" i="14"/>
  <c r="G603" i="14"/>
  <c r="E604" i="14"/>
  <c r="F604" i="14"/>
  <c r="G604" i="14"/>
  <c r="E605" i="14"/>
  <c r="F605" i="14"/>
  <c r="G605" i="14"/>
  <c r="E606" i="14"/>
  <c r="F606" i="14"/>
  <c r="G606" i="14"/>
  <c r="E607" i="14"/>
  <c r="F607" i="14"/>
  <c r="G607" i="14"/>
  <c r="E608" i="14"/>
  <c r="F608" i="14"/>
  <c r="G608" i="14"/>
  <c r="E609" i="14"/>
  <c r="F609" i="14"/>
  <c r="G609" i="14"/>
  <c r="E610" i="14"/>
  <c r="F610" i="14"/>
  <c r="G610" i="14"/>
  <c r="E611" i="14"/>
  <c r="F611" i="14"/>
  <c r="G611" i="14"/>
  <c r="E612" i="14"/>
  <c r="F612" i="14"/>
  <c r="G612" i="14"/>
  <c r="E613" i="14"/>
  <c r="F613" i="14"/>
  <c r="G613" i="14"/>
  <c r="E614" i="14"/>
  <c r="F614" i="14"/>
  <c r="G614" i="14"/>
  <c r="E615" i="14"/>
  <c r="F615" i="14"/>
  <c r="G615" i="14"/>
  <c r="E616" i="14"/>
  <c r="F616" i="14"/>
  <c r="G616" i="14"/>
  <c r="E617" i="14"/>
  <c r="F617" i="14"/>
  <c r="G617" i="14"/>
  <c r="E618" i="14"/>
  <c r="F618" i="14"/>
  <c r="G618" i="14"/>
  <c r="E619" i="14"/>
  <c r="F619" i="14"/>
  <c r="G619" i="14"/>
  <c r="E620" i="14"/>
  <c r="F620" i="14"/>
  <c r="G620" i="14"/>
  <c r="E621" i="14"/>
  <c r="F621" i="14"/>
  <c r="G621" i="14"/>
  <c r="E622" i="14"/>
  <c r="F622" i="14"/>
  <c r="G622" i="14"/>
  <c r="E623" i="14"/>
  <c r="F623" i="14"/>
  <c r="G623" i="14"/>
  <c r="E624" i="14"/>
  <c r="F624" i="14"/>
  <c r="G624" i="14"/>
  <c r="E625" i="14"/>
  <c r="F625" i="14"/>
  <c r="G625" i="14"/>
  <c r="E626" i="14"/>
  <c r="F626" i="14"/>
  <c r="G626" i="14"/>
  <c r="E627" i="14"/>
  <c r="F627" i="14"/>
  <c r="G627" i="14"/>
  <c r="E628" i="14"/>
  <c r="F628" i="14"/>
  <c r="G628" i="14"/>
  <c r="E629" i="14"/>
  <c r="F629" i="14"/>
  <c r="G629" i="14"/>
  <c r="E630" i="14"/>
  <c r="F630" i="14"/>
  <c r="G630" i="14"/>
  <c r="E631" i="14"/>
  <c r="F631" i="14"/>
  <c r="G631" i="14"/>
  <c r="E632" i="14"/>
  <c r="F632" i="14"/>
  <c r="G632" i="14"/>
  <c r="E633" i="14"/>
  <c r="F633" i="14"/>
  <c r="G633" i="14"/>
  <c r="E634" i="14"/>
  <c r="F634" i="14"/>
  <c r="G634" i="14"/>
  <c r="E635" i="14"/>
  <c r="F635" i="14"/>
  <c r="G635" i="14"/>
  <c r="E636" i="14"/>
  <c r="F636" i="14"/>
  <c r="G636" i="14"/>
  <c r="E637" i="14"/>
  <c r="F637" i="14"/>
  <c r="G637" i="14"/>
  <c r="E638" i="14"/>
  <c r="F638" i="14"/>
  <c r="G638" i="14"/>
  <c r="E639" i="14"/>
  <c r="F639" i="14"/>
  <c r="G639" i="14"/>
  <c r="E640" i="14"/>
  <c r="F640" i="14"/>
  <c r="G640" i="14"/>
  <c r="E641" i="14"/>
  <c r="F641" i="14"/>
  <c r="G641" i="14"/>
  <c r="E642" i="14"/>
  <c r="F642" i="14"/>
  <c r="G642" i="14"/>
  <c r="E643" i="14"/>
  <c r="F643" i="14"/>
  <c r="G643" i="14"/>
  <c r="E644" i="14"/>
  <c r="F644" i="14"/>
  <c r="G644" i="14"/>
  <c r="E645" i="14"/>
  <c r="F645" i="14"/>
  <c r="G645" i="14"/>
  <c r="E646" i="14"/>
  <c r="F646" i="14"/>
  <c r="G646" i="14"/>
  <c r="E647" i="14"/>
  <c r="F647" i="14"/>
  <c r="G647" i="14"/>
  <c r="E648" i="14"/>
  <c r="F648" i="14"/>
  <c r="G648" i="14"/>
  <c r="E649" i="14"/>
  <c r="F649" i="14"/>
  <c r="G649" i="14"/>
  <c r="E650" i="14"/>
  <c r="F650" i="14"/>
  <c r="G650" i="14"/>
  <c r="E651" i="14"/>
  <c r="F651" i="14"/>
  <c r="G651" i="14"/>
  <c r="E652" i="14"/>
  <c r="F652" i="14"/>
  <c r="G652" i="14"/>
  <c r="E653" i="14"/>
  <c r="F653" i="14"/>
  <c r="G653" i="14"/>
  <c r="E654" i="14"/>
  <c r="F654" i="14"/>
  <c r="G654" i="14"/>
  <c r="E655" i="14"/>
  <c r="F655" i="14"/>
  <c r="G655" i="14"/>
  <c r="E656" i="14"/>
  <c r="F656" i="14"/>
  <c r="G656" i="14"/>
  <c r="E657" i="14"/>
  <c r="F657" i="14"/>
  <c r="G657" i="14"/>
  <c r="E658" i="14"/>
  <c r="F658" i="14"/>
  <c r="G658" i="14"/>
  <c r="E659" i="14"/>
  <c r="F659" i="14"/>
  <c r="G659" i="14"/>
  <c r="E660" i="14"/>
  <c r="F660" i="14"/>
  <c r="G660" i="14"/>
  <c r="E661" i="14"/>
  <c r="F661" i="14"/>
  <c r="G661" i="14"/>
  <c r="E662" i="14"/>
  <c r="F662" i="14"/>
  <c r="G662" i="14"/>
  <c r="E663" i="14"/>
  <c r="F663" i="14"/>
  <c r="G663" i="14"/>
  <c r="E664" i="14"/>
  <c r="F664" i="14"/>
  <c r="G664" i="14"/>
  <c r="E665" i="14"/>
  <c r="F665" i="14"/>
  <c r="G665" i="14"/>
  <c r="E666" i="14"/>
  <c r="F666" i="14"/>
  <c r="G666" i="14"/>
  <c r="E667" i="14"/>
  <c r="F667" i="14"/>
  <c r="G667" i="14"/>
  <c r="E668" i="14"/>
  <c r="F668" i="14"/>
  <c r="G668" i="14"/>
  <c r="E669" i="14"/>
  <c r="F669" i="14"/>
  <c r="G669" i="14"/>
  <c r="E670" i="14"/>
  <c r="F670" i="14"/>
  <c r="G670" i="14"/>
  <c r="E671" i="14"/>
  <c r="F671" i="14"/>
  <c r="G671" i="14"/>
  <c r="E672" i="14"/>
  <c r="F672" i="14"/>
  <c r="G672" i="14"/>
  <c r="E673" i="14"/>
  <c r="F673" i="14"/>
  <c r="G673" i="14"/>
  <c r="E674" i="14"/>
  <c r="F674" i="14"/>
  <c r="G674" i="14"/>
  <c r="E675" i="14"/>
  <c r="F675" i="14"/>
  <c r="G675" i="14"/>
  <c r="E676" i="14"/>
  <c r="F676" i="14"/>
  <c r="G676" i="14"/>
  <c r="E677" i="14"/>
  <c r="F677" i="14"/>
  <c r="G677" i="14"/>
  <c r="E678" i="14"/>
  <c r="F678" i="14"/>
  <c r="G678" i="14"/>
  <c r="E679" i="14"/>
  <c r="F679" i="14"/>
  <c r="G679" i="14"/>
  <c r="E680" i="14"/>
  <c r="F680" i="14"/>
  <c r="G680" i="14"/>
  <c r="E681" i="14"/>
  <c r="F681" i="14"/>
  <c r="G681" i="14"/>
  <c r="E682" i="14"/>
  <c r="F682" i="14"/>
  <c r="G682" i="14"/>
  <c r="E683" i="14"/>
  <c r="F683" i="14"/>
  <c r="G683" i="14"/>
  <c r="E684" i="14"/>
  <c r="F684" i="14"/>
  <c r="G684" i="14"/>
  <c r="E685" i="14"/>
  <c r="F685" i="14"/>
  <c r="G685" i="14"/>
  <c r="E686" i="14"/>
  <c r="F686" i="14"/>
  <c r="G686" i="14"/>
  <c r="E687" i="14"/>
  <c r="F687" i="14"/>
  <c r="G687" i="14"/>
  <c r="E688" i="14"/>
  <c r="F688" i="14"/>
  <c r="G688" i="14"/>
  <c r="E689" i="14"/>
  <c r="F689" i="14"/>
  <c r="G689" i="14"/>
  <c r="E690" i="14"/>
  <c r="F690" i="14"/>
  <c r="G690" i="14"/>
  <c r="E691" i="14"/>
  <c r="F691" i="14"/>
  <c r="G691" i="14"/>
  <c r="E692" i="14"/>
  <c r="F692" i="14"/>
  <c r="E693" i="14"/>
  <c r="F693" i="14"/>
  <c r="E694" i="14"/>
  <c r="F694" i="14"/>
  <c r="G694" i="14"/>
  <c r="E695" i="14"/>
  <c r="F695" i="14"/>
  <c r="G695" i="14"/>
  <c r="E696" i="14"/>
  <c r="F696" i="14"/>
  <c r="E697" i="14"/>
  <c r="F697" i="14"/>
  <c r="G697" i="14"/>
  <c r="E698" i="14"/>
  <c r="F698" i="14"/>
  <c r="E699" i="14"/>
  <c r="F699" i="14"/>
  <c r="E700" i="14"/>
  <c r="F700" i="14"/>
  <c r="G700" i="14"/>
  <c r="E701" i="14"/>
  <c r="F701" i="14"/>
  <c r="G701" i="14"/>
  <c r="E702" i="14"/>
  <c r="F702" i="14"/>
  <c r="G702" i="14"/>
  <c r="E703" i="14"/>
  <c r="F703" i="14"/>
  <c r="G703" i="14"/>
  <c r="E704" i="14"/>
  <c r="F704" i="14"/>
  <c r="G704" i="14"/>
  <c r="E705" i="14"/>
  <c r="F705" i="14"/>
  <c r="G705" i="14"/>
  <c r="E706" i="14"/>
  <c r="F706" i="14"/>
  <c r="G706" i="14"/>
  <c r="E707" i="14"/>
  <c r="F707" i="14"/>
  <c r="E708" i="14"/>
  <c r="F708" i="14"/>
  <c r="G708" i="14"/>
  <c r="E709" i="14"/>
  <c r="F709" i="14"/>
  <c r="G709" i="14"/>
  <c r="E710" i="14"/>
  <c r="F710" i="14"/>
  <c r="G710" i="14"/>
  <c r="E711" i="14"/>
  <c r="F711" i="14"/>
  <c r="E712" i="14"/>
  <c r="F712" i="14"/>
  <c r="G712" i="14"/>
  <c r="E713" i="14"/>
  <c r="F713" i="14"/>
  <c r="G713" i="14"/>
  <c r="E714" i="14"/>
  <c r="F714" i="14"/>
  <c r="G714" i="14"/>
  <c r="E715" i="14"/>
  <c r="F715" i="14"/>
  <c r="E716" i="14"/>
  <c r="F716" i="14"/>
  <c r="G716" i="14"/>
  <c r="E717" i="14"/>
  <c r="F717" i="14"/>
  <c r="G717" i="14"/>
  <c r="E718" i="14"/>
  <c r="F718" i="14"/>
  <c r="E719" i="14"/>
  <c r="F719" i="14"/>
  <c r="E720" i="14"/>
  <c r="F720" i="14"/>
  <c r="E721" i="14"/>
  <c r="F721" i="14"/>
  <c r="E722" i="14"/>
  <c r="F722" i="14"/>
  <c r="G722" i="14"/>
  <c r="E723" i="14"/>
  <c r="F723" i="14"/>
  <c r="G723" i="14"/>
  <c r="E724" i="14"/>
  <c r="F724" i="14"/>
  <c r="E725" i="14"/>
  <c r="F725" i="14"/>
  <c r="E726" i="14"/>
  <c r="F726" i="14"/>
  <c r="E727" i="14"/>
  <c r="F727" i="14"/>
  <c r="G727" i="14"/>
  <c r="E728" i="14"/>
  <c r="F728" i="14"/>
  <c r="E729" i="14"/>
  <c r="F729" i="14"/>
  <c r="E730" i="14"/>
  <c r="F730" i="14"/>
  <c r="G730" i="14"/>
  <c r="E731" i="14"/>
  <c r="F731" i="14"/>
  <c r="E732" i="14"/>
  <c r="F732" i="14"/>
  <c r="G732" i="14"/>
  <c r="E733" i="14"/>
  <c r="F733" i="14"/>
  <c r="G733" i="14"/>
  <c r="E734" i="14"/>
  <c r="F734" i="14"/>
  <c r="G734" i="14"/>
  <c r="E735" i="14"/>
  <c r="F735" i="14"/>
  <c r="G735" i="14"/>
  <c r="E736" i="14"/>
  <c r="F736" i="14"/>
  <c r="G736" i="14"/>
  <c r="E737" i="14"/>
  <c r="F737" i="14"/>
  <c r="G737" i="14"/>
  <c r="E738" i="14"/>
  <c r="F738" i="14"/>
  <c r="G738" i="14"/>
  <c r="E739" i="14"/>
  <c r="F739" i="14"/>
  <c r="G739" i="14"/>
  <c r="E740" i="14"/>
  <c r="F740" i="14"/>
  <c r="G740" i="14"/>
  <c r="E741" i="14"/>
  <c r="F741" i="14"/>
  <c r="G741" i="14"/>
  <c r="E742" i="14"/>
  <c r="F742" i="14"/>
  <c r="G742" i="14"/>
  <c r="E743" i="14"/>
  <c r="F743" i="14"/>
  <c r="G743" i="14"/>
  <c r="E744" i="14"/>
  <c r="F744" i="14"/>
  <c r="G744" i="14"/>
  <c r="E745" i="14"/>
  <c r="F745" i="14"/>
  <c r="G745" i="14"/>
  <c r="E746" i="14"/>
  <c r="F746" i="14"/>
  <c r="G746" i="14"/>
  <c r="E747" i="14"/>
  <c r="F747" i="14"/>
  <c r="G747" i="14"/>
  <c r="E748" i="14"/>
  <c r="F748" i="14"/>
  <c r="G748" i="14"/>
  <c r="E749" i="14"/>
  <c r="F749" i="14"/>
  <c r="G749" i="14"/>
  <c r="E750" i="14"/>
  <c r="F750" i="14"/>
  <c r="G750" i="14"/>
  <c r="E751" i="14"/>
  <c r="F751" i="14"/>
  <c r="G751" i="14"/>
  <c r="E752" i="14"/>
  <c r="F752" i="14"/>
  <c r="G752" i="14"/>
  <c r="E753" i="14"/>
  <c r="F753" i="14"/>
  <c r="G753" i="14"/>
  <c r="E754" i="14"/>
  <c r="F754" i="14"/>
  <c r="G754" i="14"/>
  <c r="E755" i="14"/>
  <c r="F755" i="14"/>
  <c r="G755" i="14"/>
  <c r="E756" i="14"/>
  <c r="F756" i="14"/>
  <c r="G756" i="14"/>
  <c r="E757" i="14"/>
  <c r="F757" i="14"/>
  <c r="G757" i="14"/>
  <c r="E758" i="14"/>
  <c r="F758" i="14"/>
  <c r="G758" i="14"/>
  <c r="E759" i="14"/>
  <c r="F759" i="14"/>
  <c r="G759" i="14"/>
  <c r="E760" i="14"/>
  <c r="F760" i="14"/>
  <c r="G760" i="14"/>
  <c r="E761" i="14"/>
  <c r="F761" i="14"/>
  <c r="G761" i="14"/>
  <c r="E762" i="14"/>
  <c r="F762" i="14"/>
  <c r="G762" i="14"/>
  <c r="E763" i="14"/>
  <c r="F763" i="14"/>
  <c r="G763" i="14"/>
  <c r="E764" i="14"/>
  <c r="F764" i="14"/>
  <c r="G764" i="14"/>
  <c r="E765" i="14"/>
  <c r="F765" i="14"/>
  <c r="G765" i="14"/>
  <c r="E766" i="14"/>
  <c r="F766" i="14"/>
  <c r="G766" i="14"/>
  <c r="E767" i="14"/>
  <c r="F767" i="14"/>
  <c r="G767" i="14"/>
  <c r="E768" i="14"/>
  <c r="F768" i="14"/>
  <c r="G768" i="14"/>
  <c r="E769" i="14"/>
  <c r="F769" i="14"/>
  <c r="G769" i="14"/>
  <c r="E770" i="14"/>
  <c r="F770" i="14"/>
  <c r="G770" i="14"/>
  <c r="E771" i="14"/>
  <c r="F771" i="14"/>
  <c r="G771" i="14"/>
  <c r="E772" i="14"/>
  <c r="F772" i="14"/>
  <c r="G772" i="14"/>
  <c r="E773" i="14"/>
  <c r="F773" i="14"/>
  <c r="G773" i="14"/>
  <c r="E774" i="14"/>
  <c r="F774" i="14"/>
  <c r="G774" i="14"/>
  <c r="E775" i="14"/>
  <c r="F775" i="14"/>
  <c r="G775" i="14"/>
  <c r="E776" i="14"/>
  <c r="F776" i="14"/>
  <c r="G776" i="14"/>
  <c r="E777" i="14"/>
  <c r="F777" i="14"/>
  <c r="G777" i="14"/>
  <c r="E778" i="14"/>
  <c r="F778" i="14"/>
  <c r="G778" i="14"/>
  <c r="E779" i="14"/>
  <c r="F779" i="14"/>
  <c r="G779" i="14"/>
  <c r="E780" i="14"/>
  <c r="F780" i="14"/>
  <c r="G780" i="14"/>
  <c r="E781" i="14"/>
  <c r="F781" i="14"/>
  <c r="G781" i="14"/>
  <c r="E782" i="14"/>
  <c r="F782" i="14"/>
  <c r="G782" i="14"/>
  <c r="E783" i="14"/>
  <c r="F783" i="14"/>
  <c r="G783" i="14"/>
  <c r="E784" i="14"/>
  <c r="F784" i="14"/>
  <c r="G784" i="14"/>
  <c r="E785" i="14"/>
  <c r="F785" i="14"/>
  <c r="G785" i="14"/>
  <c r="E786" i="14"/>
  <c r="F786" i="14"/>
  <c r="G786" i="14"/>
  <c r="E787" i="14"/>
  <c r="F787" i="14"/>
  <c r="G787" i="14"/>
  <c r="E788" i="14"/>
  <c r="F788" i="14"/>
  <c r="G788" i="14"/>
  <c r="E789" i="14"/>
  <c r="F789" i="14"/>
  <c r="G789" i="14"/>
  <c r="E790" i="14"/>
  <c r="F790" i="14"/>
  <c r="G790" i="14"/>
  <c r="E791" i="14"/>
  <c r="F791" i="14"/>
  <c r="G791" i="14"/>
  <c r="E792" i="14"/>
  <c r="F792" i="14"/>
  <c r="G792" i="14"/>
  <c r="E793" i="14"/>
  <c r="F793" i="14"/>
  <c r="G793" i="14"/>
  <c r="E794" i="14"/>
  <c r="F794" i="14"/>
  <c r="G794" i="14"/>
  <c r="E795" i="14"/>
  <c r="F795" i="14"/>
  <c r="G795" i="14"/>
  <c r="E796" i="14"/>
  <c r="F796" i="14"/>
  <c r="G796" i="14"/>
  <c r="E797" i="14"/>
  <c r="F797" i="14"/>
  <c r="G797" i="14"/>
  <c r="E798" i="14"/>
  <c r="F798" i="14"/>
  <c r="G798" i="14"/>
  <c r="E799" i="14"/>
  <c r="F799" i="14"/>
  <c r="G799" i="14"/>
  <c r="E800" i="14"/>
  <c r="F800" i="14"/>
  <c r="G800" i="14"/>
  <c r="E801" i="14"/>
  <c r="F801" i="14"/>
  <c r="G801" i="14"/>
  <c r="E802" i="14"/>
  <c r="F802" i="14"/>
  <c r="G802" i="14"/>
  <c r="E803" i="14"/>
  <c r="F803" i="14"/>
  <c r="G803" i="14"/>
  <c r="E804" i="14"/>
  <c r="F804" i="14"/>
  <c r="G804" i="14"/>
  <c r="E805" i="14"/>
  <c r="F805" i="14"/>
  <c r="G805" i="14"/>
  <c r="E806" i="14"/>
  <c r="F806" i="14"/>
  <c r="G806" i="14"/>
  <c r="E807" i="14"/>
  <c r="F807" i="14"/>
  <c r="G807" i="14"/>
  <c r="E808" i="14"/>
  <c r="F808" i="14"/>
  <c r="G808" i="14"/>
  <c r="E809" i="14"/>
  <c r="F809" i="14"/>
  <c r="G809" i="14"/>
  <c r="E810" i="14"/>
  <c r="F810" i="14"/>
  <c r="G810" i="14"/>
  <c r="E811" i="14"/>
  <c r="F811" i="14"/>
  <c r="G811" i="14"/>
  <c r="E812" i="14"/>
  <c r="F812" i="14"/>
  <c r="G812" i="14"/>
  <c r="E813" i="14"/>
  <c r="F813" i="14"/>
  <c r="G813" i="14"/>
  <c r="E814" i="14"/>
  <c r="F814" i="14"/>
  <c r="G814" i="14"/>
  <c r="E815" i="14"/>
  <c r="F815" i="14"/>
  <c r="G815" i="14"/>
  <c r="E816" i="14"/>
  <c r="F816" i="14"/>
  <c r="G816" i="14"/>
  <c r="E817" i="14"/>
  <c r="F817" i="14"/>
  <c r="G817" i="14"/>
  <c r="E818" i="14"/>
  <c r="F818" i="14"/>
  <c r="G818" i="14"/>
  <c r="E819" i="14"/>
  <c r="F819" i="14"/>
  <c r="G819" i="14"/>
  <c r="E820" i="14"/>
  <c r="F820" i="14"/>
  <c r="G820" i="14"/>
  <c r="E821" i="14"/>
  <c r="F821" i="14"/>
  <c r="G821" i="14"/>
  <c r="E822" i="14"/>
  <c r="F822" i="14"/>
  <c r="G822" i="14"/>
  <c r="E823" i="14"/>
  <c r="F823" i="14"/>
  <c r="G823" i="14"/>
  <c r="E824" i="14"/>
  <c r="F824" i="14"/>
  <c r="G824" i="14"/>
  <c r="E825" i="14"/>
  <c r="F825" i="14"/>
  <c r="G825" i="14"/>
  <c r="E826" i="14"/>
  <c r="F826" i="14"/>
  <c r="G826" i="14"/>
  <c r="E827" i="14"/>
  <c r="F827" i="14"/>
  <c r="G827" i="14"/>
  <c r="E828" i="14"/>
  <c r="F828" i="14"/>
  <c r="G828" i="14"/>
  <c r="E829" i="14"/>
  <c r="F829" i="14"/>
  <c r="G829" i="14"/>
  <c r="E830" i="14"/>
  <c r="F830" i="14"/>
  <c r="G830" i="14"/>
  <c r="E831" i="14"/>
  <c r="F831" i="14"/>
  <c r="G831" i="14"/>
  <c r="E832" i="14"/>
  <c r="F832" i="14"/>
  <c r="G832" i="14"/>
  <c r="E833" i="14"/>
  <c r="F833" i="14"/>
  <c r="G833" i="14"/>
  <c r="E834" i="14"/>
  <c r="F834" i="14"/>
  <c r="G834" i="14"/>
  <c r="E835" i="14"/>
  <c r="F835" i="14"/>
  <c r="G835" i="14"/>
  <c r="E836" i="14"/>
  <c r="F836" i="14"/>
  <c r="G836" i="14"/>
  <c r="E837" i="14"/>
  <c r="F837" i="14"/>
  <c r="G837" i="14"/>
  <c r="E838" i="14"/>
  <c r="F838" i="14"/>
  <c r="G838" i="14"/>
  <c r="E839" i="14"/>
  <c r="F839" i="14"/>
  <c r="G839" i="14"/>
  <c r="E840" i="14"/>
  <c r="F840" i="14"/>
  <c r="G840" i="14"/>
  <c r="E841" i="14"/>
  <c r="F841" i="14"/>
  <c r="G841" i="14"/>
  <c r="E842" i="14"/>
  <c r="F842" i="14"/>
  <c r="G842" i="14"/>
  <c r="E843" i="14"/>
  <c r="F843" i="14"/>
  <c r="G843" i="14"/>
  <c r="E844" i="14"/>
  <c r="F844" i="14"/>
  <c r="G844" i="14"/>
  <c r="E845" i="14"/>
  <c r="F845" i="14"/>
  <c r="G845" i="14"/>
  <c r="E846" i="14"/>
  <c r="F846" i="14"/>
  <c r="G846" i="14"/>
  <c r="E847" i="14"/>
  <c r="F847" i="14"/>
  <c r="G847" i="14"/>
  <c r="E848" i="14"/>
  <c r="F848" i="14"/>
  <c r="G848" i="14"/>
  <c r="E849" i="14"/>
  <c r="F849" i="14"/>
  <c r="G849" i="14"/>
  <c r="E850" i="14"/>
  <c r="F850" i="14"/>
  <c r="G850" i="14"/>
  <c r="E851" i="14"/>
  <c r="F851" i="14"/>
  <c r="G851" i="14"/>
  <c r="E852" i="14"/>
  <c r="F852" i="14"/>
  <c r="G852" i="14"/>
  <c r="E853" i="14"/>
  <c r="F853" i="14"/>
  <c r="G853" i="14"/>
  <c r="E854" i="14"/>
  <c r="F854" i="14"/>
  <c r="G854" i="14"/>
  <c r="E855" i="14"/>
  <c r="F855" i="14"/>
  <c r="G855" i="14"/>
  <c r="E856" i="14"/>
  <c r="F856" i="14"/>
  <c r="G856" i="14"/>
  <c r="E857" i="14"/>
  <c r="F857" i="14"/>
  <c r="G857" i="14"/>
  <c r="E858" i="14"/>
  <c r="F858" i="14"/>
  <c r="G858" i="14"/>
  <c r="E859" i="14"/>
  <c r="F859" i="14"/>
  <c r="G859" i="14"/>
  <c r="E860" i="14"/>
  <c r="F860" i="14"/>
  <c r="G860" i="14"/>
  <c r="E861" i="14"/>
  <c r="F861" i="14"/>
  <c r="G861" i="14"/>
  <c r="E862" i="14"/>
  <c r="F862" i="14"/>
  <c r="G862" i="14"/>
  <c r="E863" i="14"/>
  <c r="F863" i="14"/>
  <c r="G863" i="14"/>
  <c r="E864" i="14"/>
  <c r="F864" i="14"/>
  <c r="G864" i="14"/>
  <c r="E865" i="14"/>
  <c r="F865" i="14"/>
  <c r="G865" i="14"/>
  <c r="E866" i="14"/>
  <c r="F866" i="14"/>
  <c r="G866" i="14"/>
  <c r="E867" i="14"/>
  <c r="F867" i="14"/>
  <c r="G867" i="14"/>
  <c r="E868" i="14"/>
  <c r="F868" i="14"/>
  <c r="G868" i="14"/>
  <c r="E869" i="14"/>
  <c r="F869" i="14"/>
  <c r="G869" i="14"/>
  <c r="E870" i="14"/>
  <c r="F870" i="14"/>
  <c r="G870" i="14"/>
  <c r="E871" i="14"/>
  <c r="F871" i="14"/>
  <c r="G871" i="14"/>
  <c r="E872" i="14"/>
  <c r="F872" i="14"/>
  <c r="G872" i="14"/>
  <c r="E873" i="14"/>
  <c r="F873" i="14"/>
  <c r="G873" i="14"/>
  <c r="E874" i="14"/>
  <c r="F874" i="14"/>
  <c r="G874" i="14"/>
  <c r="E875" i="14"/>
  <c r="F875" i="14"/>
  <c r="G875" i="14"/>
  <c r="E876" i="14"/>
  <c r="F876" i="14"/>
  <c r="G876" i="14"/>
  <c r="E877" i="14"/>
  <c r="F877" i="14"/>
  <c r="G877" i="14"/>
  <c r="E878" i="14"/>
  <c r="F878" i="14"/>
  <c r="G878" i="14"/>
  <c r="E879" i="14"/>
  <c r="F879" i="14"/>
  <c r="G879" i="14"/>
  <c r="E880" i="14"/>
  <c r="F880" i="14"/>
  <c r="G880" i="14"/>
  <c r="E881" i="14"/>
  <c r="F881" i="14"/>
  <c r="G881" i="14"/>
  <c r="E882" i="14"/>
  <c r="F882" i="14"/>
  <c r="G882" i="14"/>
  <c r="E883" i="14"/>
  <c r="F883" i="14"/>
  <c r="G883" i="14"/>
  <c r="E884" i="14"/>
  <c r="F884" i="14"/>
  <c r="G884" i="14"/>
  <c r="E885" i="14"/>
  <c r="F885" i="14"/>
  <c r="G885" i="14"/>
  <c r="E886" i="14"/>
  <c r="F886" i="14"/>
  <c r="G886" i="14"/>
  <c r="E887" i="14"/>
  <c r="F887" i="14"/>
  <c r="G887" i="14"/>
  <c r="E888" i="14"/>
  <c r="F888" i="14"/>
  <c r="G888" i="14"/>
  <c r="E889" i="14"/>
  <c r="F889" i="14"/>
  <c r="G889" i="14"/>
  <c r="E890" i="14"/>
  <c r="F890" i="14"/>
  <c r="G890" i="14"/>
  <c r="E891" i="14"/>
  <c r="F891" i="14"/>
  <c r="G891" i="14"/>
  <c r="E892" i="14"/>
  <c r="F892" i="14"/>
  <c r="G892" i="14"/>
  <c r="E893" i="14"/>
  <c r="F893" i="14"/>
  <c r="G893" i="14"/>
  <c r="E894" i="14"/>
  <c r="F894" i="14"/>
  <c r="G894" i="14"/>
  <c r="E895" i="14"/>
  <c r="F895" i="14"/>
  <c r="G895" i="14"/>
  <c r="E896" i="14"/>
  <c r="F896" i="14"/>
  <c r="G896" i="14"/>
  <c r="E897" i="14"/>
  <c r="F897" i="14"/>
  <c r="G897" i="14"/>
  <c r="E898" i="14"/>
  <c r="F898" i="14"/>
  <c r="G898" i="14"/>
  <c r="E899" i="14"/>
  <c r="F899" i="14"/>
  <c r="G899" i="14"/>
  <c r="E900" i="14"/>
  <c r="F900" i="14"/>
  <c r="G900" i="14"/>
  <c r="E901" i="14"/>
  <c r="F901" i="14"/>
  <c r="G901" i="14"/>
  <c r="E902" i="14"/>
  <c r="F902" i="14"/>
  <c r="G902" i="14"/>
  <c r="E903" i="14"/>
  <c r="F903" i="14"/>
  <c r="G903" i="14"/>
  <c r="E904" i="14"/>
  <c r="F904" i="14"/>
  <c r="G904" i="14"/>
  <c r="E905" i="14"/>
  <c r="F905" i="14"/>
  <c r="G905" i="14"/>
  <c r="E906" i="14"/>
  <c r="F906" i="14"/>
  <c r="G906" i="14"/>
  <c r="E907" i="14"/>
  <c r="F907" i="14"/>
  <c r="G907" i="14"/>
  <c r="E908" i="14"/>
  <c r="F908" i="14"/>
  <c r="G908" i="14"/>
  <c r="E909" i="14"/>
  <c r="F909" i="14"/>
  <c r="G909" i="14"/>
  <c r="E910" i="14"/>
  <c r="F910" i="14"/>
  <c r="G910" i="14"/>
  <c r="E911" i="14"/>
  <c r="F911" i="14"/>
  <c r="G911" i="14"/>
  <c r="E912" i="14"/>
  <c r="F912" i="14"/>
  <c r="G912" i="14"/>
  <c r="E913" i="14"/>
  <c r="F913" i="14"/>
  <c r="G913" i="14"/>
  <c r="E914" i="14"/>
  <c r="F914" i="14"/>
  <c r="G914" i="14"/>
  <c r="E915" i="14"/>
  <c r="F915" i="14"/>
  <c r="G915" i="14"/>
  <c r="E916" i="14"/>
  <c r="F916" i="14"/>
  <c r="G916" i="14"/>
  <c r="E917" i="14"/>
  <c r="F917" i="14"/>
  <c r="G917" i="14"/>
  <c r="E918" i="14"/>
  <c r="F918" i="14"/>
  <c r="G918" i="14"/>
  <c r="E919" i="14"/>
  <c r="F919" i="14"/>
  <c r="G919" i="14"/>
  <c r="E920" i="14"/>
  <c r="F920" i="14"/>
  <c r="G920" i="14"/>
  <c r="E921" i="14"/>
  <c r="F921" i="14"/>
  <c r="G921" i="14"/>
  <c r="E922" i="14"/>
  <c r="F922" i="14"/>
  <c r="G922" i="14"/>
  <c r="E923" i="14"/>
  <c r="F923" i="14"/>
  <c r="G923" i="14"/>
  <c r="E924" i="14"/>
  <c r="F924" i="14"/>
  <c r="G924" i="14"/>
  <c r="E925" i="14"/>
  <c r="F925" i="14"/>
  <c r="G925" i="14"/>
  <c r="E926" i="14"/>
  <c r="F926" i="14"/>
  <c r="G926" i="14"/>
  <c r="E927" i="14"/>
  <c r="F927" i="14"/>
  <c r="G927" i="14"/>
  <c r="E928" i="14"/>
  <c r="F928" i="14"/>
  <c r="G928" i="14"/>
  <c r="E929" i="14"/>
  <c r="F929" i="14"/>
  <c r="G929" i="14"/>
  <c r="E930" i="14"/>
  <c r="F930" i="14"/>
  <c r="G930" i="14"/>
  <c r="E931" i="14"/>
  <c r="F931" i="14"/>
  <c r="G931" i="14"/>
  <c r="E932" i="14"/>
  <c r="F932" i="14"/>
  <c r="G932" i="14"/>
  <c r="E933" i="14"/>
  <c r="F933" i="14"/>
  <c r="G933" i="14"/>
  <c r="E934" i="14"/>
  <c r="F934" i="14"/>
  <c r="G934" i="14"/>
  <c r="E935" i="14"/>
  <c r="F935" i="14"/>
  <c r="G935" i="14"/>
  <c r="E936" i="14"/>
  <c r="F936" i="14"/>
  <c r="G936" i="14"/>
  <c r="E937" i="14"/>
  <c r="F937" i="14"/>
  <c r="G937" i="14"/>
  <c r="E938" i="14"/>
  <c r="F938" i="14"/>
  <c r="G938" i="14"/>
  <c r="E939" i="14"/>
  <c r="F939" i="14"/>
  <c r="G939" i="14"/>
  <c r="E940" i="14"/>
  <c r="F940" i="14"/>
  <c r="G940" i="14"/>
  <c r="E941" i="14"/>
  <c r="F941" i="14"/>
  <c r="G941" i="14"/>
  <c r="E942" i="14"/>
  <c r="F942" i="14"/>
  <c r="G942" i="14"/>
  <c r="E943" i="14"/>
  <c r="F943" i="14"/>
  <c r="G943" i="14"/>
  <c r="E944" i="14"/>
  <c r="F944" i="14"/>
  <c r="G944" i="14"/>
  <c r="E945" i="14"/>
  <c r="F945" i="14"/>
  <c r="G945" i="14"/>
  <c r="E946" i="14"/>
  <c r="F946" i="14"/>
  <c r="G946" i="14"/>
  <c r="E947" i="14"/>
  <c r="F947" i="14"/>
  <c r="G947" i="14"/>
  <c r="E948" i="14"/>
  <c r="F948" i="14"/>
  <c r="G948" i="14"/>
  <c r="E949" i="14"/>
  <c r="F949" i="14"/>
  <c r="G949" i="14"/>
  <c r="E950" i="14"/>
  <c r="F950" i="14"/>
  <c r="G950" i="14"/>
  <c r="E951" i="14"/>
  <c r="F951" i="14"/>
  <c r="G951" i="14"/>
  <c r="E952" i="14"/>
  <c r="F952" i="14"/>
  <c r="G952" i="14"/>
  <c r="E953" i="14"/>
  <c r="F953" i="14"/>
  <c r="G953" i="14"/>
  <c r="E954" i="14"/>
  <c r="F954" i="14"/>
  <c r="G954" i="14"/>
  <c r="E955" i="14"/>
  <c r="F955" i="14"/>
  <c r="G955" i="14"/>
  <c r="E956" i="14"/>
  <c r="F956" i="14"/>
  <c r="G956" i="14"/>
  <c r="E957" i="14"/>
  <c r="F957" i="14"/>
  <c r="G957" i="14"/>
  <c r="E958" i="14"/>
  <c r="F958" i="14"/>
  <c r="G958" i="14"/>
  <c r="E959" i="14"/>
  <c r="F959" i="14"/>
  <c r="G959" i="14"/>
  <c r="E960" i="14"/>
  <c r="F960" i="14"/>
  <c r="G960" i="14"/>
  <c r="E961" i="14"/>
  <c r="F961" i="14"/>
  <c r="G961" i="14"/>
  <c r="E962" i="14"/>
  <c r="F962" i="14"/>
  <c r="G962" i="14"/>
  <c r="E963" i="14"/>
  <c r="F963" i="14"/>
  <c r="G963" i="14"/>
  <c r="E964" i="14"/>
  <c r="F964" i="14"/>
  <c r="G964" i="14"/>
  <c r="E965" i="14"/>
  <c r="F965" i="14"/>
  <c r="G965" i="14"/>
  <c r="E966" i="14"/>
  <c r="F966" i="14"/>
  <c r="G966" i="14"/>
  <c r="E967" i="14"/>
  <c r="F967" i="14"/>
  <c r="G967" i="14"/>
  <c r="E968" i="14"/>
  <c r="F968" i="14"/>
  <c r="G968" i="14"/>
  <c r="E969" i="14"/>
  <c r="F969" i="14"/>
  <c r="G969" i="14"/>
  <c r="E970" i="14"/>
  <c r="F970" i="14"/>
  <c r="G970" i="14"/>
  <c r="E971" i="14"/>
  <c r="F971" i="14"/>
  <c r="G971" i="14"/>
  <c r="E972" i="14"/>
  <c r="F972" i="14"/>
  <c r="G972" i="14"/>
  <c r="E973" i="14"/>
  <c r="F973" i="14"/>
  <c r="G973" i="14"/>
  <c r="E974" i="14"/>
  <c r="F974" i="14"/>
  <c r="G974" i="14"/>
  <c r="E975" i="14"/>
  <c r="F975" i="14"/>
  <c r="G975" i="14"/>
  <c r="E976" i="14"/>
  <c r="F976" i="14"/>
  <c r="G976" i="14"/>
  <c r="E977" i="14"/>
  <c r="F977" i="14"/>
  <c r="G977" i="14"/>
  <c r="E978" i="14"/>
  <c r="F978" i="14"/>
  <c r="G978" i="14"/>
  <c r="E979" i="14"/>
  <c r="F979" i="14"/>
  <c r="G979" i="14"/>
  <c r="E980" i="14"/>
  <c r="F980" i="14"/>
  <c r="G980" i="14"/>
  <c r="E981" i="14"/>
  <c r="F981" i="14"/>
  <c r="G981" i="14"/>
  <c r="E982" i="14"/>
  <c r="F982" i="14"/>
  <c r="G982" i="14"/>
  <c r="E983" i="14"/>
  <c r="F983" i="14"/>
  <c r="G983" i="14"/>
  <c r="E984" i="14"/>
  <c r="F984" i="14"/>
  <c r="G984" i="14"/>
  <c r="E985" i="14"/>
  <c r="F985" i="14"/>
  <c r="G985" i="14"/>
  <c r="E986" i="14"/>
  <c r="F986" i="14"/>
  <c r="G986" i="14"/>
  <c r="E987" i="14"/>
  <c r="F987" i="14"/>
  <c r="G987" i="14"/>
  <c r="E988" i="14"/>
  <c r="F988" i="14"/>
  <c r="G988" i="14"/>
  <c r="E989" i="14"/>
  <c r="F989" i="14"/>
  <c r="G989" i="14"/>
  <c r="E990" i="14"/>
  <c r="F990" i="14"/>
  <c r="G990" i="14"/>
  <c r="E991" i="14"/>
  <c r="F991" i="14"/>
  <c r="G991" i="14"/>
  <c r="E992" i="14"/>
  <c r="F992" i="14"/>
  <c r="G992" i="14"/>
  <c r="E993" i="14"/>
  <c r="F993" i="14"/>
  <c r="G993" i="14"/>
  <c r="E994" i="14"/>
  <c r="F994" i="14"/>
  <c r="G994" i="14"/>
  <c r="E995" i="14"/>
  <c r="F995" i="14"/>
  <c r="G995" i="14"/>
  <c r="E996" i="14"/>
  <c r="F996" i="14"/>
  <c r="G996" i="14"/>
  <c r="E997" i="14"/>
  <c r="F997" i="14"/>
  <c r="G997" i="14"/>
  <c r="E998" i="14"/>
  <c r="F998" i="14"/>
  <c r="G998" i="14"/>
  <c r="E999" i="14"/>
  <c r="F999" i="14"/>
  <c r="G999" i="14"/>
  <c r="E1000" i="14"/>
  <c r="F1000" i="14"/>
  <c r="G1000" i="14"/>
  <c r="E1001" i="14"/>
  <c r="F1001" i="14"/>
  <c r="G1001" i="14"/>
  <c r="E1002" i="14"/>
  <c r="F1002" i="14"/>
  <c r="G1002" i="14"/>
  <c r="E1003" i="14"/>
  <c r="F1003" i="14"/>
  <c r="G1003" i="14"/>
  <c r="E1004" i="14"/>
  <c r="F1004" i="14"/>
  <c r="G1004" i="14"/>
  <c r="E1005" i="14"/>
  <c r="F1005" i="14"/>
  <c r="G1005" i="14"/>
  <c r="E1006" i="14"/>
  <c r="F1006" i="14"/>
  <c r="G1006" i="14"/>
  <c r="E1007" i="14"/>
  <c r="F1007" i="14"/>
  <c r="G1007" i="14"/>
  <c r="E1008" i="14"/>
  <c r="F1008" i="14"/>
  <c r="G1008" i="14"/>
  <c r="B4" i="13"/>
  <c r="B10" i="13"/>
  <c r="C20" i="13"/>
  <c r="E20" i="13"/>
  <c r="B5" i="13" s="1"/>
  <c r="F20" i="13"/>
  <c r="G20" i="13"/>
  <c r="K20" i="13"/>
  <c r="C21" i="13"/>
  <c r="E21" i="13"/>
  <c r="F21" i="13"/>
  <c r="G21" i="13"/>
  <c r="H21" i="13"/>
  <c r="C22" i="13"/>
  <c r="E22" i="13"/>
  <c r="F22" i="13"/>
  <c r="G22" i="13"/>
  <c r="H22" i="13"/>
  <c r="C23" i="13"/>
  <c r="E23" i="13"/>
  <c r="F23" i="13"/>
  <c r="G23" i="13"/>
  <c r="H23" i="13"/>
  <c r="C24" i="13"/>
  <c r="E24" i="13"/>
  <c r="F24" i="13"/>
  <c r="G24" i="13"/>
  <c r="H24" i="13"/>
  <c r="C25" i="13"/>
  <c r="E25" i="13"/>
  <c r="F25" i="13"/>
  <c r="G25" i="13"/>
  <c r="H25" i="13"/>
  <c r="C26" i="13"/>
  <c r="E26" i="13"/>
  <c r="F26" i="13"/>
  <c r="G26" i="13"/>
  <c r="H26" i="13"/>
  <c r="C27" i="13"/>
  <c r="E27" i="13"/>
  <c r="F27" i="13"/>
  <c r="G27" i="13"/>
  <c r="H27" i="13"/>
  <c r="C28" i="13"/>
  <c r="E28" i="13"/>
  <c r="F28" i="13"/>
  <c r="G28" i="13"/>
  <c r="H28" i="13"/>
  <c r="C29" i="13"/>
  <c r="E29" i="13"/>
  <c r="F29" i="13"/>
  <c r="G29" i="13"/>
  <c r="H29" i="13"/>
  <c r="C30" i="13"/>
  <c r="E30" i="13"/>
  <c r="F30" i="13"/>
  <c r="G30" i="13"/>
  <c r="H30" i="13"/>
  <c r="C31" i="13"/>
  <c r="E31" i="13"/>
  <c r="F31" i="13"/>
  <c r="G31" i="13"/>
  <c r="H31" i="13"/>
  <c r="C32" i="13"/>
  <c r="E32" i="13"/>
  <c r="F32" i="13"/>
  <c r="C33" i="13"/>
  <c r="E33" i="13"/>
  <c r="F33" i="13"/>
  <c r="C34" i="13"/>
  <c r="E34" i="13"/>
  <c r="F34" i="13"/>
  <c r="C35" i="13"/>
  <c r="E35" i="13"/>
  <c r="F35" i="13"/>
  <c r="G35" i="13"/>
  <c r="C36" i="13"/>
  <c r="E36" i="13"/>
  <c r="F36" i="13"/>
  <c r="C37" i="13"/>
  <c r="E37" i="13"/>
  <c r="F37" i="13"/>
  <c r="G37" i="13"/>
  <c r="C38" i="13"/>
  <c r="E38" i="13"/>
  <c r="F38" i="13"/>
  <c r="G38" i="13"/>
  <c r="C39" i="13"/>
  <c r="E39" i="13"/>
  <c r="F39" i="13"/>
  <c r="G39" i="13"/>
  <c r="C40" i="13"/>
  <c r="E40" i="13"/>
  <c r="F40" i="13"/>
  <c r="G40" i="13"/>
  <c r="H40" i="13"/>
  <c r="C41" i="13"/>
  <c r="E41" i="13"/>
  <c r="F41" i="13"/>
  <c r="G41" i="13"/>
  <c r="C42" i="13"/>
  <c r="E42" i="13"/>
  <c r="F42" i="13"/>
  <c r="G42" i="13"/>
  <c r="C43" i="13"/>
  <c r="E43" i="13"/>
  <c r="F43" i="13"/>
  <c r="G43" i="13"/>
  <c r="H43" i="13"/>
  <c r="C44" i="13"/>
  <c r="E44" i="13"/>
  <c r="F44" i="13"/>
  <c r="G44" i="13"/>
  <c r="H44" i="13"/>
  <c r="C45" i="13"/>
  <c r="E45" i="13"/>
  <c r="F45" i="13"/>
  <c r="C46" i="13"/>
  <c r="E46" i="13"/>
  <c r="F46" i="13"/>
  <c r="C47" i="13"/>
  <c r="E47" i="13"/>
  <c r="F47" i="13"/>
  <c r="G47" i="13"/>
  <c r="C48" i="13"/>
  <c r="E48" i="13"/>
  <c r="F48" i="13"/>
  <c r="G48" i="13"/>
  <c r="H48" i="13"/>
  <c r="C49" i="13"/>
  <c r="E49" i="13"/>
  <c r="F49" i="13"/>
  <c r="G49" i="13"/>
  <c r="H49" i="13" s="1"/>
  <c r="C50" i="13"/>
  <c r="E50" i="13"/>
  <c r="F50" i="13"/>
  <c r="C51" i="13"/>
  <c r="E51" i="13"/>
  <c r="F51" i="13"/>
  <c r="G51" i="13"/>
  <c r="C52" i="13"/>
  <c r="E52" i="13"/>
  <c r="F52" i="13"/>
  <c r="C53" i="13"/>
  <c r="E53" i="13"/>
  <c r="F53" i="13"/>
  <c r="C54" i="13"/>
  <c r="E54" i="13"/>
  <c r="F54" i="13"/>
  <c r="C55" i="13"/>
  <c r="E55" i="13"/>
  <c r="F55" i="13"/>
  <c r="C56" i="13"/>
  <c r="E56" i="13"/>
  <c r="F56" i="13"/>
  <c r="G56" i="13"/>
  <c r="C57" i="13"/>
  <c r="E57" i="13"/>
  <c r="F57" i="13"/>
  <c r="G57" i="13"/>
  <c r="H57" i="13"/>
  <c r="C58" i="13"/>
  <c r="E58" i="13"/>
  <c r="F58" i="13"/>
  <c r="C59" i="13"/>
  <c r="E59" i="13"/>
  <c r="F59" i="13"/>
  <c r="C60" i="13"/>
  <c r="E60" i="13"/>
  <c r="F60" i="13"/>
  <c r="C61" i="13"/>
  <c r="E61" i="13"/>
  <c r="F61" i="13"/>
  <c r="G61" i="13"/>
  <c r="C62" i="13"/>
  <c r="E62" i="13"/>
  <c r="F62" i="13"/>
  <c r="C63" i="13"/>
  <c r="E63" i="13"/>
  <c r="F63" i="13"/>
  <c r="G63" i="13"/>
  <c r="C64" i="13"/>
  <c r="E64" i="13"/>
  <c r="F64" i="13"/>
  <c r="G64" i="13"/>
  <c r="H64" i="13"/>
  <c r="C65" i="13"/>
  <c r="E65" i="13"/>
  <c r="F65" i="13"/>
  <c r="C66" i="13"/>
  <c r="E66" i="13"/>
  <c r="F66" i="13"/>
  <c r="G66" i="13"/>
  <c r="C67" i="13"/>
  <c r="E67" i="13"/>
  <c r="F67" i="13"/>
  <c r="C68" i="13"/>
  <c r="E68" i="13"/>
  <c r="F68" i="13"/>
  <c r="G68" i="13"/>
  <c r="C69" i="13"/>
  <c r="E69" i="13"/>
  <c r="F69" i="13"/>
  <c r="G69" i="13"/>
  <c r="H69" i="13" s="1"/>
  <c r="C70" i="13"/>
  <c r="E70" i="13"/>
  <c r="F70" i="13"/>
  <c r="C71" i="13"/>
  <c r="E71" i="13"/>
  <c r="F71" i="13"/>
  <c r="C72" i="13"/>
  <c r="E72" i="13"/>
  <c r="F72" i="13"/>
  <c r="G72" i="13"/>
  <c r="C73" i="13"/>
  <c r="E73" i="13"/>
  <c r="F73" i="13"/>
  <c r="G73" i="13" s="1"/>
  <c r="C74" i="13"/>
  <c r="E74" i="13"/>
  <c r="F74" i="13"/>
  <c r="C75" i="13"/>
  <c r="E75" i="13"/>
  <c r="F75" i="13"/>
  <c r="G75" i="13" s="1"/>
  <c r="C76" i="13"/>
  <c r="E76" i="13"/>
  <c r="F76" i="13"/>
  <c r="C77" i="13"/>
  <c r="E77" i="13"/>
  <c r="F77" i="13"/>
  <c r="C78" i="13"/>
  <c r="E78" i="13"/>
  <c r="F78" i="13"/>
  <c r="C79" i="13"/>
  <c r="E79" i="13"/>
  <c r="F79" i="13"/>
  <c r="C80" i="13"/>
  <c r="E80" i="13"/>
  <c r="F80" i="13"/>
  <c r="C81" i="13"/>
  <c r="E81" i="13"/>
  <c r="F81" i="13"/>
  <c r="G81" i="13"/>
  <c r="C82" i="13"/>
  <c r="E82" i="13"/>
  <c r="F82" i="13"/>
  <c r="C83" i="13"/>
  <c r="E83" i="13"/>
  <c r="F83" i="13"/>
  <c r="C84" i="13"/>
  <c r="E84" i="13"/>
  <c r="F84" i="13"/>
  <c r="C85" i="13"/>
  <c r="E85" i="13"/>
  <c r="F85" i="13"/>
  <c r="G85" i="13"/>
  <c r="C86" i="13"/>
  <c r="E86" i="13"/>
  <c r="F86" i="13"/>
  <c r="C87" i="13"/>
  <c r="E87" i="13"/>
  <c r="F87" i="13"/>
  <c r="C88" i="13"/>
  <c r="E88" i="13"/>
  <c r="F88" i="13"/>
  <c r="G88" i="13"/>
  <c r="C89" i="13"/>
  <c r="E89" i="13"/>
  <c r="F89" i="13"/>
  <c r="C90" i="13"/>
  <c r="E90" i="13"/>
  <c r="F90" i="13"/>
  <c r="G90" i="13"/>
  <c r="C91" i="13"/>
  <c r="E91" i="13"/>
  <c r="F91" i="13"/>
  <c r="C92" i="13"/>
  <c r="E92" i="13"/>
  <c r="F92" i="13"/>
  <c r="G92" i="13"/>
  <c r="C93" i="13"/>
  <c r="E93" i="13"/>
  <c r="F93" i="13"/>
  <c r="C94" i="13"/>
  <c r="E94" i="13"/>
  <c r="F94" i="13"/>
  <c r="G94" i="13"/>
  <c r="C95" i="13"/>
  <c r="E95" i="13"/>
  <c r="F95" i="13"/>
  <c r="C96" i="13"/>
  <c r="E96" i="13"/>
  <c r="F96" i="13"/>
  <c r="G96" i="13" s="1"/>
  <c r="H97" i="13" s="1"/>
  <c r="C97" i="13"/>
  <c r="E97" i="13"/>
  <c r="F97" i="13"/>
  <c r="G97" i="13"/>
  <c r="C98" i="13"/>
  <c r="E98" i="13"/>
  <c r="F98" i="13"/>
  <c r="C99" i="13"/>
  <c r="E99" i="13"/>
  <c r="F99" i="13"/>
  <c r="G99" i="13"/>
  <c r="C100" i="13"/>
  <c r="E100" i="13"/>
  <c r="F100" i="13"/>
  <c r="C101" i="13"/>
  <c r="E101" i="13"/>
  <c r="F101" i="13"/>
  <c r="C102" i="13"/>
  <c r="E102" i="13"/>
  <c r="F102" i="13"/>
  <c r="C103" i="13"/>
  <c r="E103" i="13"/>
  <c r="F103" i="13"/>
  <c r="G103" i="13"/>
  <c r="C104" i="13"/>
  <c r="E104" i="13"/>
  <c r="F104" i="13"/>
  <c r="G104" i="13"/>
  <c r="H104" i="13"/>
  <c r="C105" i="13"/>
  <c r="E105" i="13"/>
  <c r="F105" i="13"/>
  <c r="G105" i="13"/>
  <c r="H105" i="13"/>
  <c r="C106" i="13"/>
  <c r="E106" i="13"/>
  <c r="F106" i="13"/>
  <c r="G106" i="13"/>
  <c r="H106" i="13" s="1"/>
  <c r="C107" i="13"/>
  <c r="E107" i="13"/>
  <c r="F107" i="13"/>
  <c r="C108" i="13"/>
  <c r="E108" i="13"/>
  <c r="F108" i="13"/>
  <c r="G108" i="13"/>
  <c r="C109" i="13"/>
  <c r="E109" i="13"/>
  <c r="F109" i="13"/>
  <c r="G109" i="13"/>
  <c r="H109" i="13"/>
  <c r="C110" i="13"/>
  <c r="E110" i="13"/>
  <c r="F110" i="13"/>
  <c r="G110" i="13"/>
  <c r="H110" i="13"/>
  <c r="C111" i="13"/>
  <c r="E111" i="13"/>
  <c r="F111" i="13"/>
  <c r="C112" i="13"/>
  <c r="E112" i="13"/>
  <c r="F112" i="13"/>
  <c r="C113" i="13"/>
  <c r="E113" i="13"/>
  <c r="F113" i="13"/>
  <c r="G113" i="13"/>
  <c r="C114" i="13"/>
  <c r="E114" i="13"/>
  <c r="F114" i="13"/>
  <c r="G114" i="13"/>
  <c r="H114" i="13"/>
  <c r="C115" i="13"/>
  <c r="E115" i="13"/>
  <c r="F115" i="13"/>
  <c r="C116" i="13"/>
  <c r="E116" i="13"/>
  <c r="F116" i="13"/>
  <c r="G116" i="13"/>
  <c r="C117" i="13"/>
  <c r="E117" i="13"/>
  <c r="F117" i="13"/>
  <c r="C118" i="13"/>
  <c r="E118" i="13"/>
  <c r="F118" i="13"/>
  <c r="C119" i="13"/>
  <c r="E119" i="13"/>
  <c r="F119" i="13"/>
  <c r="G119" i="13"/>
  <c r="C120" i="13"/>
  <c r="E120" i="13"/>
  <c r="F120" i="13"/>
  <c r="G120" i="13"/>
  <c r="H120" i="13"/>
  <c r="C121" i="13"/>
  <c r="E121" i="13"/>
  <c r="F121" i="13"/>
  <c r="G121" i="13"/>
  <c r="H121" i="13"/>
  <c r="C122" i="13"/>
  <c r="E122" i="13"/>
  <c r="F122" i="13"/>
  <c r="G122" i="13"/>
  <c r="H122" i="13"/>
  <c r="C123" i="13"/>
  <c r="E123" i="13"/>
  <c r="F123" i="13"/>
  <c r="C124" i="13"/>
  <c r="E124" i="13"/>
  <c r="F124" i="13"/>
  <c r="C125" i="13"/>
  <c r="E125" i="13"/>
  <c r="F125" i="13"/>
  <c r="G125" i="13"/>
  <c r="C126" i="13"/>
  <c r="E126" i="13"/>
  <c r="F126" i="13"/>
  <c r="G126" i="13"/>
  <c r="H126" i="13"/>
  <c r="C127" i="13"/>
  <c r="E127" i="13"/>
  <c r="F127" i="13"/>
  <c r="C128" i="13"/>
  <c r="E128" i="13"/>
  <c r="F128" i="13"/>
  <c r="G128" i="13"/>
  <c r="C129" i="13"/>
  <c r="E129" i="13"/>
  <c r="F129" i="13"/>
  <c r="G129" i="13"/>
  <c r="H129" i="13"/>
  <c r="C130" i="13"/>
  <c r="E130" i="13"/>
  <c r="F130" i="13"/>
  <c r="C131" i="13"/>
  <c r="E131" i="13"/>
  <c r="F131" i="13"/>
  <c r="G131" i="13"/>
  <c r="C132" i="13"/>
  <c r="E132" i="13"/>
  <c r="F132" i="13"/>
  <c r="C133" i="13"/>
  <c r="E133" i="13"/>
  <c r="F133" i="13"/>
  <c r="C134" i="13"/>
  <c r="E134" i="13"/>
  <c r="F134" i="13"/>
  <c r="G134" i="13"/>
  <c r="C135" i="13"/>
  <c r="E135" i="13"/>
  <c r="F135" i="13"/>
  <c r="G135" i="13"/>
  <c r="H135" i="13"/>
  <c r="C136" i="13"/>
  <c r="E136" i="13"/>
  <c r="F136" i="13"/>
  <c r="G136" i="13"/>
  <c r="H136" i="13"/>
  <c r="C137" i="13"/>
  <c r="E137" i="13"/>
  <c r="F137" i="13"/>
  <c r="C138" i="13"/>
  <c r="E138" i="13"/>
  <c r="F138" i="13"/>
  <c r="C139" i="13"/>
  <c r="E139" i="13"/>
  <c r="F139" i="13"/>
  <c r="G139" i="13"/>
  <c r="C140" i="13"/>
  <c r="E140" i="13"/>
  <c r="F140" i="13"/>
  <c r="C141" i="13"/>
  <c r="E141" i="13"/>
  <c r="F141" i="13"/>
  <c r="G141" i="13"/>
  <c r="C142" i="13"/>
  <c r="E142" i="13"/>
  <c r="F142" i="13"/>
  <c r="C143" i="13"/>
  <c r="E143" i="13"/>
  <c r="F143" i="13"/>
  <c r="C144" i="13"/>
  <c r="E144" i="13"/>
  <c r="F144" i="13"/>
  <c r="G144" i="13"/>
  <c r="C145" i="13"/>
  <c r="E145" i="13"/>
  <c r="F145" i="13"/>
  <c r="C146" i="13"/>
  <c r="E146" i="13"/>
  <c r="F146" i="13"/>
  <c r="G146" i="13"/>
  <c r="C147" i="13"/>
  <c r="E147" i="13"/>
  <c r="F147" i="13"/>
  <c r="C148" i="13"/>
  <c r="E148" i="13"/>
  <c r="F148" i="13"/>
  <c r="G148" i="13"/>
  <c r="C149" i="13"/>
  <c r="E149" i="13"/>
  <c r="F149" i="13"/>
  <c r="C150" i="13"/>
  <c r="E150" i="13"/>
  <c r="F150" i="13"/>
  <c r="C151" i="13"/>
  <c r="E151" i="13"/>
  <c r="F151" i="13"/>
  <c r="C152" i="13"/>
  <c r="E152" i="13"/>
  <c r="F152" i="13"/>
  <c r="C153" i="13"/>
  <c r="E153" i="13"/>
  <c r="F153" i="13"/>
  <c r="G153" i="13"/>
  <c r="C154" i="13"/>
  <c r="E154" i="13"/>
  <c r="F154" i="13"/>
  <c r="G154" i="13"/>
  <c r="H154" i="13"/>
  <c r="C155" i="13"/>
  <c r="E155" i="13"/>
  <c r="F155" i="13"/>
  <c r="C156" i="13"/>
  <c r="E156" i="13"/>
  <c r="F156" i="13"/>
  <c r="C157" i="13"/>
  <c r="E157" i="13"/>
  <c r="F157" i="13"/>
  <c r="G157" i="13"/>
  <c r="C158" i="13"/>
  <c r="E158" i="13"/>
  <c r="F158" i="13"/>
  <c r="C159" i="13"/>
  <c r="E159" i="13"/>
  <c r="F159" i="13"/>
  <c r="G159" i="13"/>
  <c r="C160" i="13"/>
  <c r="E160" i="13"/>
  <c r="F160" i="13"/>
  <c r="G160" i="13"/>
  <c r="H160" i="13"/>
  <c r="C161" i="13"/>
  <c r="E161" i="13"/>
  <c r="F161" i="13"/>
  <c r="C162" i="13"/>
  <c r="E162" i="13"/>
  <c r="F162" i="13"/>
  <c r="C163" i="13"/>
  <c r="E163" i="13"/>
  <c r="F163" i="13"/>
  <c r="C164" i="13"/>
  <c r="E164" i="13"/>
  <c r="F164" i="13"/>
  <c r="G164" i="13"/>
  <c r="C165" i="13"/>
  <c r="E165" i="13"/>
  <c r="F165" i="13"/>
  <c r="C166" i="13"/>
  <c r="E166" i="13"/>
  <c r="F166" i="13"/>
  <c r="G166" i="13"/>
  <c r="C167" i="13"/>
  <c r="E167" i="13"/>
  <c r="F167" i="13"/>
  <c r="C168" i="13"/>
  <c r="E168" i="13"/>
  <c r="F168" i="13"/>
  <c r="G168" i="13"/>
  <c r="C169" i="13"/>
  <c r="E169" i="13"/>
  <c r="F169" i="13"/>
  <c r="C170" i="13"/>
  <c r="E170" i="13"/>
  <c r="F170" i="13"/>
  <c r="C171" i="13"/>
  <c r="E171" i="13"/>
  <c r="F171" i="13"/>
  <c r="C172" i="13"/>
  <c r="E172" i="13"/>
  <c r="F172" i="13"/>
  <c r="G172" i="13"/>
  <c r="C173" i="13"/>
  <c r="E173" i="13"/>
  <c r="F173" i="13"/>
  <c r="C174" i="13"/>
  <c r="E174" i="13"/>
  <c r="F174" i="13"/>
  <c r="G174" i="13"/>
  <c r="C175" i="13"/>
  <c r="E175" i="13"/>
  <c r="F175" i="13"/>
  <c r="G175" i="13"/>
  <c r="H175" i="13"/>
  <c r="C176" i="13"/>
  <c r="E176" i="13"/>
  <c r="F176" i="13"/>
  <c r="C177" i="13"/>
  <c r="E177" i="13"/>
  <c r="F177" i="13"/>
  <c r="G177" i="13"/>
  <c r="C178" i="13"/>
  <c r="E178" i="13"/>
  <c r="F178" i="13"/>
  <c r="C179" i="13"/>
  <c r="E179" i="13"/>
  <c r="F179" i="13"/>
  <c r="G179" i="13"/>
  <c r="C180" i="13"/>
  <c r="E180" i="13"/>
  <c r="F180" i="13"/>
  <c r="G180" i="13"/>
  <c r="H180" i="13" s="1"/>
  <c r="C181" i="13"/>
  <c r="E181" i="13"/>
  <c r="F181" i="13"/>
  <c r="C182" i="13"/>
  <c r="E182" i="13"/>
  <c r="F182" i="13"/>
  <c r="G182" i="13"/>
  <c r="C183" i="13"/>
  <c r="E183" i="13"/>
  <c r="F183" i="13"/>
  <c r="C184" i="13"/>
  <c r="E184" i="13"/>
  <c r="F184" i="13"/>
  <c r="G184" i="13"/>
  <c r="C185" i="13"/>
  <c r="E185" i="13"/>
  <c r="F185" i="13"/>
  <c r="G185" i="13"/>
  <c r="H185" i="13"/>
  <c r="C186" i="13"/>
  <c r="E186" i="13"/>
  <c r="F186" i="13"/>
  <c r="G186" i="13"/>
  <c r="H186" i="13"/>
  <c r="C187" i="13"/>
  <c r="E187" i="13"/>
  <c r="F187" i="13"/>
  <c r="G187" i="13"/>
  <c r="C188" i="13"/>
  <c r="E188" i="13"/>
  <c r="F188" i="13"/>
  <c r="G188" i="13"/>
  <c r="C189" i="13"/>
  <c r="E189" i="13"/>
  <c r="F189" i="13"/>
  <c r="G189" i="13"/>
  <c r="H189" i="13"/>
  <c r="C190" i="13"/>
  <c r="E190" i="13"/>
  <c r="F190" i="13"/>
  <c r="G190" i="13"/>
  <c r="H190" i="13"/>
  <c r="C191" i="13"/>
  <c r="E191" i="13"/>
  <c r="F191" i="13"/>
  <c r="G191" i="13"/>
  <c r="H191" i="13"/>
  <c r="C192" i="13"/>
  <c r="E192" i="13"/>
  <c r="F192" i="13"/>
  <c r="G192" i="13"/>
  <c r="H192" i="13"/>
  <c r="C193" i="13"/>
  <c r="E193" i="13"/>
  <c r="F193" i="13"/>
  <c r="G193" i="13"/>
  <c r="H193" i="13"/>
  <c r="C194" i="13"/>
  <c r="E194" i="13"/>
  <c r="F194" i="13"/>
  <c r="G194" i="13"/>
  <c r="H194" i="13"/>
  <c r="C195" i="13"/>
  <c r="E195" i="13"/>
  <c r="F195" i="13"/>
  <c r="G195" i="13"/>
  <c r="H195" i="13"/>
  <c r="C196" i="13"/>
  <c r="E196" i="13"/>
  <c r="F196" i="13"/>
  <c r="G196" i="13"/>
  <c r="H196" i="13"/>
  <c r="C197" i="13"/>
  <c r="E197" i="13"/>
  <c r="F197" i="13"/>
  <c r="G197" i="13"/>
  <c r="H197" i="13"/>
  <c r="C198" i="13"/>
  <c r="E198" i="13"/>
  <c r="F198" i="13"/>
  <c r="G198" i="13"/>
  <c r="H198" i="13"/>
  <c r="C199" i="13"/>
  <c r="E199" i="13"/>
  <c r="F199" i="13"/>
  <c r="G199" i="13"/>
  <c r="H199" i="13"/>
  <c r="C200" i="13"/>
  <c r="E200" i="13"/>
  <c r="F200" i="13"/>
  <c r="G200" i="13"/>
  <c r="H200" i="13"/>
  <c r="C201" i="13"/>
  <c r="E201" i="13"/>
  <c r="F201" i="13"/>
  <c r="G201" i="13"/>
  <c r="H201" i="13"/>
  <c r="C202" i="13"/>
  <c r="E202" i="13"/>
  <c r="F202" i="13"/>
  <c r="G202" i="13"/>
  <c r="H202" i="13"/>
  <c r="C203" i="13"/>
  <c r="E203" i="13"/>
  <c r="F203" i="13"/>
  <c r="G203" i="13"/>
  <c r="H203" i="13"/>
  <c r="C204" i="13"/>
  <c r="E204" i="13"/>
  <c r="F204" i="13"/>
  <c r="G204" i="13"/>
  <c r="H204" i="13"/>
  <c r="C205" i="13"/>
  <c r="E205" i="13"/>
  <c r="F205" i="13"/>
  <c r="G205" i="13"/>
  <c r="H205" i="13"/>
  <c r="C206" i="13"/>
  <c r="E206" i="13"/>
  <c r="F206" i="13"/>
  <c r="G206" i="13"/>
  <c r="H206" i="13"/>
  <c r="C207" i="13"/>
  <c r="E207" i="13"/>
  <c r="F207" i="13"/>
  <c r="G207" i="13"/>
  <c r="H207" i="13"/>
  <c r="C208" i="13"/>
  <c r="E208" i="13"/>
  <c r="F208" i="13"/>
  <c r="G208" i="13"/>
  <c r="H208" i="13"/>
  <c r="C209" i="13"/>
  <c r="E209" i="13"/>
  <c r="F209" i="13"/>
  <c r="G209" i="13"/>
  <c r="H209" i="13"/>
  <c r="C210" i="13"/>
  <c r="E210" i="13"/>
  <c r="F210" i="13"/>
  <c r="G210" i="13"/>
  <c r="H210" i="13"/>
  <c r="C211" i="13"/>
  <c r="E211" i="13"/>
  <c r="F211" i="13"/>
  <c r="G211" i="13"/>
  <c r="H211" i="13"/>
  <c r="C212" i="13"/>
  <c r="E212" i="13"/>
  <c r="F212" i="13"/>
  <c r="G212" i="13"/>
  <c r="H212" i="13"/>
  <c r="C213" i="13"/>
  <c r="E213" i="13"/>
  <c r="F213" i="13"/>
  <c r="G213" i="13"/>
  <c r="H213" i="13"/>
  <c r="C214" i="13"/>
  <c r="E214" i="13"/>
  <c r="F214" i="13"/>
  <c r="G214" i="13"/>
  <c r="H214" i="13"/>
  <c r="C215" i="13"/>
  <c r="E215" i="13"/>
  <c r="F215" i="13"/>
  <c r="G215" i="13"/>
  <c r="H215" i="13"/>
  <c r="C216" i="13"/>
  <c r="E216" i="13"/>
  <c r="F216" i="13"/>
  <c r="G216" i="13"/>
  <c r="H216" i="13"/>
  <c r="C217" i="13"/>
  <c r="E217" i="13"/>
  <c r="F217" i="13"/>
  <c r="G217" i="13"/>
  <c r="H217" i="13"/>
  <c r="C218" i="13"/>
  <c r="E218" i="13"/>
  <c r="F218" i="13"/>
  <c r="G218" i="13"/>
  <c r="H218" i="13"/>
  <c r="C219" i="13"/>
  <c r="E219" i="13"/>
  <c r="F219" i="13"/>
  <c r="G219" i="13"/>
  <c r="H219" i="13"/>
  <c r="C220" i="13"/>
  <c r="E220" i="13"/>
  <c r="F220" i="13"/>
  <c r="G220" i="13"/>
  <c r="H220" i="13"/>
  <c r="C221" i="13"/>
  <c r="E221" i="13"/>
  <c r="F221" i="13"/>
  <c r="G221" i="13"/>
  <c r="H221" i="13"/>
  <c r="C222" i="13"/>
  <c r="E222" i="13"/>
  <c r="F222" i="13"/>
  <c r="G222" i="13"/>
  <c r="H222" i="13"/>
  <c r="C223" i="13"/>
  <c r="E223" i="13"/>
  <c r="F223" i="13"/>
  <c r="G223" i="13"/>
  <c r="H223" i="13"/>
  <c r="C224" i="13"/>
  <c r="E224" i="13"/>
  <c r="F224" i="13"/>
  <c r="G224" i="13"/>
  <c r="H224" i="13"/>
  <c r="C225" i="13"/>
  <c r="E225" i="13"/>
  <c r="F225" i="13"/>
  <c r="G225" i="13"/>
  <c r="H225" i="13"/>
  <c r="C226" i="13"/>
  <c r="E226" i="13"/>
  <c r="F226" i="13"/>
  <c r="G226" i="13"/>
  <c r="H226" i="13"/>
  <c r="C227" i="13"/>
  <c r="E227" i="13"/>
  <c r="F227" i="13"/>
  <c r="G227" i="13"/>
  <c r="H227" i="13"/>
  <c r="C228" i="13"/>
  <c r="E228" i="13"/>
  <c r="F228" i="13"/>
  <c r="G228" i="13"/>
  <c r="H228" i="13"/>
  <c r="C229" i="13"/>
  <c r="E229" i="13"/>
  <c r="F229" i="13"/>
  <c r="G229" i="13"/>
  <c r="H229" i="13"/>
  <c r="C230" i="13"/>
  <c r="E230" i="13"/>
  <c r="F230" i="13"/>
  <c r="G230" i="13"/>
  <c r="H230" i="13"/>
  <c r="C231" i="13"/>
  <c r="E231" i="13"/>
  <c r="F231" i="13"/>
  <c r="G231" i="13"/>
  <c r="H231" i="13"/>
  <c r="C232" i="13"/>
  <c r="E232" i="13"/>
  <c r="F232" i="13"/>
  <c r="G232" i="13"/>
  <c r="H232" i="13"/>
  <c r="C233" i="13"/>
  <c r="E233" i="13"/>
  <c r="F233" i="13"/>
  <c r="G233" i="13"/>
  <c r="H233" i="13"/>
  <c r="C234" i="13"/>
  <c r="E234" i="13"/>
  <c r="F234" i="13"/>
  <c r="G234" i="13"/>
  <c r="H234" i="13"/>
  <c r="C235" i="13"/>
  <c r="E235" i="13"/>
  <c r="F235" i="13"/>
  <c r="G235" i="13"/>
  <c r="H235" i="13"/>
  <c r="C236" i="13"/>
  <c r="E236" i="13"/>
  <c r="F236" i="13"/>
  <c r="G236" i="13"/>
  <c r="H236" i="13"/>
  <c r="C237" i="13"/>
  <c r="E237" i="13"/>
  <c r="F237" i="13"/>
  <c r="G237" i="13"/>
  <c r="H237" i="13"/>
  <c r="C238" i="13"/>
  <c r="E238" i="13"/>
  <c r="F238" i="13"/>
  <c r="G238" i="13"/>
  <c r="H238" i="13"/>
  <c r="C239" i="13"/>
  <c r="E239" i="13"/>
  <c r="F239" i="13"/>
  <c r="G239" i="13"/>
  <c r="H239" i="13"/>
  <c r="C240" i="13"/>
  <c r="E240" i="13"/>
  <c r="F240" i="13"/>
  <c r="G240" i="13"/>
  <c r="H240" i="13"/>
  <c r="C241" i="13"/>
  <c r="E241" i="13"/>
  <c r="F241" i="13"/>
  <c r="G241" i="13"/>
  <c r="H241" i="13"/>
  <c r="C242" i="13"/>
  <c r="E242" i="13"/>
  <c r="F242" i="13"/>
  <c r="G242" i="13"/>
  <c r="H242" i="13"/>
  <c r="C243" i="13"/>
  <c r="E243" i="13"/>
  <c r="F243" i="13"/>
  <c r="G243" i="13"/>
  <c r="H243" i="13"/>
  <c r="C244" i="13"/>
  <c r="E244" i="13"/>
  <c r="F244" i="13"/>
  <c r="G244" i="13"/>
  <c r="H244" i="13"/>
  <c r="C245" i="13"/>
  <c r="E245" i="13"/>
  <c r="F245" i="13"/>
  <c r="G245" i="13"/>
  <c r="H245" i="13"/>
  <c r="C246" i="13"/>
  <c r="E246" i="13"/>
  <c r="F246" i="13"/>
  <c r="G246" i="13"/>
  <c r="H246" i="13"/>
  <c r="C247" i="13"/>
  <c r="E247" i="13"/>
  <c r="F247" i="13"/>
  <c r="G247" i="13"/>
  <c r="H247" i="13"/>
  <c r="C248" i="13"/>
  <c r="E248" i="13"/>
  <c r="F248" i="13"/>
  <c r="G248" i="13"/>
  <c r="H248" i="13"/>
  <c r="C249" i="13"/>
  <c r="E249" i="13"/>
  <c r="F249" i="13"/>
  <c r="G249" i="13"/>
  <c r="H249" i="13"/>
  <c r="C250" i="13"/>
  <c r="E250" i="13"/>
  <c r="F250" i="13"/>
  <c r="G250" i="13"/>
  <c r="H250" i="13"/>
  <c r="C251" i="13"/>
  <c r="E251" i="13"/>
  <c r="F251" i="13"/>
  <c r="G251" i="13"/>
  <c r="H251" i="13"/>
  <c r="C252" i="13"/>
  <c r="E252" i="13"/>
  <c r="F252" i="13"/>
  <c r="G252" i="13"/>
  <c r="H252" i="13"/>
  <c r="C253" i="13"/>
  <c r="E253" i="13"/>
  <c r="F253" i="13"/>
  <c r="G253" i="13"/>
  <c r="H253" i="13"/>
  <c r="C254" i="13"/>
  <c r="E254" i="13"/>
  <c r="F254" i="13"/>
  <c r="G254" i="13"/>
  <c r="H254" i="13"/>
  <c r="C255" i="13"/>
  <c r="E255" i="13"/>
  <c r="F255" i="13"/>
  <c r="G255" i="13"/>
  <c r="H255" i="13"/>
  <c r="C256" i="13"/>
  <c r="E256" i="13"/>
  <c r="F256" i="13"/>
  <c r="G256" i="13"/>
  <c r="H256" i="13"/>
  <c r="C257" i="13"/>
  <c r="E257" i="13"/>
  <c r="F257" i="13"/>
  <c r="G257" i="13"/>
  <c r="H257" i="13"/>
  <c r="C258" i="13"/>
  <c r="E258" i="13"/>
  <c r="F258" i="13"/>
  <c r="G258" i="13"/>
  <c r="H258" i="13"/>
  <c r="C259" i="13"/>
  <c r="E259" i="13"/>
  <c r="F259" i="13"/>
  <c r="G259" i="13"/>
  <c r="H259" i="13"/>
  <c r="C260" i="13"/>
  <c r="E260" i="13"/>
  <c r="F260" i="13"/>
  <c r="G260" i="13"/>
  <c r="H260" i="13"/>
  <c r="C261" i="13"/>
  <c r="E261" i="13"/>
  <c r="F261" i="13"/>
  <c r="G261" i="13"/>
  <c r="H261" i="13"/>
  <c r="C262" i="13"/>
  <c r="E262" i="13"/>
  <c r="F262" i="13"/>
  <c r="G262" i="13"/>
  <c r="H262" i="13"/>
  <c r="C263" i="13"/>
  <c r="E263" i="13"/>
  <c r="F263" i="13"/>
  <c r="G263" i="13"/>
  <c r="H263" i="13"/>
  <c r="C264" i="13"/>
  <c r="E264" i="13"/>
  <c r="F264" i="13"/>
  <c r="G264" i="13"/>
  <c r="H264" i="13"/>
  <c r="C265" i="13"/>
  <c r="E265" i="13"/>
  <c r="F265" i="13"/>
  <c r="G265" i="13"/>
  <c r="H265" i="13"/>
  <c r="C266" i="13"/>
  <c r="E266" i="13"/>
  <c r="F266" i="13"/>
  <c r="G266" i="13"/>
  <c r="H266" i="13"/>
  <c r="C267" i="13"/>
  <c r="E267" i="13"/>
  <c r="F267" i="13"/>
  <c r="G267" i="13"/>
  <c r="H267" i="13"/>
  <c r="C268" i="13"/>
  <c r="E268" i="13"/>
  <c r="F268" i="13"/>
  <c r="G268" i="13"/>
  <c r="H268" i="13"/>
  <c r="C269" i="13"/>
  <c r="E269" i="13"/>
  <c r="F269" i="13"/>
  <c r="G269" i="13"/>
  <c r="H269" i="13"/>
  <c r="C270" i="13"/>
  <c r="E270" i="13"/>
  <c r="F270" i="13"/>
  <c r="G270" i="13"/>
  <c r="H270" i="13"/>
  <c r="C271" i="13"/>
  <c r="E271" i="13"/>
  <c r="F271" i="13"/>
  <c r="G271" i="13"/>
  <c r="H271" i="13"/>
  <c r="C272" i="13"/>
  <c r="E272" i="13"/>
  <c r="F272" i="13"/>
  <c r="G272" i="13"/>
  <c r="H272" i="13"/>
  <c r="C273" i="13"/>
  <c r="E273" i="13"/>
  <c r="F273" i="13"/>
  <c r="G273" i="13"/>
  <c r="H273" i="13"/>
  <c r="C274" i="13"/>
  <c r="E274" i="13"/>
  <c r="F274" i="13"/>
  <c r="G274" i="13"/>
  <c r="H274" i="13"/>
  <c r="C275" i="13"/>
  <c r="E275" i="13"/>
  <c r="F275" i="13"/>
  <c r="G275" i="13"/>
  <c r="H275" i="13"/>
  <c r="C276" i="13"/>
  <c r="E276" i="13"/>
  <c r="F276" i="13"/>
  <c r="G276" i="13"/>
  <c r="H276" i="13"/>
  <c r="C277" i="13"/>
  <c r="E277" i="13"/>
  <c r="F277" i="13"/>
  <c r="G277" i="13"/>
  <c r="H277" i="13"/>
  <c r="C278" i="13"/>
  <c r="E278" i="13"/>
  <c r="F278" i="13"/>
  <c r="G278" i="13"/>
  <c r="H278" i="13"/>
  <c r="C279" i="13"/>
  <c r="E279" i="13"/>
  <c r="F279" i="13"/>
  <c r="G279" i="13"/>
  <c r="H279" i="13"/>
  <c r="C280" i="13"/>
  <c r="E280" i="13"/>
  <c r="F280" i="13"/>
  <c r="G280" i="13"/>
  <c r="H280" i="13"/>
  <c r="C281" i="13"/>
  <c r="E281" i="13"/>
  <c r="F281" i="13"/>
  <c r="G281" i="13"/>
  <c r="H281" i="13"/>
  <c r="C282" i="13"/>
  <c r="E282" i="13"/>
  <c r="F282" i="13"/>
  <c r="G282" i="13"/>
  <c r="H282" i="13"/>
  <c r="C283" i="13"/>
  <c r="E283" i="13"/>
  <c r="F283" i="13"/>
  <c r="G283" i="13"/>
  <c r="H283" i="13"/>
  <c r="C284" i="13"/>
  <c r="E284" i="13"/>
  <c r="F284" i="13"/>
  <c r="G284" i="13"/>
  <c r="H284" i="13"/>
  <c r="C285" i="13"/>
  <c r="E285" i="13"/>
  <c r="F285" i="13"/>
  <c r="G285" i="13"/>
  <c r="H285" i="13"/>
  <c r="C286" i="13"/>
  <c r="E286" i="13"/>
  <c r="F286" i="13"/>
  <c r="G286" i="13"/>
  <c r="H286" i="13"/>
  <c r="C287" i="13"/>
  <c r="E287" i="13"/>
  <c r="F287" i="13"/>
  <c r="G287" i="13"/>
  <c r="H287" i="13"/>
  <c r="C288" i="13"/>
  <c r="E288" i="13"/>
  <c r="F288" i="13"/>
  <c r="G288" i="13"/>
  <c r="H288" i="13"/>
  <c r="C289" i="13"/>
  <c r="E289" i="13"/>
  <c r="F289" i="13"/>
  <c r="G289" i="13"/>
  <c r="H289" i="13"/>
  <c r="C290" i="13"/>
  <c r="E290" i="13"/>
  <c r="F290" i="13"/>
  <c r="G290" i="13"/>
  <c r="H290" i="13"/>
  <c r="C291" i="13"/>
  <c r="E291" i="13"/>
  <c r="F291" i="13"/>
  <c r="G291" i="13"/>
  <c r="H291" i="13"/>
  <c r="C292" i="13"/>
  <c r="E292" i="13"/>
  <c r="F292" i="13"/>
  <c r="G292" i="13"/>
  <c r="H292" i="13"/>
  <c r="C293" i="13"/>
  <c r="E293" i="13"/>
  <c r="F293" i="13"/>
  <c r="G293" i="13"/>
  <c r="H293" i="13"/>
  <c r="C294" i="13"/>
  <c r="E294" i="13"/>
  <c r="F294" i="13"/>
  <c r="G294" i="13"/>
  <c r="H294" i="13"/>
  <c r="C295" i="13"/>
  <c r="E295" i="13"/>
  <c r="F295" i="13"/>
  <c r="G295" i="13"/>
  <c r="H295" i="13"/>
  <c r="C296" i="13"/>
  <c r="E296" i="13"/>
  <c r="F296" i="13"/>
  <c r="G296" i="13"/>
  <c r="H296" i="13"/>
  <c r="C297" i="13"/>
  <c r="E297" i="13"/>
  <c r="F297" i="13"/>
  <c r="G297" i="13"/>
  <c r="H297" i="13"/>
  <c r="C298" i="13"/>
  <c r="E298" i="13"/>
  <c r="F298" i="13"/>
  <c r="G298" i="13"/>
  <c r="H298" i="13"/>
  <c r="C299" i="13"/>
  <c r="E299" i="13"/>
  <c r="F299" i="13"/>
  <c r="G299" i="13"/>
  <c r="H299" i="13"/>
  <c r="C300" i="13"/>
  <c r="E300" i="13"/>
  <c r="F300" i="13"/>
  <c r="G300" i="13"/>
  <c r="H300" i="13"/>
  <c r="C301" i="13"/>
  <c r="E301" i="13"/>
  <c r="F301" i="13"/>
  <c r="G301" i="13"/>
  <c r="H301" i="13"/>
  <c r="C302" i="13"/>
  <c r="E302" i="13"/>
  <c r="F302" i="13"/>
  <c r="G302" i="13"/>
  <c r="H302" i="13"/>
  <c r="C303" i="13"/>
  <c r="E303" i="13"/>
  <c r="F303" i="13"/>
  <c r="G303" i="13"/>
  <c r="H303" i="13"/>
  <c r="C304" i="13"/>
  <c r="E304" i="13"/>
  <c r="F304" i="13"/>
  <c r="G304" i="13"/>
  <c r="H304" i="13"/>
  <c r="C305" i="13"/>
  <c r="E305" i="13"/>
  <c r="F305" i="13"/>
  <c r="G305" i="13"/>
  <c r="H305" i="13"/>
  <c r="C306" i="13"/>
  <c r="E306" i="13"/>
  <c r="F306" i="13"/>
  <c r="G306" i="13"/>
  <c r="H306" i="13"/>
  <c r="C307" i="13"/>
  <c r="E307" i="13"/>
  <c r="F307" i="13"/>
  <c r="G307" i="13"/>
  <c r="H307" i="13"/>
  <c r="C308" i="13"/>
  <c r="E308" i="13"/>
  <c r="F308" i="13"/>
  <c r="G308" i="13"/>
  <c r="H308" i="13"/>
  <c r="C309" i="13"/>
  <c r="E309" i="13"/>
  <c r="F309" i="13"/>
  <c r="G309" i="13"/>
  <c r="H309" i="13"/>
  <c r="C310" i="13"/>
  <c r="E310" i="13"/>
  <c r="F310" i="13"/>
  <c r="G310" i="13"/>
  <c r="H310" i="13"/>
  <c r="C311" i="13"/>
  <c r="E311" i="13"/>
  <c r="F311" i="13"/>
  <c r="G311" i="13"/>
  <c r="H311" i="13"/>
  <c r="C312" i="13"/>
  <c r="E312" i="13"/>
  <c r="F312" i="13"/>
  <c r="G312" i="13"/>
  <c r="H312" i="13"/>
  <c r="C313" i="13"/>
  <c r="E313" i="13"/>
  <c r="F313" i="13"/>
  <c r="G313" i="13"/>
  <c r="H313" i="13"/>
  <c r="C314" i="13"/>
  <c r="E314" i="13"/>
  <c r="F314" i="13"/>
  <c r="G314" i="13"/>
  <c r="H314" i="13"/>
  <c r="C315" i="13"/>
  <c r="E315" i="13"/>
  <c r="F315" i="13"/>
  <c r="G315" i="13"/>
  <c r="H315" i="13"/>
  <c r="C316" i="13"/>
  <c r="E316" i="13"/>
  <c r="F316" i="13"/>
  <c r="G316" i="13"/>
  <c r="H316" i="13"/>
  <c r="C317" i="13"/>
  <c r="E317" i="13"/>
  <c r="F317" i="13"/>
  <c r="G317" i="13"/>
  <c r="H317" i="13"/>
  <c r="C318" i="13"/>
  <c r="E318" i="13"/>
  <c r="F318" i="13"/>
  <c r="G318" i="13"/>
  <c r="H318" i="13"/>
  <c r="C319" i="13"/>
  <c r="E319" i="13"/>
  <c r="F319" i="13"/>
  <c r="G319" i="13"/>
  <c r="H319" i="13"/>
  <c r="C320" i="13"/>
  <c r="E320" i="13"/>
  <c r="F320" i="13"/>
  <c r="G320" i="13"/>
  <c r="H320" i="13"/>
  <c r="C321" i="13"/>
  <c r="E321" i="13"/>
  <c r="F321" i="13"/>
  <c r="G321" i="13"/>
  <c r="H321" i="13"/>
  <c r="C322" i="13"/>
  <c r="E322" i="13"/>
  <c r="F322" i="13"/>
  <c r="G322" i="13"/>
  <c r="H322" i="13"/>
  <c r="C323" i="13"/>
  <c r="E323" i="13"/>
  <c r="F323" i="13"/>
  <c r="G323" i="13"/>
  <c r="H323" i="13"/>
  <c r="C324" i="13"/>
  <c r="E324" i="13"/>
  <c r="F324" i="13"/>
  <c r="G324" i="13"/>
  <c r="H324" i="13"/>
  <c r="C325" i="13"/>
  <c r="E325" i="13"/>
  <c r="F325" i="13"/>
  <c r="G325" i="13"/>
  <c r="H325" i="13"/>
  <c r="C326" i="13"/>
  <c r="E326" i="13"/>
  <c r="F326" i="13"/>
  <c r="G326" i="13"/>
  <c r="H326" i="13"/>
  <c r="C327" i="13"/>
  <c r="E327" i="13"/>
  <c r="F327" i="13"/>
  <c r="G327" i="13"/>
  <c r="H327" i="13"/>
  <c r="C328" i="13"/>
  <c r="E328" i="13"/>
  <c r="F328" i="13"/>
  <c r="G328" i="13"/>
  <c r="H328" i="13"/>
  <c r="C329" i="13"/>
  <c r="E329" i="13"/>
  <c r="F329" i="13"/>
  <c r="G329" i="13"/>
  <c r="H329" i="13"/>
  <c r="C330" i="13"/>
  <c r="E330" i="13"/>
  <c r="F330" i="13"/>
  <c r="G330" i="13"/>
  <c r="H330" i="13"/>
  <c r="C331" i="13"/>
  <c r="E331" i="13"/>
  <c r="F331" i="13"/>
  <c r="G331" i="13"/>
  <c r="H331" i="13"/>
  <c r="C332" i="13"/>
  <c r="E332" i="13"/>
  <c r="F332" i="13"/>
  <c r="G332" i="13"/>
  <c r="H332" i="13"/>
  <c r="C333" i="13"/>
  <c r="E333" i="13"/>
  <c r="F333" i="13"/>
  <c r="G333" i="13"/>
  <c r="H333" i="13"/>
  <c r="C334" i="13"/>
  <c r="E334" i="13"/>
  <c r="F334" i="13"/>
  <c r="G334" i="13"/>
  <c r="H334" i="13"/>
  <c r="C335" i="13"/>
  <c r="E335" i="13"/>
  <c r="F335" i="13"/>
  <c r="G335" i="13"/>
  <c r="H335" i="13"/>
  <c r="C336" i="13"/>
  <c r="E336" i="13"/>
  <c r="F336" i="13"/>
  <c r="G336" i="13"/>
  <c r="H336" i="13"/>
  <c r="C337" i="13"/>
  <c r="E337" i="13"/>
  <c r="F337" i="13"/>
  <c r="G337" i="13"/>
  <c r="H337" i="13"/>
  <c r="C338" i="13"/>
  <c r="E338" i="13"/>
  <c r="F338" i="13"/>
  <c r="G338" i="13"/>
  <c r="H338" i="13"/>
  <c r="C339" i="13"/>
  <c r="E339" i="13"/>
  <c r="F339" i="13"/>
  <c r="G339" i="13"/>
  <c r="H339" i="13"/>
  <c r="C340" i="13"/>
  <c r="E340" i="13"/>
  <c r="F340" i="13"/>
  <c r="G340" i="13"/>
  <c r="H340" i="13"/>
  <c r="C341" i="13"/>
  <c r="E341" i="13"/>
  <c r="F341" i="13"/>
  <c r="G341" i="13"/>
  <c r="H341" i="13"/>
  <c r="C342" i="13"/>
  <c r="E342" i="13"/>
  <c r="F342" i="13"/>
  <c r="G342" i="13"/>
  <c r="H342" i="13"/>
  <c r="C343" i="13"/>
  <c r="E343" i="13"/>
  <c r="F343" i="13"/>
  <c r="G343" i="13"/>
  <c r="H343" i="13"/>
  <c r="C344" i="13"/>
  <c r="E344" i="13"/>
  <c r="F344" i="13"/>
  <c r="G344" i="13"/>
  <c r="H344" i="13"/>
  <c r="C345" i="13"/>
  <c r="E345" i="13"/>
  <c r="F345" i="13"/>
  <c r="G345" i="13"/>
  <c r="H345" i="13"/>
  <c r="C346" i="13"/>
  <c r="E346" i="13"/>
  <c r="F346" i="13"/>
  <c r="G346" i="13"/>
  <c r="H346" i="13"/>
  <c r="C347" i="13"/>
  <c r="E347" i="13"/>
  <c r="F347" i="13"/>
  <c r="G347" i="13"/>
  <c r="H347" i="13"/>
  <c r="C348" i="13"/>
  <c r="E348" i="13"/>
  <c r="F348" i="13"/>
  <c r="G348" i="13"/>
  <c r="H348" i="13"/>
  <c r="C349" i="13"/>
  <c r="E349" i="13"/>
  <c r="F349" i="13"/>
  <c r="G349" i="13"/>
  <c r="H349" i="13"/>
  <c r="C350" i="13"/>
  <c r="E350" i="13"/>
  <c r="F350" i="13"/>
  <c r="G350" i="13"/>
  <c r="H350" i="13"/>
  <c r="C351" i="13"/>
  <c r="E351" i="13"/>
  <c r="F351" i="13"/>
  <c r="G351" i="13"/>
  <c r="H351" i="13"/>
  <c r="C352" i="13"/>
  <c r="E352" i="13"/>
  <c r="F352" i="13"/>
  <c r="G352" i="13"/>
  <c r="H352" i="13"/>
  <c r="C353" i="13"/>
  <c r="E353" i="13"/>
  <c r="F353" i="13"/>
  <c r="G353" i="13"/>
  <c r="H353" i="13"/>
  <c r="C354" i="13"/>
  <c r="E354" i="13"/>
  <c r="F354" i="13"/>
  <c r="G354" i="13"/>
  <c r="H354" i="13"/>
  <c r="C355" i="13"/>
  <c r="E355" i="13"/>
  <c r="F355" i="13"/>
  <c r="G355" i="13"/>
  <c r="H355" i="13"/>
  <c r="C356" i="13"/>
  <c r="E356" i="13"/>
  <c r="F356" i="13"/>
  <c r="G356" i="13"/>
  <c r="H356" i="13"/>
  <c r="C357" i="13"/>
  <c r="E357" i="13"/>
  <c r="F357" i="13"/>
  <c r="G357" i="13"/>
  <c r="H357" i="13"/>
  <c r="C358" i="13"/>
  <c r="E358" i="13"/>
  <c r="F358" i="13"/>
  <c r="G358" i="13"/>
  <c r="H358" i="13"/>
  <c r="C359" i="13"/>
  <c r="E359" i="13"/>
  <c r="F359" i="13"/>
  <c r="G359" i="13"/>
  <c r="H359" i="13"/>
  <c r="C360" i="13"/>
  <c r="E360" i="13"/>
  <c r="F360" i="13"/>
  <c r="G360" i="13"/>
  <c r="H360" i="13"/>
  <c r="C361" i="13"/>
  <c r="E361" i="13"/>
  <c r="F361" i="13"/>
  <c r="G361" i="13"/>
  <c r="H361" i="13"/>
  <c r="C362" i="13"/>
  <c r="E362" i="13"/>
  <c r="F362" i="13"/>
  <c r="G362" i="13"/>
  <c r="H362" i="13"/>
  <c r="C363" i="13"/>
  <c r="E363" i="13"/>
  <c r="F363" i="13"/>
  <c r="G363" i="13"/>
  <c r="H363" i="13"/>
  <c r="C364" i="13"/>
  <c r="E364" i="13"/>
  <c r="F364" i="13"/>
  <c r="G364" i="13"/>
  <c r="H364" i="13"/>
  <c r="C365" i="13"/>
  <c r="E365" i="13"/>
  <c r="F365" i="13"/>
  <c r="G365" i="13"/>
  <c r="H365" i="13"/>
  <c r="C366" i="13"/>
  <c r="E366" i="13"/>
  <c r="F366" i="13"/>
  <c r="G366" i="13"/>
  <c r="H366" i="13"/>
  <c r="C367" i="13"/>
  <c r="E367" i="13"/>
  <c r="F367" i="13"/>
  <c r="G367" i="13"/>
  <c r="H367" i="13"/>
  <c r="C368" i="13"/>
  <c r="E368" i="13"/>
  <c r="F368" i="13"/>
  <c r="G368" i="13"/>
  <c r="H368" i="13"/>
  <c r="C369" i="13"/>
  <c r="E369" i="13"/>
  <c r="F369" i="13"/>
  <c r="G369" i="13"/>
  <c r="H369" i="13"/>
  <c r="C370" i="13"/>
  <c r="E370" i="13"/>
  <c r="F370" i="13"/>
  <c r="G370" i="13"/>
  <c r="H370" i="13"/>
  <c r="C371" i="13"/>
  <c r="E371" i="13"/>
  <c r="F371" i="13"/>
  <c r="G371" i="13"/>
  <c r="H371" i="13"/>
  <c r="C372" i="13"/>
  <c r="E372" i="13"/>
  <c r="F372" i="13"/>
  <c r="G372" i="13"/>
  <c r="H372" i="13"/>
  <c r="C373" i="13"/>
  <c r="E373" i="13"/>
  <c r="F373" i="13"/>
  <c r="G373" i="13"/>
  <c r="H373" i="13"/>
  <c r="C374" i="13"/>
  <c r="E374" i="13"/>
  <c r="F374" i="13"/>
  <c r="G374" i="13"/>
  <c r="H374" i="13"/>
  <c r="C375" i="13"/>
  <c r="E375" i="13"/>
  <c r="F375" i="13"/>
  <c r="G375" i="13"/>
  <c r="H375" i="13"/>
  <c r="C376" i="13"/>
  <c r="E376" i="13"/>
  <c r="F376" i="13"/>
  <c r="G376" i="13"/>
  <c r="H376" i="13"/>
  <c r="C377" i="13"/>
  <c r="E377" i="13"/>
  <c r="F377" i="13"/>
  <c r="G377" i="13"/>
  <c r="H377" i="13"/>
  <c r="C378" i="13"/>
  <c r="E378" i="13"/>
  <c r="F378" i="13"/>
  <c r="G378" i="13"/>
  <c r="H378" i="13"/>
  <c r="C379" i="13"/>
  <c r="E379" i="13"/>
  <c r="F379" i="13"/>
  <c r="G379" i="13"/>
  <c r="H379" i="13"/>
  <c r="C380" i="13"/>
  <c r="E380" i="13"/>
  <c r="F380" i="13"/>
  <c r="G380" i="13"/>
  <c r="H380" i="13"/>
  <c r="C381" i="13"/>
  <c r="E381" i="13"/>
  <c r="F381" i="13"/>
  <c r="G381" i="13"/>
  <c r="H381" i="13"/>
  <c r="C382" i="13"/>
  <c r="E382" i="13"/>
  <c r="F382" i="13"/>
  <c r="G382" i="13"/>
  <c r="H382" i="13"/>
  <c r="C383" i="13"/>
  <c r="E383" i="13"/>
  <c r="F383" i="13"/>
  <c r="G383" i="13"/>
  <c r="H383" i="13"/>
  <c r="C384" i="13"/>
  <c r="E384" i="13"/>
  <c r="F384" i="13"/>
  <c r="G384" i="13"/>
  <c r="H384" i="13"/>
  <c r="C385" i="13"/>
  <c r="E385" i="13"/>
  <c r="F385" i="13"/>
  <c r="G385" i="13"/>
  <c r="H385" i="13"/>
  <c r="C386" i="13"/>
  <c r="E386" i="13"/>
  <c r="F386" i="13"/>
  <c r="G386" i="13"/>
  <c r="H386" i="13"/>
  <c r="C387" i="13"/>
  <c r="E387" i="13"/>
  <c r="F387" i="13"/>
  <c r="G387" i="13"/>
  <c r="H387" i="13"/>
  <c r="C388" i="13"/>
  <c r="E388" i="13"/>
  <c r="F388" i="13"/>
  <c r="G388" i="13"/>
  <c r="H388" i="13"/>
  <c r="C389" i="13"/>
  <c r="E389" i="13"/>
  <c r="F389" i="13"/>
  <c r="G389" i="13"/>
  <c r="H389" i="13"/>
  <c r="C390" i="13"/>
  <c r="E390" i="13"/>
  <c r="F390" i="13"/>
  <c r="G390" i="13"/>
  <c r="H390" i="13"/>
  <c r="C391" i="13"/>
  <c r="E391" i="13"/>
  <c r="F391" i="13"/>
  <c r="G391" i="13"/>
  <c r="H391" i="13"/>
  <c r="C392" i="13"/>
  <c r="E392" i="13"/>
  <c r="F392" i="13"/>
  <c r="G392" i="13"/>
  <c r="H392" i="13"/>
  <c r="C393" i="13"/>
  <c r="E393" i="13"/>
  <c r="F393" i="13"/>
  <c r="G393" i="13"/>
  <c r="H393" i="13"/>
  <c r="C394" i="13"/>
  <c r="E394" i="13"/>
  <c r="F394" i="13"/>
  <c r="G394" i="13"/>
  <c r="H394" i="13"/>
  <c r="C395" i="13"/>
  <c r="E395" i="13"/>
  <c r="F395" i="13"/>
  <c r="G395" i="13"/>
  <c r="H395" i="13"/>
  <c r="C396" i="13"/>
  <c r="E396" i="13"/>
  <c r="F396" i="13"/>
  <c r="G396" i="13"/>
  <c r="H396" i="13"/>
  <c r="C397" i="13"/>
  <c r="E397" i="13"/>
  <c r="F397" i="13"/>
  <c r="G397" i="13"/>
  <c r="H397" i="13"/>
  <c r="C398" i="13"/>
  <c r="E398" i="13"/>
  <c r="F398" i="13"/>
  <c r="G398" i="13"/>
  <c r="H398" i="13"/>
  <c r="C399" i="13"/>
  <c r="E399" i="13"/>
  <c r="F399" i="13"/>
  <c r="G399" i="13"/>
  <c r="H399" i="13"/>
  <c r="C400" i="13"/>
  <c r="E400" i="13"/>
  <c r="F400" i="13"/>
  <c r="G400" i="13"/>
  <c r="H400" i="13"/>
  <c r="C401" i="13"/>
  <c r="E401" i="13"/>
  <c r="F401" i="13"/>
  <c r="G401" i="13"/>
  <c r="H401" i="13"/>
  <c r="C402" i="13"/>
  <c r="E402" i="13"/>
  <c r="F402" i="13"/>
  <c r="G402" i="13"/>
  <c r="H402" i="13"/>
  <c r="C403" i="13"/>
  <c r="E403" i="13"/>
  <c r="F403" i="13"/>
  <c r="G403" i="13"/>
  <c r="H403" i="13"/>
  <c r="C404" i="13"/>
  <c r="E404" i="13"/>
  <c r="F404" i="13"/>
  <c r="G404" i="13"/>
  <c r="H404" i="13"/>
  <c r="C405" i="13"/>
  <c r="E405" i="13"/>
  <c r="F405" i="13"/>
  <c r="G405" i="13"/>
  <c r="H405" i="13"/>
  <c r="C406" i="13"/>
  <c r="E406" i="13"/>
  <c r="F406" i="13"/>
  <c r="G406" i="13"/>
  <c r="H406" i="13"/>
  <c r="C407" i="13"/>
  <c r="E407" i="13"/>
  <c r="F407" i="13"/>
  <c r="G407" i="13"/>
  <c r="H407" i="13"/>
  <c r="C408" i="13"/>
  <c r="E408" i="13"/>
  <c r="F408" i="13"/>
  <c r="G408" i="13"/>
  <c r="H408" i="13"/>
  <c r="C409" i="13"/>
  <c r="E409" i="13"/>
  <c r="F409" i="13"/>
  <c r="G409" i="13"/>
  <c r="H409" i="13"/>
  <c r="C308" i="16" l="1"/>
  <c r="C307" i="16"/>
  <c r="C298" i="16"/>
  <c r="C306" i="16"/>
  <c r="C464" i="16"/>
  <c r="H464" i="16" s="1"/>
  <c r="C466" i="16"/>
  <c r="C467" i="16"/>
  <c r="H467" i="16" s="1"/>
  <c r="C468" i="16"/>
  <c r="C687" i="16"/>
  <c r="H687" i="16" s="1"/>
  <c r="C688" i="16"/>
  <c r="H688" i="16" s="1"/>
  <c r="C689" i="16"/>
  <c r="H689" i="16" s="1"/>
  <c r="C690" i="16"/>
  <c r="H690" i="16" s="1"/>
  <c r="C691" i="16"/>
  <c r="H691" i="16" s="1"/>
  <c r="C692" i="16"/>
  <c r="H692" i="16" s="1"/>
  <c r="C693" i="16"/>
  <c r="H693" i="16" s="1"/>
  <c r="C694" i="16"/>
  <c r="H694" i="16" s="1"/>
  <c r="C695" i="16"/>
  <c r="H695" i="16" s="1"/>
  <c r="C696" i="16"/>
  <c r="H696" i="16" s="1"/>
  <c r="C697" i="16"/>
  <c r="C354" i="16"/>
  <c r="C353" i="16"/>
  <c r="C352" i="16"/>
  <c r="C351" i="16"/>
  <c r="C350" i="16"/>
  <c r="C349" i="16"/>
  <c r="C348" i="16"/>
  <c r="C347" i="16"/>
  <c r="C346" i="16"/>
  <c r="C345" i="16"/>
  <c r="C344" i="16"/>
  <c r="C343" i="16"/>
  <c r="C342" i="16"/>
  <c r="C341" i="16"/>
  <c r="C340" i="16"/>
  <c r="C339" i="16"/>
  <c r="C338" i="16"/>
  <c r="C337" i="16"/>
  <c r="C336" i="16"/>
  <c r="C335" i="16"/>
  <c r="C334" i="16"/>
  <c r="C333" i="16"/>
  <c r="C332" i="16"/>
  <c r="C331" i="16"/>
  <c r="C330" i="16"/>
  <c r="C329" i="16"/>
  <c r="C328" i="16"/>
  <c r="C327" i="16"/>
  <c r="C326" i="16"/>
  <c r="C325" i="16"/>
  <c r="C324" i="16"/>
  <c r="C323" i="16"/>
  <c r="C322" i="16"/>
  <c r="C321" i="16"/>
  <c r="C320" i="16"/>
  <c r="C319" i="16"/>
  <c r="C318" i="16"/>
  <c r="C317" i="16"/>
  <c r="C316" i="16"/>
  <c r="C315" i="16"/>
  <c r="C314" i="16"/>
  <c r="C313" i="16"/>
  <c r="C312" i="16"/>
  <c r="C311" i="16"/>
  <c r="C310" i="16"/>
  <c r="C309" i="16"/>
  <c r="H309" i="16" s="1"/>
  <c r="C257" i="16"/>
  <c r="C299" i="16"/>
  <c r="H299" i="16" s="1"/>
  <c r="C465" i="16"/>
  <c r="H465" i="16" s="1"/>
  <c r="C305" i="16"/>
  <c r="C304" i="16"/>
  <c r="C303" i="16"/>
  <c r="C302" i="16"/>
  <c r="C301" i="16"/>
  <c r="C300" i="16"/>
  <c r="H300" i="16" s="1"/>
  <c r="C297" i="16"/>
  <c r="C296" i="16"/>
  <c r="C295" i="16"/>
  <c r="C294" i="16"/>
  <c r="C293" i="16"/>
  <c r="C292" i="16"/>
  <c r="C291" i="16"/>
  <c r="C290" i="16"/>
  <c r="C289" i="16"/>
  <c r="C288" i="16"/>
  <c r="C287" i="16"/>
  <c r="C286" i="16"/>
  <c r="C285" i="16"/>
  <c r="C284" i="16"/>
  <c r="C283" i="16"/>
  <c r="C282" i="16"/>
  <c r="C281" i="16"/>
  <c r="C280" i="16"/>
  <c r="C279" i="16"/>
  <c r="C278" i="16"/>
  <c r="C277" i="16"/>
  <c r="C276" i="16"/>
  <c r="C275" i="16"/>
  <c r="C274" i="16"/>
  <c r="C273" i="16"/>
  <c r="C241" i="16"/>
  <c r="H241" i="16" s="1"/>
  <c r="C272" i="16"/>
  <c r="C242" i="16"/>
  <c r="H242" i="16" s="1"/>
  <c r="C271" i="16"/>
  <c r="C243" i="16"/>
  <c r="H243" i="16" s="1"/>
  <c r="C270" i="16"/>
  <c r="C244" i="16"/>
  <c r="H244" i="16" s="1"/>
  <c r="C269" i="16"/>
  <c r="C245" i="16"/>
  <c r="H245" i="16" s="1"/>
  <c r="C268" i="16"/>
  <c r="C246" i="16"/>
  <c r="H246" i="16" s="1"/>
  <c r="C267" i="16"/>
  <c r="C247" i="16"/>
  <c r="H247" i="16" s="1"/>
  <c r="C266" i="16"/>
  <c r="C248" i="16"/>
  <c r="H248" i="16" s="1"/>
  <c r="C265" i="16"/>
  <c r="C249" i="16"/>
  <c r="H249" i="16" s="1"/>
  <c r="C264" i="16"/>
  <c r="C250" i="16"/>
  <c r="H250" i="16" s="1"/>
  <c r="C251" i="16"/>
  <c r="H251" i="16" s="1"/>
  <c r="C263" i="16"/>
  <c r="C252" i="16"/>
  <c r="H252" i="16" s="1"/>
  <c r="C262" i="16"/>
  <c r="C253" i="16"/>
  <c r="H253" i="16" s="1"/>
  <c r="C261" i="16"/>
  <c r="C254" i="16"/>
  <c r="H254" i="16" s="1"/>
  <c r="C260" i="16"/>
  <c r="C255" i="16"/>
  <c r="H255" i="16" s="1"/>
  <c r="C259" i="16"/>
  <c r="C256" i="16"/>
  <c r="H256" i="16" s="1"/>
  <c r="C258" i="16"/>
  <c r="H258" i="16" s="1"/>
  <c r="B8" i="16"/>
  <c r="D20" i="16"/>
  <c r="G106" i="16"/>
  <c r="D106" i="16"/>
  <c r="D107" i="16"/>
  <c r="G107" i="16"/>
  <c r="G108" i="16"/>
  <c r="D108" i="16"/>
  <c r="G109" i="16"/>
  <c r="H110" i="16" s="1"/>
  <c r="D109" i="16"/>
  <c r="G116" i="16"/>
  <c r="D116" i="16"/>
  <c r="D117" i="16"/>
  <c r="G117" i="16"/>
  <c r="H118" i="16" s="1"/>
  <c r="D120" i="16"/>
  <c r="G120" i="16"/>
  <c r="D121" i="16"/>
  <c r="G121" i="16"/>
  <c r="D122" i="16"/>
  <c r="G122" i="16"/>
  <c r="G123" i="16"/>
  <c r="D123" i="16"/>
  <c r="G124" i="16"/>
  <c r="D124" i="16"/>
  <c r="D125" i="16"/>
  <c r="G125" i="16"/>
  <c r="H126" i="16" s="1"/>
  <c r="D128" i="16"/>
  <c r="G128" i="16"/>
  <c r="G129" i="16"/>
  <c r="H130" i="16" s="1"/>
  <c r="D129" i="16"/>
  <c r="D132" i="16"/>
  <c r="G132" i="16"/>
  <c r="G134" i="16"/>
  <c r="D134" i="16"/>
  <c r="G135" i="16"/>
  <c r="H136" i="16" s="1"/>
  <c r="D135" i="16"/>
  <c r="G136" i="16"/>
  <c r="G137" i="16"/>
  <c r="H138" i="16" s="1"/>
  <c r="G139" i="16"/>
  <c r="G143" i="16"/>
  <c r="G145" i="16"/>
  <c r="G149" i="16"/>
  <c r="G152" i="16"/>
  <c r="G153" i="16"/>
  <c r="H154" i="16" s="1"/>
  <c r="G156" i="16"/>
  <c r="G159" i="16"/>
  <c r="G160" i="16"/>
  <c r="G161" i="16"/>
  <c r="H162" i="16" s="1"/>
  <c r="G163" i="16"/>
  <c r="G164" i="16"/>
  <c r="G165" i="16"/>
  <c r="G166" i="16"/>
  <c r="H167" i="16" s="1"/>
  <c r="G168" i="16"/>
  <c r="G170" i="16"/>
  <c r="G172" i="16"/>
  <c r="G173" i="16"/>
  <c r="G174" i="16"/>
  <c r="H175" i="16" s="1"/>
  <c r="G176" i="16"/>
  <c r="G177" i="16"/>
  <c r="H178" i="16" s="1"/>
  <c r="G179" i="16"/>
  <c r="G182" i="16"/>
  <c r="G184" i="16"/>
  <c r="G189" i="16"/>
  <c r="G190" i="16"/>
  <c r="H191" i="16" s="1"/>
  <c r="G195" i="16"/>
  <c r="G197" i="16"/>
  <c r="G198" i="16"/>
  <c r="H199" i="16" s="1"/>
  <c r="G200" i="16"/>
  <c r="G201" i="16"/>
  <c r="G202" i="16"/>
  <c r="H203" i="16" s="1"/>
  <c r="G204" i="16"/>
  <c r="G205" i="16"/>
  <c r="G206" i="16"/>
  <c r="H207" i="16" s="1"/>
  <c r="G208" i="16"/>
  <c r="G209" i="16"/>
  <c r="H210" i="16" s="1"/>
  <c r="G211" i="16"/>
  <c r="G212" i="16"/>
  <c r="G213" i="16"/>
  <c r="G214" i="16"/>
  <c r="G215" i="16"/>
  <c r="H216" i="16" s="1"/>
  <c r="G218" i="16"/>
  <c r="G219" i="16"/>
  <c r="H220" i="16" s="1"/>
  <c r="G221" i="16"/>
  <c r="G224" i="16"/>
  <c r="G225" i="16"/>
  <c r="G226" i="16"/>
  <c r="H227" i="16" s="1"/>
  <c r="G229" i="16"/>
  <c r="G231" i="16"/>
  <c r="G232" i="16"/>
  <c r="G233" i="16"/>
  <c r="H234" i="16" s="1"/>
  <c r="G235" i="16"/>
  <c r="G578" i="16"/>
  <c r="G612" i="16"/>
  <c r="G613" i="16"/>
  <c r="H614" i="16" s="1"/>
  <c r="G615" i="16"/>
  <c r="G617" i="16"/>
  <c r="G619" i="16"/>
  <c r="G620" i="16"/>
  <c r="G621" i="16"/>
  <c r="G622" i="16"/>
  <c r="H623" i="16" s="1"/>
  <c r="G624" i="16"/>
  <c r="G625" i="16"/>
  <c r="G626" i="16"/>
  <c r="H627" i="16" s="1"/>
  <c r="G629" i="16"/>
  <c r="G630" i="16"/>
  <c r="G631" i="16"/>
  <c r="G632" i="16"/>
  <c r="G633" i="16"/>
  <c r="G634" i="16"/>
  <c r="H635" i="16" s="1"/>
  <c r="G636" i="16"/>
  <c r="G637" i="16"/>
  <c r="G638" i="16"/>
  <c r="H639" i="16" s="1"/>
  <c r="G642" i="16"/>
  <c r="G647" i="16"/>
  <c r="G648" i="16"/>
  <c r="H649" i="16" s="1"/>
  <c r="H652" i="16"/>
  <c r="H651" i="16"/>
  <c r="G654" i="16"/>
  <c r="G659" i="16"/>
  <c r="G664" i="16"/>
  <c r="G669" i="16"/>
  <c r="G670" i="16"/>
  <c r="G671" i="16"/>
  <c r="G672" i="16"/>
  <c r="G673" i="16"/>
  <c r="G674" i="16"/>
  <c r="G675" i="16"/>
  <c r="G676" i="16"/>
  <c r="G677" i="16"/>
  <c r="H678" i="16" s="1"/>
  <c r="G681" i="16"/>
  <c r="G682" i="16"/>
  <c r="G683" i="16"/>
  <c r="G684" i="16"/>
  <c r="G685" i="16"/>
  <c r="H686" i="16" s="1"/>
  <c r="C288" i="15"/>
  <c r="H288" i="15" s="1"/>
  <c r="C371" i="15"/>
  <c r="C367" i="15"/>
  <c r="C275" i="15"/>
  <c r="H275" i="15" s="1"/>
  <c r="C504" i="15"/>
  <c r="H504" i="15" s="1"/>
  <c r="C499" i="15"/>
  <c r="C505" i="15"/>
  <c r="H505" i="15" s="1"/>
  <c r="C498" i="15"/>
  <c r="C506" i="15"/>
  <c r="H506" i="15" s="1"/>
  <c r="C497" i="15"/>
  <c r="C507" i="15"/>
  <c r="H507" i="15" s="1"/>
  <c r="C496" i="15"/>
  <c r="C508" i="15"/>
  <c r="H508" i="15" s="1"/>
  <c r="C495" i="15"/>
  <c r="C509" i="15"/>
  <c r="H509" i="15" s="1"/>
  <c r="C494" i="15"/>
  <c r="C510" i="15"/>
  <c r="H510" i="15" s="1"/>
  <c r="C493" i="15"/>
  <c r="C511" i="15"/>
  <c r="H511" i="15" s="1"/>
  <c r="C492" i="15"/>
  <c r="C512" i="15"/>
  <c r="H512" i="15" s="1"/>
  <c r="C491" i="15"/>
  <c r="C513" i="15"/>
  <c r="H513" i="15" s="1"/>
  <c r="C490" i="15"/>
  <c r="C514" i="15"/>
  <c r="H514" i="15" s="1"/>
  <c r="C489" i="15"/>
  <c r="C515" i="15"/>
  <c r="H515" i="15" s="1"/>
  <c r="C488" i="15"/>
  <c r="C516" i="15"/>
  <c r="H516" i="15" s="1"/>
  <c r="C487" i="15"/>
  <c r="C517" i="15"/>
  <c r="H517" i="15" s="1"/>
  <c r="C486" i="15"/>
  <c r="C518" i="15"/>
  <c r="H518" i="15" s="1"/>
  <c r="C485" i="15"/>
  <c r="C519" i="15"/>
  <c r="H519" i="15" s="1"/>
  <c r="C484" i="15"/>
  <c r="C520" i="15"/>
  <c r="H520" i="15" s="1"/>
  <c r="C483" i="15"/>
  <c r="C521" i="15"/>
  <c r="H521" i="15" s="1"/>
  <c r="C482" i="15"/>
  <c r="C522" i="15"/>
  <c r="H522" i="15" s="1"/>
  <c r="C481" i="15"/>
  <c r="C523" i="15"/>
  <c r="H523" i="15" s="1"/>
  <c r="C480" i="15"/>
  <c r="C524" i="15"/>
  <c r="H524" i="15" s="1"/>
  <c r="C479" i="15"/>
  <c r="H479" i="15" s="1"/>
  <c r="C525" i="15"/>
  <c r="H525" i="15" s="1"/>
  <c r="C478" i="15"/>
  <c r="C526" i="15"/>
  <c r="C477" i="15"/>
  <c r="C527" i="15"/>
  <c r="H527" i="15" s="1"/>
  <c r="C476" i="15"/>
  <c r="C528" i="15"/>
  <c r="H528" i="15" s="1"/>
  <c r="C475" i="15"/>
  <c r="C529" i="15"/>
  <c r="H529" i="15" s="1"/>
  <c r="C474" i="15"/>
  <c r="C530" i="15"/>
  <c r="H530" i="15" s="1"/>
  <c r="C473" i="15"/>
  <c r="C531" i="15"/>
  <c r="H531" i="15" s="1"/>
  <c r="C472" i="15"/>
  <c r="C532" i="15"/>
  <c r="H532" i="15" s="1"/>
  <c r="C471" i="15"/>
  <c r="C533" i="15"/>
  <c r="H533" i="15" s="1"/>
  <c r="C470" i="15"/>
  <c r="C534" i="15"/>
  <c r="H534" i="15" s="1"/>
  <c r="C469" i="15"/>
  <c r="C535" i="15"/>
  <c r="H535" i="15" s="1"/>
  <c r="C468" i="15"/>
  <c r="C536" i="15"/>
  <c r="H536" i="15" s="1"/>
  <c r="C467" i="15"/>
  <c r="C537" i="15"/>
  <c r="H537" i="15" s="1"/>
  <c r="C466" i="15"/>
  <c r="C538" i="15"/>
  <c r="H538" i="15" s="1"/>
  <c r="C465" i="15"/>
  <c r="C539" i="15"/>
  <c r="H539" i="15" s="1"/>
  <c r="C464" i="15"/>
  <c r="C540" i="15"/>
  <c r="H540" i="15" s="1"/>
  <c r="C463" i="15"/>
  <c r="C541" i="15"/>
  <c r="H541" i="15" s="1"/>
  <c r="C462" i="15"/>
  <c r="C542" i="15"/>
  <c r="H542" i="15" s="1"/>
  <c r="C461" i="15"/>
  <c r="C543" i="15"/>
  <c r="H543" i="15" s="1"/>
  <c r="C460" i="15"/>
  <c r="C546" i="15"/>
  <c r="H546" i="15" s="1"/>
  <c r="C459" i="15"/>
  <c r="C550" i="15"/>
  <c r="H550" i="15" s="1"/>
  <c r="C458" i="15"/>
  <c r="C551" i="15"/>
  <c r="C457" i="15"/>
  <c r="C552" i="15"/>
  <c r="C456" i="15"/>
  <c r="C553" i="15"/>
  <c r="H553" i="15" s="1"/>
  <c r="C455" i="15"/>
  <c r="C554" i="15"/>
  <c r="H554" i="15" s="1"/>
  <c r="C454" i="15"/>
  <c r="C219" i="15"/>
  <c r="C555" i="15"/>
  <c r="H555" i="15" s="1"/>
  <c r="C220" i="15"/>
  <c r="H220" i="15" s="1"/>
  <c r="C453" i="15"/>
  <c r="C221" i="15"/>
  <c r="H221" i="15" s="1"/>
  <c r="C556" i="15"/>
  <c r="H556" i="15" s="1"/>
  <c r="C222" i="15"/>
  <c r="H222" i="15" s="1"/>
  <c r="C452" i="15"/>
  <c r="C223" i="15"/>
  <c r="H223" i="15" s="1"/>
  <c r="C557" i="15"/>
  <c r="H557" i="15" s="1"/>
  <c r="C224" i="15"/>
  <c r="H224" i="15" s="1"/>
  <c r="C451" i="15"/>
  <c r="C225" i="15"/>
  <c r="H225" i="15" s="1"/>
  <c r="C558" i="15"/>
  <c r="H558" i="15" s="1"/>
  <c r="C226" i="15"/>
  <c r="H226" i="15" s="1"/>
  <c r="C450" i="15"/>
  <c r="C227" i="15"/>
  <c r="H227" i="15" s="1"/>
  <c r="C559" i="15"/>
  <c r="H559" i="15" s="1"/>
  <c r="C228" i="15"/>
  <c r="H228" i="15" s="1"/>
  <c r="C449" i="15"/>
  <c r="C229" i="15"/>
  <c r="H229" i="15" s="1"/>
  <c r="C565" i="15"/>
  <c r="H565" i="15" s="1"/>
  <c r="C230" i="15"/>
  <c r="H230" i="15" s="1"/>
  <c r="C448" i="15"/>
  <c r="C231" i="15"/>
  <c r="H231" i="15" s="1"/>
  <c r="C566" i="15"/>
  <c r="H566" i="15" s="1"/>
  <c r="C232" i="15"/>
  <c r="H232" i="15" s="1"/>
  <c r="C447" i="15"/>
  <c r="C233" i="15"/>
  <c r="H233" i="15" s="1"/>
  <c r="C568" i="15"/>
  <c r="C234" i="15"/>
  <c r="H234" i="15" s="1"/>
  <c r="C446" i="15"/>
  <c r="C235" i="15"/>
  <c r="H235" i="15" s="1"/>
  <c r="C569" i="15"/>
  <c r="H569" i="15" s="1"/>
  <c r="C236" i="15"/>
  <c r="H236" i="15" s="1"/>
  <c r="C445" i="15"/>
  <c r="C237" i="15"/>
  <c r="H237" i="15" s="1"/>
  <c r="C571" i="15"/>
  <c r="H571" i="15" s="1"/>
  <c r="C238" i="15"/>
  <c r="H238" i="15" s="1"/>
  <c r="C444" i="15"/>
  <c r="C239" i="15"/>
  <c r="H239" i="15" s="1"/>
  <c r="C573" i="15"/>
  <c r="C240" i="15"/>
  <c r="H240" i="15" s="1"/>
  <c r="C443" i="15"/>
  <c r="C241" i="15"/>
  <c r="H241" i="15" s="1"/>
  <c r="C576" i="15"/>
  <c r="C242" i="15"/>
  <c r="H242" i="15" s="1"/>
  <c r="C442" i="15"/>
  <c r="H442" i="15" s="1"/>
  <c r="C243" i="15"/>
  <c r="H243" i="15" s="1"/>
  <c r="C578" i="15"/>
  <c r="H578" i="15" s="1"/>
  <c r="C244" i="15"/>
  <c r="H244" i="15" s="1"/>
  <c r="C583" i="15"/>
  <c r="H583" i="15" s="1"/>
  <c r="C245" i="15"/>
  <c r="H245" i="15" s="1"/>
  <c r="C587" i="15"/>
  <c r="H587" i="15" s="1"/>
  <c r="C246" i="15"/>
  <c r="H246" i="15" s="1"/>
  <c r="C615" i="15"/>
  <c r="H615" i="15" s="1"/>
  <c r="C247" i="15"/>
  <c r="H247" i="15" s="1"/>
  <c r="C588" i="15"/>
  <c r="H588" i="15" s="1"/>
  <c r="C248" i="15"/>
  <c r="H248" i="15" s="1"/>
  <c r="C589" i="15"/>
  <c r="H589" i="15" s="1"/>
  <c r="C249" i="15"/>
  <c r="H249" i="15" s="1"/>
  <c r="C612" i="15"/>
  <c r="H612" i="15" s="1"/>
  <c r="C250" i="15"/>
  <c r="H250" i="15" s="1"/>
  <c r="C591" i="15"/>
  <c r="H591" i="15" s="1"/>
  <c r="C251" i="15"/>
  <c r="H251" i="15" s="1"/>
  <c r="C610" i="15"/>
  <c r="C252" i="15"/>
  <c r="H252" i="15" s="1"/>
  <c r="C592" i="15"/>
  <c r="H592" i="15" s="1"/>
  <c r="C253" i="15"/>
  <c r="H253" i="15" s="1"/>
  <c r="C595" i="15"/>
  <c r="H595" i="15" s="1"/>
  <c r="C254" i="15"/>
  <c r="H254" i="15" s="1"/>
  <c r="C600" i="15"/>
  <c r="C255" i="15"/>
  <c r="H255" i="15" s="1"/>
  <c r="C605" i="15"/>
  <c r="C256" i="15"/>
  <c r="H256" i="15" s="1"/>
  <c r="C601" i="15"/>
  <c r="C257" i="15"/>
  <c r="H257" i="15" s="1"/>
  <c r="C603" i="15"/>
  <c r="C258" i="15"/>
  <c r="H258" i="15" s="1"/>
  <c r="C602" i="15"/>
  <c r="C259" i="15"/>
  <c r="H259" i="15" s="1"/>
  <c r="C604" i="15"/>
  <c r="H604" i="15" s="1"/>
  <c r="C260" i="15"/>
  <c r="H260" i="15" s="1"/>
  <c r="C606" i="15"/>
  <c r="H606" i="15" s="1"/>
  <c r="C261" i="15"/>
  <c r="H261" i="15" s="1"/>
  <c r="C599" i="15"/>
  <c r="C262" i="15"/>
  <c r="H262" i="15" s="1"/>
  <c r="C598" i="15"/>
  <c r="C263" i="15"/>
  <c r="H263" i="15" s="1"/>
  <c r="C607" i="15"/>
  <c r="C264" i="15"/>
  <c r="H264" i="15" s="1"/>
  <c r="C597" i="15"/>
  <c r="C265" i="15"/>
  <c r="H265" i="15" s="1"/>
  <c r="C596" i="15"/>
  <c r="H596" i="15" s="1"/>
  <c r="C266" i="15"/>
  <c r="H266" i="15" s="1"/>
  <c r="C608" i="15"/>
  <c r="C267" i="15"/>
  <c r="H267" i="15" s="1"/>
  <c r="C609" i="15"/>
  <c r="C268" i="15"/>
  <c r="H268" i="15" s="1"/>
  <c r="C594" i="15"/>
  <c r="C269" i="15"/>
  <c r="C593" i="15"/>
  <c r="C270" i="15"/>
  <c r="H270" i="15" s="1"/>
  <c r="C611" i="15"/>
  <c r="C271" i="15"/>
  <c r="H271" i="15" s="1"/>
  <c r="C613" i="15"/>
  <c r="C272" i="15"/>
  <c r="H272" i="15" s="1"/>
  <c r="C590" i="15"/>
  <c r="C273" i="15"/>
  <c r="H273" i="15" s="1"/>
  <c r="C614" i="15"/>
  <c r="H614" i="15" s="1"/>
  <c r="C274" i="15"/>
  <c r="H274" i="15" s="1"/>
  <c r="C378" i="15"/>
  <c r="C380" i="15"/>
  <c r="C617" i="15"/>
  <c r="C276" i="15"/>
  <c r="C586" i="15"/>
  <c r="C277" i="15"/>
  <c r="H277" i="15" s="1"/>
  <c r="C618" i="15"/>
  <c r="C278" i="15"/>
  <c r="H278" i="15" s="1"/>
  <c r="C585" i="15"/>
  <c r="C279" i="15"/>
  <c r="H279" i="15" s="1"/>
  <c r="C584" i="15"/>
  <c r="C280" i="15"/>
  <c r="H280" i="15" s="1"/>
  <c r="C582" i="15"/>
  <c r="C281" i="15"/>
  <c r="H281" i="15" s="1"/>
  <c r="C619" i="15"/>
  <c r="C282" i="15"/>
  <c r="H282" i="15" s="1"/>
  <c r="C581" i="15"/>
  <c r="C283" i="15"/>
  <c r="H283" i="15" s="1"/>
  <c r="C580" i="15"/>
  <c r="C284" i="15"/>
  <c r="H284" i="15" s="1"/>
  <c r="C579" i="15"/>
  <c r="C285" i="15"/>
  <c r="H285" i="15" s="1"/>
  <c r="C577" i="15"/>
  <c r="C286" i="15"/>
  <c r="H286" i="15" s="1"/>
  <c r="C575" i="15"/>
  <c r="C287" i="15"/>
  <c r="H287" i="15" s="1"/>
  <c r="C503" i="15"/>
  <c r="C502" i="15"/>
  <c r="C500" i="15"/>
  <c r="C289" i="15"/>
  <c r="C574" i="15"/>
  <c r="C290" i="15"/>
  <c r="H290" i="15" s="1"/>
  <c r="C572" i="15"/>
  <c r="C291" i="15"/>
  <c r="H291" i="15" s="1"/>
  <c r="C570" i="15"/>
  <c r="C292" i="15"/>
  <c r="H292" i="15" s="1"/>
  <c r="C567" i="15"/>
  <c r="C293" i="15"/>
  <c r="H293" i="15" s="1"/>
  <c r="C564" i="15"/>
  <c r="C294" i="15"/>
  <c r="H294" i="15" s="1"/>
  <c r="C563" i="15"/>
  <c r="C295" i="15"/>
  <c r="H295" i="15" s="1"/>
  <c r="C562" i="15"/>
  <c r="C296" i="15"/>
  <c r="H296" i="15" s="1"/>
  <c r="C561" i="15"/>
  <c r="C297" i="15"/>
  <c r="H297" i="15" s="1"/>
  <c r="C560" i="15"/>
  <c r="C298" i="15"/>
  <c r="H298" i="15" s="1"/>
  <c r="C549" i="15"/>
  <c r="C299" i="15"/>
  <c r="H299" i="15" s="1"/>
  <c r="C548" i="15"/>
  <c r="C300" i="15"/>
  <c r="H300" i="15" s="1"/>
  <c r="C547" i="15"/>
  <c r="C301" i="15"/>
  <c r="H301" i="15" s="1"/>
  <c r="C545" i="15"/>
  <c r="C302" i="15"/>
  <c r="H302" i="15" s="1"/>
  <c r="C544" i="15"/>
  <c r="C303" i="15"/>
  <c r="H303" i="15" s="1"/>
  <c r="C441" i="15"/>
  <c r="C304" i="15"/>
  <c r="H304" i="15" s="1"/>
  <c r="C440" i="15"/>
  <c r="C305" i="15"/>
  <c r="H305" i="15" s="1"/>
  <c r="C439" i="15"/>
  <c r="C306" i="15"/>
  <c r="H306" i="15" s="1"/>
  <c r="C438" i="15"/>
  <c r="C307" i="15"/>
  <c r="H307" i="15" s="1"/>
  <c r="C379" i="15"/>
  <c r="H379" i="15" s="1"/>
  <c r="C377" i="15"/>
  <c r="C376" i="15"/>
  <c r="C309" i="15"/>
  <c r="C308" i="15"/>
  <c r="H308" i="15" s="1"/>
  <c r="C310" i="15"/>
  <c r="H310" i="15" s="1"/>
  <c r="C381" i="15"/>
  <c r="H381" i="15" s="1"/>
  <c r="C311" i="15"/>
  <c r="H311" i="15" s="1"/>
  <c r="C375" i="15"/>
  <c r="C312" i="15"/>
  <c r="H312" i="15" s="1"/>
  <c r="C382" i="15"/>
  <c r="H382" i="15" s="1"/>
  <c r="C313" i="15"/>
  <c r="H313" i="15" s="1"/>
  <c r="C374" i="15"/>
  <c r="C314" i="15"/>
  <c r="H314" i="15" s="1"/>
  <c r="C383" i="15"/>
  <c r="H383" i="15" s="1"/>
  <c r="C315" i="15"/>
  <c r="H315" i="15" s="1"/>
  <c r="C373" i="15"/>
  <c r="C316" i="15"/>
  <c r="H316" i="15" s="1"/>
  <c r="C384" i="15"/>
  <c r="H384" i="15" s="1"/>
  <c r="C317" i="15"/>
  <c r="H317" i="15" s="1"/>
  <c r="C372" i="15"/>
  <c r="C318" i="15"/>
  <c r="H318" i="15" s="1"/>
  <c r="C385" i="15"/>
  <c r="H385" i="15" s="1"/>
  <c r="C319" i="15"/>
  <c r="H319" i="15" s="1"/>
  <c r="C437" i="15"/>
  <c r="C320" i="15"/>
  <c r="H320" i="15" s="1"/>
  <c r="C436" i="15"/>
  <c r="C321" i="15"/>
  <c r="H321" i="15" s="1"/>
  <c r="C435" i="15"/>
  <c r="C322" i="15"/>
  <c r="H322" i="15" s="1"/>
  <c r="C434" i="15"/>
  <c r="C323" i="15"/>
  <c r="H323" i="15" s="1"/>
  <c r="C433" i="15"/>
  <c r="C324" i="15"/>
  <c r="H324" i="15" s="1"/>
  <c r="C432" i="15"/>
  <c r="C325" i="15"/>
  <c r="H325" i="15" s="1"/>
  <c r="C431" i="15"/>
  <c r="C326" i="15"/>
  <c r="H326" i="15" s="1"/>
  <c r="C430" i="15"/>
  <c r="C327" i="15"/>
  <c r="H327" i="15" s="1"/>
  <c r="C429" i="15"/>
  <c r="C328" i="15"/>
  <c r="H328" i="15" s="1"/>
  <c r="C428" i="15"/>
  <c r="C329" i="15"/>
  <c r="H329" i="15" s="1"/>
  <c r="C427" i="15"/>
  <c r="C330" i="15"/>
  <c r="H330" i="15" s="1"/>
  <c r="C426" i="15"/>
  <c r="C331" i="15"/>
  <c r="H331" i="15" s="1"/>
  <c r="C425" i="15"/>
  <c r="C332" i="15"/>
  <c r="H332" i="15" s="1"/>
  <c r="C424" i="15"/>
  <c r="C333" i="15"/>
  <c r="H333" i="15" s="1"/>
  <c r="C423" i="15"/>
  <c r="C334" i="15"/>
  <c r="H334" i="15" s="1"/>
  <c r="C422" i="15"/>
  <c r="C335" i="15"/>
  <c r="H335" i="15" s="1"/>
  <c r="C421" i="15"/>
  <c r="C336" i="15"/>
  <c r="H336" i="15" s="1"/>
  <c r="C420" i="15"/>
  <c r="C337" i="15"/>
  <c r="H337" i="15" s="1"/>
  <c r="C419" i="15"/>
  <c r="C338" i="15"/>
  <c r="H338" i="15" s="1"/>
  <c r="C418" i="15"/>
  <c r="C339" i="15"/>
  <c r="H339" i="15" s="1"/>
  <c r="C417" i="15"/>
  <c r="C340" i="15"/>
  <c r="H340" i="15" s="1"/>
  <c r="C416" i="15"/>
  <c r="C341" i="15"/>
  <c r="H341" i="15" s="1"/>
  <c r="C415" i="15"/>
  <c r="C342" i="15"/>
  <c r="H342" i="15" s="1"/>
  <c r="C414" i="15"/>
  <c r="C343" i="15"/>
  <c r="H343" i="15" s="1"/>
  <c r="C413" i="15"/>
  <c r="C344" i="15"/>
  <c r="H344" i="15" s="1"/>
  <c r="C412" i="15"/>
  <c r="C345" i="15"/>
  <c r="H345" i="15" s="1"/>
  <c r="C411" i="15"/>
  <c r="C346" i="15"/>
  <c r="H346" i="15" s="1"/>
  <c r="C410" i="15"/>
  <c r="C347" i="15"/>
  <c r="H347" i="15" s="1"/>
  <c r="C409" i="15"/>
  <c r="C348" i="15"/>
  <c r="H348" i="15" s="1"/>
  <c r="C408" i="15"/>
  <c r="C349" i="15"/>
  <c r="H349" i="15" s="1"/>
  <c r="C407" i="15"/>
  <c r="C350" i="15"/>
  <c r="H350" i="15" s="1"/>
  <c r="C406" i="15"/>
  <c r="C351" i="15"/>
  <c r="H351" i="15" s="1"/>
  <c r="C405" i="15"/>
  <c r="C352" i="15"/>
  <c r="H352" i="15" s="1"/>
  <c r="C404" i="15"/>
  <c r="C353" i="15"/>
  <c r="H353" i="15" s="1"/>
  <c r="C403" i="15"/>
  <c r="C354" i="15"/>
  <c r="H354" i="15" s="1"/>
  <c r="C402" i="15"/>
  <c r="C355" i="15"/>
  <c r="H355" i="15" s="1"/>
  <c r="C401" i="15"/>
  <c r="C356" i="15"/>
  <c r="H356" i="15" s="1"/>
  <c r="C400" i="15"/>
  <c r="C357" i="15"/>
  <c r="H357" i="15" s="1"/>
  <c r="C399" i="15"/>
  <c r="C358" i="15"/>
  <c r="H358" i="15" s="1"/>
  <c r="C398" i="15"/>
  <c r="C359" i="15"/>
  <c r="H359" i="15" s="1"/>
  <c r="C397" i="15"/>
  <c r="C360" i="15"/>
  <c r="H360" i="15" s="1"/>
  <c r="C396" i="15"/>
  <c r="C361" i="15"/>
  <c r="H361" i="15" s="1"/>
  <c r="C395" i="15"/>
  <c r="H395" i="15" s="1"/>
  <c r="C362" i="15"/>
  <c r="H362" i="15" s="1"/>
  <c r="C394" i="15"/>
  <c r="C363" i="15"/>
  <c r="H363" i="15" s="1"/>
  <c r="C393" i="15"/>
  <c r="C364" i="15"/>
  <c r="H364" i="15" s="1"/>
  <c r="C392" i="15"/>
  <c r="C365" i="15"/>
  <c r="H365" i="15" s="1"/>
  <c r="C391" i="15"/>
  <c r="C366" i="15"/>
  <c r="H366" i="15" s="1"/>
  <c r="C390" i="15"/>
  <c r="C501" i="15"/>
  <c r="H501" i="15" s="1"/>
  <c r="C368" i="15"/>
  <c r="H368" i="15" s="1"/>
  <c r="C389" i="15"/>
  <c r="C388" i="15"/>
  <c r="C369" i="15"/>
  <c r="H369" i="15" s="1"/>
  <c r="C387" i="15"/>
  <c r="C370" i="15"/>
  <c r="H370" i="15" s="1"/>
  <c r="C386" i="15"/>
  <c r="H386" i="15" s="1"/>
  <c r="C616" i="15"/>
  <c r="H616" i="15" s="1"/>
  <c r="B8" i="15"/>
  <c r="H99" i="15"/>
  <c r="H98" i="15"/>
  <c r="G101" i="15"/>
  <c r="G106" i="15"/>
  <c r="G107" i="15"/>
  <c r="H108" i="15" s="1"/>
  <c r="D109" i="15"/>
  <c r="G109" i="15"/>
  <c r="G110" i="15"/>
  <c r="H111" i="15" s="1"/>
  <c r="D110" i="15"/>
  <c r="D116" i="15"/>
  <c r="G116" i="15"/>
  <c r="D117" i="15"/>
  <c r="G117" i="15"/>
  <c r="H118" i="15" s="1"/>
  <c r="G118" i="15"/>
  <c r="D118" i="15"/>
  <c r="G119" i="15"/>
  <c r="H120" i="15" s="1"/>
  <c r="D119" i="15"/>
  <c r="D123" i="15"/>
  <c r="G123" i="15"/>
  <c r="D125" i="15"/>
  <c r="G125" i="15"/>
  <c r="G129" i="15"/>
  <c r="D129" i="15"/>
  <c r="D130" i="15"/>
  <c r="G130" i="15"/>
  <c r="G131" i="15"/>
  <c r="D131" i="15"/>
  <c r="G132" i="15"/>
  <c r="D132" i="15"/>
  <c r="G133" i="15"/>
  <c r="H134" i="15" s="1"/>
  <c r="D133" i="15"/>
  <c r="G137" i="15"/>
  <c r="D137" i="15"/>
  <c r="D138" i="15"/>
  <c r="G138" i="15"/>
  <c r="H139" i="15" s="1"/>
  <c r="D140" i="15"/>
  <c r="G140" i="15"/>
  <c r="D141" i="15"/>
  <c r="G141" i="15"/>
  <c r="H142" i="15" s="1"/>
  <c r="D142" i="15"/>
  <c r="G142" i="15"/>
  <c r="H143" i="15" s="1"/>
  <c r="G150" i="15"/>
  <c r="D150" i="15"/>
  <c r="G151" i="15"/>
  <c r="D151" i="15"/>
  <c r="G152" i="15"/>
  <c r="H153" i="15" s="1"/>
  <c r="D152" i="15"/>
  <c r="G154" i="15"/>
  <c r="D154" i="15"/>
  <c r="D156" i="15"/>
  <c r="G156" i="15"/>
  <c r="D157" i="15"/>
  <c r="G157" i="15"/>
  <c r="D158" i="15"/>
  <c r="G158" i="15"/>
  <c r="H159" i="15" s="1"/>
  <c r="D162" i="15"/>
  <c r="G162" i="15"/>
  <c r="G163" i="15"/>
  <c r="H164" i="15" s="1"/>
  <c r="D163" i="15"/>
  <c r="D166" i="15"/>
  <c r="G166" i="15"/>
  <c r="G167" i="15"/>
  <c r="D167" i="15"/>
  <c r="G168" i="15"/>
  <c r="H169" i="15" s="1"/>
  <c r="D168" i="15"/>
  <c r="G170" i="15"/>
  <c r="D170" i="15"/>
  <c r="D171" i="15"/>
  <c r="G171" i="15"/>
  <c r="D172" i="15"/>
  <c r="G172" i="15"/>
  <c r="H173" i="15" s="1"/>
  <c r="D174" i="15"/>
  <c r="G174" i="15"/>
  <c r="G178" i="15"/>
  <c r="D178" i="15"/>
  <c r="D181" i="15"/>
  <c r="G181" i="15"/>
  <c r="G183" i="15"/>
  <c r="D183" i="15"/>
  <c r="D187" i="15"/>
  <c r="G187" i="15"/>
  <c r="G188" i="15"/>
  <c r="D188" i="15"/>
  <c r="D189" i="15"/>
  <c r="G189" i="15"/>
  <c r="D190" i="15"/>
  <c r="G190" i="15"/>
  <c r="H191" i="15" s="1"/>
  <c r="D192" i="15"/>
  <c r="G192" i="15"/>
  <c r="G193" i="15"/>
  <c r="D193" i="15"/>
  <c r="D194" i="15"/>
  <c r="G194" i="15"/>
  <c r="G195" i="15"/>
  <c r="H196" i="15" s="1"/>
  <c r="D195" i="15"/>
  <c r="G198" i="15"/>
  <c r="D198" i="15"/>
  <c r="D199" i="15"/>
  <c r="G199" i="15"/>
  <c r="H200" i="15" s="1"/>
  <c r="D201" i="15"/>
  <c r="G201" i="15"/>
  <c r="D202" i="15"/>
  <c r="G202" i="15"/>
  <c r="D203" i="15"/>
  <c r="G203" i="15"/>
  <c r="D204" i="15"/>
  <c r="G204" i="15"/>
  <c r="D205" i="15"/>
  <c r="G205" i="15"/>
  <c r="D206" i="15"/>
  <c r="G206" i="15"/>
  <c r="D207" i="15"/>
  <c r="G207" i="15"/>
  <c r="D208" i="15"/>
  <c r="G208" i="15"/>
  <c r="H209" i="15" s="1"/>
  <c r="D210" i="15"/>
  <c r="G210" i="15"/>
  <c r="D212" i="15"/>
  <c r="G212" i="15"/>
  <c r="D213" i="15"/>
  <c r="G213" i="15"/>
  <c r="H214" i="15" s="1"/>
  <c r="G214" i="15"/>
  <c r="H215" i="15" s="1"/>
  <c r="D214" i="15"/>
  <c r="D216" i="15"/>
  <c r="G216" i="15"/>
  <c r="G217" i="15"/>
  <c r="D217" i="15"/>
  <c r="G218" i="15"/>
  <c r="D218" i="15"/>
  <c r="G551" i="15"/>
  <c r="D551" i="15"/>
  <c r="G567" i="15"/>
  <c r="D567" i="15"/>
  <c r="G572" i="15"/>
  <c r="D572" i="15"/>
  <c r="D575" i="15"/>
  <c r="G575" i="15"/>
  <c r="G601" i="15"/>
  <c r="D601" i="15"/>
  <c r="G607" i="15"/>
  <c r="D607" i="15"/>
  <c r="G609" i="15"/>
  <c r="D609" i="15"/>
  <c r="D618" i="15"/>
  <c r="G618" i="15"/>
  <c r="C729" i="14"/>
  <c r="H729" i="14" s="1"/>
  <c r="C506" i="14"/>
  <c r="H506" i="14" s="1"/>
  <c r="C94" i="14"/>
  <c r="H94" i="14" s="1"/>
  <c r="C615" i="14"/>
  <c r="H615" i="14" s="1"/>
  <c r="C95" i="14"/>
  <c r="H95" i="14" s="1"/>
  <c r="C1008" i="14"/>
  <c r="H1008" i="14" s="1"/>
  <c r="C96" i="14"/>
  <c r="H96" i="14" s="1"/>
  <c r="C1007" i="14"/>
  <c r="C97" i="14"/>
  <c r="H97" i="14" s="1"/>
  <c r="C1006" i="14"/>
  <c r="C98" i="14"/>
  <c r="H98" i="14" s="1"/>
  <c r="C1005" i="14"/>
  <c r="C99" i="14"/>
  <c r="H99" i="14" s="1"/>
  <c r="C1004" i="14"/>
  <c r="H1004" i="14" s="1"/>
  <c r="C100" i="14"/>
  <c r="C1003" i="14"/>
  <c r="C101" i="14"/>
  <c r="H101" i="14" s="1"/>
  <c r="C1002" i="14"/>
  <c r="C102" i="14"/>
  <c r="H102" i="14" s="1"/>
  <c r="C1001" i="14"/>
  <c r="C103" i="14"/>
  <c r="H103" i="14" s="1"/>
  <c r="C1000" i="14"/>
  <c r="C104" i="14"/>
  <c r="H104" i="14" s="1"/>
  <c r="C999" i="14"/>
  <c r="C105" i="14"/>
  <c r="H105" i="14" s="1"/>
  <c r="C998" i="14"/>
  <c r="C106" i="14"/>
  <c r="H106" i="14" s="1"/>
  <c r="C997" i="14"/>
  <c r="C107" i="14"/>
  <c r="H107" i="14" s="1"/>
  <c r="C996" i="14"/>
  <c r="C108" i="14"/>
  <c r="H108" i="14" s="1"/>
  <c r="C995" i="14"/>
  <c r="C109" i="14"/>
  <c r="H109" i="14" s="1"/>
  <c r="C994" i="14"/>
  <c r="C110" i="14"/>
  <c r="H110" i="14" s="1"/>
  <c r="C993" i="14"/>
  <c r="C111" i="14"/>
  <c r="H111" i="14" s="1"/>
  <c r="C992" i="14"/>
  <c r="C112" i="14"/>
  <c r="H112" i="14" s="1"/>
  <c r="C991" i="14"/>
  <c r="C113" i="14"/>
  <c r="H113" i="14" s="1"/>
  <c r="C990" i="14"/>
  <c r="C114" i="14"/>
  <c r="H114" i="14" s="1"/>
  <c r="C989" i="14"/>
  <c r="C115" i="14"/>
  <c r="H115" i="14" s="1"/>
  <c r="C988" i="14"/>
  <c r="C116" i="14"/>
  <c r="H116" i="14" s="1"/>
  <c r="C987" i="14"/>
  <c r="C117" i="14"/>
  <c r="H117" i="14" s="1"/>
  <c r="C986" i="14"/>
  <c r="C118" i="14"/>
  <c r="H118" i="14" s="1"/>
  <c r="C985" i="14"/>
  <c r="C119" i="14"/>
  <c r="H119" i="14" s="1"/>
  <c r="C984" i="14"/>
  <c r="C120" i="14"/>
  <c r="H120" i="14" s="1"/>
  <c r="C983" i="14"/>
  <c r="C121" i="14"/>
  <c r="H121" i="14" s="1"/>
  <c r="C982" i="14"/>
  <c r="C122" i="14"/>
  <c r="H122" i="14" s="1"/>
  <c r="C981" i="14"/>
  <c r="C123" i="14"/>
  <c r="H123" i="14" s="1"/>
  <c r="C980" i="14"/>
  <c r="C124" i="14"/>
  <c r="H124" i="14" s="1"/>
  <c r="C979" i="14"/>
  <c r="C125" i="14"/>
  <c r="H125" i="14" s="1"/>
  <c r="C978" i="14"/>
  <c r="C126" i="14"/>
  <c r="H126" i="14" s="1"/>
  <c r="C977" i="14"/>
  <c r="C127" i="14"/>
  <c r="H127" i="14" s="1"/>
  <c r="C976" i="14"/>
  <c r="C128" i="14"/>
  <c r="H128" i="14" s="1"/>
  <c r="C975" i="14"/>
  <c r="C129" i="14"/>
  <c r="H129" i="14" s="1"/>
  <c r="C974" i="14"/>
  <c r="C130" i="14"/>
  <c r="H130" i="14" s="1"/>
  <c r="C973" i="14"/>
  <c r="C131" i="14"/>
  <c r="H131" i="14" s="1"/>
  <c r="C972" i="14"/>
  <c r="C132" i="14"/>
  <c r="H132" i="14" s="1"/>
  <c r="C971" i="14"/>
  <c r="C133" i="14"/>
  <c r="H133" i="14" s="1"/>
  <c r="C970" i="14"/>
  <c r="C134" i="14"/>
  <c r="H134" i="14" s="1"/>
  <c r="C969" i="14"/>
  <c r="C135" i="14"/>
  <c r="H135" i="14" s="1"/>
  <c r="C968" i="14"/>
  <c r="C136" i="14"/>
  <c r="H136" i="14" s="1"/>
  <c r="C967" i="14"/>
  <c r="C137" i="14"/>
  <c r="H137" i="14" s="1"/>
  <c r="C966" i="14"/>
  <c r="C138" i="14"/>
  <c r="H138" i="14" s="1"/>
  <c r="C965" i="14"/>
  <c r="C139" i="14"/>
  <c r="H139" i="14" s="1"/>
  <c r="C964" i="14"/>
  <c r="C140" i="14"/>
  <c r="H140" i="14" s="1"/>
  <c r="C963" i="14"/>
  <c r="C141" i="14"/>
  <c r="H141" i="14" s="1"/>
  <c r="C962" i="14"/>
  <c r="C142" i="14"/>
  <c r="H142" i="14" s="1"/>
  <c r="C961" i="14"/>
  <c r="C143" i="14"/>
  <c r="H143" i="14" s="1"/>
  <c r="C960" i="14"/>
  <c r="C144" i="14"/>
  <c r="H144" i="14" s="1"/>
  <c r="C959" i="14"/>
  <c r="C145" i="14"/>
  <c r="H145" i="14" s="1"/>
  <c r="C958" i="14"/>
  <c r="H958" i="14" s="1"/>
  <c r="C146" i="14"/>
  <c r="H146" i="14" s="1"/>
  <c r="C957" i="14"/>
  <c r="C147" i="14"/>
  <c r="H147" i="14" s="1"/>
  <c r="C956" i="14"/>
  <c r="C148" i="14"/>
  <c r="H148" i="14" s="1"/>
  <c r="C955" i="14"/>
  <c r="C149" i="14"/>
  <c r="H149" i="14" s="1"/>
  <c r="C954" i="14"/>
  <c r="C150" i="14"/>
  <c r="H150" i="14" s="1"/>
  <c r="C953" i="14"/>
  <c r="H953" i="14" s="1"/>
  <c r="C151" i="14"/>
  <c r="H151" i="14" s="1"/>
  <c r="C952" i="14"/>
  <c r="C152" i="14"/>
  <c r="H152" i="14" s="1"/>
  <c r="C951" i="14"/>
  <c r="H951" i="14" s="1"/>
  <c r="C153" i="14"/>
  <c r="H153" i="14" s="1"/>
  <c r="C950" i="14"/>
  <c r="C154" i="14"/>
  <c r="H154" i="14" s="1"/>
  <c r="C949" i="14"/>
  <c r="H949" i="14" s="1"/>
  <c r="C155" i="14"/>
  <c r="H155" i="14" s="1"/>
  <c r="C948" i="14"/>
  <c r="C156" i="14"/>
  <c r="H156" i="14" s="1"/>
  <c r="C947" i="14"/>
  <c r="C157" i="14"/>
  <c r="H157" i="14" s="1"/>
  <c r="C946" i="14"/>
  <c r="H946" i="14" s="1"/>
  <c r="C158" i="14"/>
  <c r="H158" i="14" s="1"/>
  <c r="C945" i="14"/>
  <c r="C159" i="14"/>
  <c r="H159" i="14" s="1"/>
  <c r="C944" i="14"/>
  <c r="C160" i="14"/>
  <c r="H160" i="14" s="1"/>
  <c r="C943" i="14"/>
  <c r="H943" i="14" s="1"/>
  <c r="C161" i="14"/>
  <c r="H161" i="14" s="1"/>
  <c r="C942" i="14"/>
  <c r="C162" i="14"/>
  <c r="H162" i="14" s="1"/>
  <c r="C941" i="14"/>
  <c r="C163" i="14"/>
  <c r="H163" i="14" s="1"/>
  <c r="C940" i="14"/>
  <c r="H940" i="14" s="1"/>
  <c r="C164" i="14"/>
  <c r="H164" i="14" s="1"/>
  <c r="C939" i="14"/>
  <c r="C165" i="14"/>
  <c r="H165" i="14" s="1"/>
  <c r="C938" i="14"/>
  <c r="C166" i="14"/>
  <c r="H166" i="14" s="1"/>
  <c r="C937" i="14"/>
  <c r="C167" i="14"/>
  <c r="H167" i="14" s="1"/>
  <c r="C936" i="14"/>
  <c r="C168" i="14"/>
  <c r="H168" i="14" s="1"/>
  <c r="C935" i="14"/>
  <c r="C169" i="14"/>
  <c r="H169" i="14" s="1"/>
  <c r="C934" i="14"/>
  <c r="C170" i="14"/>
  <c r="H170" i="14" s="1"/>
  <c r="C933" i="14"/>
  <c r="C171" i="14"/>
  <c r="H171" i="14" s="1"/>
  <c r="C932" i="14"/>
  <c r="H932" i="14" s="1"/>
  <c r="C172" i="14"/>
  <c r="H172" i="14" s="1"/>
  <c r="C931" i="14"/>
  <c r="H931" i="14" s="1"/>
  <c r="C173" i="14"/>
  <c r="H173" i="14" s="1"/>
  <c r="C930" i="14"/>
  <c r="C174" i="14"/>
  <c r="C929" i="14"/>
  <c r="C175" i="14"/>
  <c r="H175" i="14" s="1"/>
  <c r="C928" i="14"/>
  <c r="C176" i="14"/>
  <c r="H176" i="14" s="1"/>
  <c r="C927" i="14"/>
  <c r="C177" i="14"/>
  <c r="H177" i="14" s="1"/>
  <c r="C926" i="14"/>
  <c r="C178" i="14"/>
  <c r="H178" i="14" s="1"/>
  <c r="C925" i="14"/>
  <c r="C179" i="14"/>
  <c r="H179" i="14" s="1"/>
  <c r="C924" i="14"/>
  <c r="C180" i="14"/>
  <c r="H180" i="14" s="1"/>
  <c r="C923" i="14"/>
  <c r="C181" i="14"/>
  <c r="H181" i="14" s="1"/>
  <c r="C922" i="14"/>
  <c r="C182" i="14"/>
  <c r="H182" i="14" s="1"/>
  <c r="C921" i="14"/>
  <c r="C183" i="14"/>
  <c r="H183" i="14" s="1"/>
  <c r="C920" i="14"/>
  <c r="C184" i="14"/>
  <c r="H184" i="14" s="1"/>
  <c r="C919" i="14"/>
  <c r="C185" i="14"/>
  <c r="H185" i="14" s="1"/>
  <c r="C918" i="14"/>
  <c r="C186" i="14"/>
  <c r="H186" i="14" s="1"/>
  <c r="C917" i="14"/>
  <c r="C93" i="14"/>
  <c r="C916" i="14"/>
  <c r="C92" i="14"/>
  <c r="H92" i="14" s="1"/>
  <c r="C915" i="14"/>
  <c r="C189" i="14"/>
  <c r="C914" i="14"/>
  <c r="C190" i="14"/>
  <c r="H190" i="14" s="1"/>
  <c r="C913" i="14"/>
  <c r="C191" i="14"/>
  <c r="H191" i="14" s="1"/>
  <c r="C912" i="14"/>
  <c r="C192" i="14"/>
  <c r="H192" i="14" s="1"/>
  <c r="C911" i="14"/>
  <c r="C193" i="14"/>
  <c r="H193" i="14" s="1"/>
  <c r="C910" i="14"/>
  <c r="C194" i="14"/>
  <c r="H194" i="14" s="1"/>
  <c r="C909" i="14"/>
  <c r="C195" i="14"/>
  <c r="H195" i="14" s="1"/>
  <c r="C908" i="14"/>
  <c r="C196" i="14"/>
  <c r="H196" i="14" s="1"/>
  <c r="C907" i="14"/>
  <c r="C197" i="14"/>
  <c r="H197" i="14" s="1"/>
  <c r="C906" i="14"/>
  <c r="C198" i="14"/>
  <c r="H198" i="14" s="1"/>
  <c r="C905" i="14"/>
  <c r="C199" i="14"/>
  <c r="H199" i="14" s="1"/>
  <c r="C904" i="14"/>
  <c r="C200" i="14"/>
  <c r="H200" i="14" s="1"/>
  <c r="C903" i="14"/>
  <c r="C201" i="14"/>
  <c r="H201" i="14" s="1"/>
  <c r="C902" i="14"/>
  <c r="C202" i="14"/>
  <c r="H202" i="14" s="1"/>
  <c r="C901" i="14"/>
  <c r="C203" i="14"/>
  <c r="H203" i="14" s="1"/>
  <c r="C900" i="14"/>
  <c r="C204" i="14"/>
  <c r="H204" i="14" s="1"/>
  <c r="C899" i="14"/>
  <c r="C205" i="14"/>
  <c r="H205" i="14" s="1"/>
  <c r="C898" i="14"/>
  <c r="C206" i="14"/>
  <c r="H206" i="14" s="1"/>
  <c r="C897" i="14"/>
  <c r="C207" i="14"/>
  <c r="H207" i="14" s="1"/>
  <c r="C896" i="14"/>
  <c r="C208" i="14"/>
  <c r="H208" i="14" s="1"/>
  <c r="C895" i="14"/>
  <c r="C209" i="14"/>
  <c r="H209" i="14" s="1"/>
  <c r="C894" i="14"/>
  <c r="C210" i="14"/>
  <c r="H210" i="14" s="1"/>
  <c r="C893" i="14"/>
  <c r="C211" i="14"/>
  <c r="H211" i="14" s="1"/>
  <c r="C892" i="14"/>
  <c r="C212" i="14"/>
  <c r="H212" i="14" s="1"/>
  <c r="C891" i="14"/>
  <c r="C213" i="14"/>
  <c r="H213" i="14" s="1"/>
  <c r="C890" i="14"/>
  <c r="C214" i="14"/>
  <c r="H214" i="14" s="1"/>
  <c r="C889" i="14"/>
  <c r="C215" i="14"/>
  <c r="H215" i="14" s="1"/>
  <c r="C888" i="14"/>
  <c r="C216" i="14"/>
  <c r="H216" i="14" s="1"/>
  <c r="C887" i="14"/>
  <c r="C217" i="14"/>
  <c r="H217" i="14" s="1"/>
  <c r="C886" i="14"/>
  <c r="C218" i="14"/>
  <c r="H218" i="14" s="1"/>
  <c r="C885" i="14"/>
  <c r="C219" i="14"/>
  <c r="H219" i="14" s="1"/>
  <c r="C884" i="14"/>
  <c r="C220" i="14"/>
  <c r="H220" i="14" s="1"/>
  <c r="C883" i="14"/>
  <c r="C221" i="14"/>
  <c r="H221" i="14" s="1"/>
  <c r="C882" i="14"/>
  <c r="C222" i="14"/>
  <c r="H222" i="14" s="1"/>
  <c r="C881" i="14"/>
  <c r="C223" i="14"/>
  <c r="H223" i="14" s="1"/>
  <c r="C880" i="14"/>
  <c r="C224" i="14"/>
  <c r="H224" i="14" s="1"/>
  <c r="C879" i="14"/>
  <c r="C225" i="14"/>
  <c r="H225" i="14" s="1"/>
  <c r="C878" i="14"/>
  <c r="C226" i="14"/>
  <c r="H226" i="14" s="1"/>
  <c r="C877" i="14"/>
  <c r="C227" i="14"/>
  <c r="H227" i="14" s="1"/>
  <c r="C876" i="14"/>
  <c r="C228" i="14"/>
  <c r="H228" i="14" s="1"/>
  <c r="C875" i="14"/>
  <c r="C229" i="14"/>
  <c r="H229" i="14" s="1"/>
  <c r="C874" i="14"/>
  <c r="C230" i="14"/>
  <c r="H230" i="14" s="1"/>
  <c r="C873" i="14"/>
  <c r="C231" i="14"/>
  <c r="H231" i="14" s="1"/>
  <c r="C872" i="14"/>
  <c r="C232" i="14"/>
  <c r="H232" i="14" s="1"/>
  <c r="C871" i="14"/>
  <c r="C233" i="14"/>
  <c r="H233" i="14" s="1"/>
  <c r="C870" i="14"/>
  <c r="C234" i="14"/>
  <c r="H234" i="14" s="1"/>
  <c r="C869" i="14"/>
  <c r="C235" i="14"/>
  <c r="H235" i="14" s="1"/>
  <c r="C868" i="14"/>
  <c r="C236" i="14"/>
  <c r="H236" i="14" s="1"/>
  <c r="C867" i="14"/>
  <c r="C237" i="14"/>
  <c r="H237" i="14" s="1"/>
  <c r="C866" i="14"/>
  <c r="C238" i="14"/>
  <c r="H238" i="14" s="1"/>
  <c r="C865" i="14"/>
  <c r="C239" i="14"/>
  <c r="H239" i="14" s="1"/>
  <c r="C864" i="14"/>
  <c r="C240" i="14"/>
  <c r="H240" i="14" s="1"/>
  <c r="C863" i="14"/>
  <c r="C241" i="14"/>
  <c r="H241" i="14" s="1"/>
  <c r="C862" i="14"/>
  <c r="C242" i="14"/>
  <c r="H242" i="14" s="1"/>
  <c r="C861" i="14"/>
  <c r="C243" i="14"/>
  <c r="H243" i="14" s="1"/>
  <c r="C860" i="14"/>
  <c r="C244" i="14"/>
  <c r="H244" i="14" s="1"/>
  <c r="C859" i="14"/>
  <c r="C245" i="14"/>
  <c r="H245" i="14" s="1"/>
  <c r="C858" i="14"/>
  <c r="C246" i="14"/>
  <c r="H246" i="14" s="1"/>
  <c r="C857" i="14"/>
  <c r="H857" i="14" s="1"/>
  <c r="C247" i="14"/>
  <c r="H247" i="14" s="1"/>
  <c r="C856" i="14"/>
  <c r="C248" i="14"/>
  <c r="C855" i="14"/>
  <c r="C249" i="14"/>
  <c r="H249" i="14" s="1"/>
  <c r="C854" i="14"/>
  <c r="C250" i="14"/>
  <c r="H250" i="14" s="1"/>
  <c r="C853" i="14"/>
  <c r="C251" i="14"/>
  <c r="H251" i="14" s="1"/>
  <c r="C852" i="14"/>
  <c r="C252" i="14"/>
  <c r="H252" i="14" s="1"/>
  <c r="C851" i="14"/>
  <c r="C253" i="14"/>
  <c r="H253" i="14" s="1"/>
  <c r="C850" i="14"/>
  <c r="C254" i="14"/>
  <c r="H254" i="14" s="1"/>
  <c r="C849" i="14"/>
  <c r="C255" i="14"/>
  <c r="H255" i="14" s="1"/>
  <c r="C848" i="14"/>
  <c r="C256" i="14"/>
  <c r="H256" i="14" s="1"/>
  <c r="C847" i="14"/>
  <c r="C257" i="14"/>
  <c r="H257" i="14" s="1"/>
  <c r="C846" i="14"/>
  <c r="C258" i="14"/>
  <c r="H258" i="14" s="1"/>
  <c r="C845" i="14"/>
  <c r="C259" i="14"/>
  <c r="H259" i="14" s="1"/>
  <c r="C844" i="14"/>
  <c r="C260" i="14"/>
  <c r="H260" i="14" s="1"/>
  <c r="C843" i="14"/>
  <c r="C261" i="14"/>
  <c r="H261" i="14" s="1"/>
  <c r="C842" i="14"/>
  <c r="C262" i="14"/>
  <c r="H262" i="14" s="1"/>
  <c r="C841" i="14"/>
  <c r="C263" i="14"/>
  <c r="H263" i="14" s="1"/>
  <c r="C840" i="14"/>
  <c r="C264" i="14"/>
  <c r="H264" i="14" s="1"/>
  <c r="C839" i="14"/>
  <c r="C265" i="14"/>
  <c r="H265" i="14" s="1"/>
  <c r="C838" i="14"/>
  <c r="C266" i="14"/>
  <c r="H266" i="14" s="1"/>
  <c r="C837" i="14"/>
  <c r="C267" i="14"/>
  <c r="H267" i="14" s="1"/>
  <c r="C836" i="14"/>
  <c r="C268" i="14"/>
  <c r="H268" i="14" s="1"/>
  <c r="C835" i="14"/>
  <c r="C269" i="14"/>
  <c r="H269" i="14" s="1"/>
  <c r="C834" i="14"/>
  <c r="C270" i="14"/>
  <c r="H270" i="14" s="1"/>
  <c r="C833" i="14"/>
  <c r="C271" i="14"/>
  <c r="H271" i="14" s="1"/>
  <c r="C832" i="14"/>
  <c r="C272" i="14"/>
  <c r="H272" i="14" s="1"/>
  <c r="C831" i="14"/>
  <c r="C273" i="14"/>
  <c r="H273" i="14" s="1"/>
  <c r="C830" i="14"/>
  <c r="C274" i="14"/>
  <c r="H274" i="14" s="1"/>
  <c r="C829" i="14"/>
  <c r="C275" i="14"/>
  <c r="H275" i="14" s="1"/>
  <c r="C828" i="14"/>
  <c r="C276" i="14"/>
  <c r="H276" i="14" s="1"/>
  <c r="C827" i="14"/>
  <c r="C277" i="14"/>
  <c r="H277" i="14" s="1"/>
  <c r="C826" i="14"/>
  <c r="C278" i="14"/>
  <c r="H278" i="14" s="1"/>
  <c r="C825" i="14"/>
  <c r="C279" i="14"/>
  <c r="H279" i="14" s="1"/>
  <c r="C824" i="14"/>
  <c r="C280" i="14"/>
  <c r="H280" i="14" s="1"/>
  <c r="C823" i="14"/>
  <c r="C281" i="14"/>
  <c r="H281" i="14" s="1"/>
  <c r="C822" i="14"/>
  <c r="C282" i="14"/>
  <c r="H282" i="14" s="1"/>
  <c r="C821" i="14"/>
  <c r="C283" i="14"/>
  <c r="H283" i="14" s="1"/>
  <c r="C820" i="14"/>
  <c r="C284" i="14"/>
  <c r="H284" i="14" s="1"/>
  <c r="C819" i="14"/>
  <c r="C285" i="14"/>
  <c r="H285" i="14" s="1"/>
  <c r="C818" i="14"/>
  <c r="C817" i="14"/>
  <c r="C700" i="14"/>
  <c r="C816" i="14"/>
  <c r="C703" i="14"/>
  <c r="C704" i="14"/>
  <c r="H704" i="14" s="1"/>
  <c r="C705" i="14"/>
  <c r="H705" i="14" s="1"/>
  <c r="C706" i="14"/>
  <c r="H706" i="14" s="1"/>
  <c r="C707" i="14"/>
  <c r="C815" i="14"/>
  <c r="C716" i="14"/>
  <c r="C814" i="14"/>
  <c r="C813" i="14"/>
  <c r="C721" i="14"/>
  <c r="C812" i="14"/>
  <c r="C722" i="14"/>
  <c r="C811" i="14"/>
  <c r="C810" i="14"/>
  <c r="C809" i="14"/>
  <c r="C808" i="14"/>
  <c r="C187" i="14"/>
  <c r="H187" i="14" s="1"/>
  <c r="C807" i="14"/>
  <c r="C806" i="14"/>
  <c r="C805" i="14"/>
  <c r="C804" i="14"/>
  <c r="C803" i="14"/>
  <c r="C802" i="14"/>
  <c r="C801" i="14"/>
  <c r="C800" i="14"/>
  <c r="C799" i="14"/>
  <c r="C798" i="14"/>
  <c r="C797" i="14"/>
  <c r="C796" i="14"/>
  <c r="C795" i="14"/>
  <c r="C794" i="14"/>
  <c r="C793" i="14"/>
  <c r="C792" i="14"/>
  <c r="C791" i="14"/>
  <c r="C790" i="14"/>
  <c r="C789" i="14"/>
  <c r="C788" i="14"/>
  <c r="C787" i="14"/>
  <c r="C786" i="14"/>
  <c r="C785" i="14"/>
  <c r="C784" i="14"/>
  <c r="C783" i="14"/>
  <c r="C782" i="14"/>
  <c r="C781" i="14"/>
  <c r="C780" i="14"/>
  <c r="C779" i="14"/>
  <c r="C778" i="14"/>
  <c r="C777" i="14"/>
  <c r="C776" i="14"/>
  <c r="C775" i="14"/>
  <c r="C774" i="14"/>
  <c r="C773" i="14"/>
  <c r="C772" i="14"/>
  <c r="C771" i="14"/>
  <c r="C770" i="14"/>
  <c r="C769" i="14"/>
  <c r="C768" i="14"/>
  <c r="H768" i="14" s="1"/>
  <c r="C767" i="14"/>
  <c r="C766" i="14"/>
  <c r="C765" i="14"/>
  <c r="C764" i="14"/>
  <c r="C763" i="14"/>
  <c r="H763" i="14" s="1"/>
  <c r="C762" i="14"/>
  <c r="C761" i="14"/>
  <c r="C760" i="14"/>
  <c r="C759" i="14"/>
  <c r="C758" i="14"/>
  <c r="C757" i="14"/>
  <c r="H757" i="14" s="1"/>
  <c r="C756" i="14"/>
  <c r="C755" i="14"/>
  <c r="C754" i="14"/>
  <c r="C753" i="14"/>
  <c r="C752" i="14"/>
  <c r="C751" i="14"/>
  <c r="C750" i="14"/>
  <c r="C749" i="14"/>
  <c r="C748" i="14"/>
  <c r="C747" i="14"/>
  <c r="C746" i="14"/>
  <c r="C745" i="14"/>
  <c r="C744" i="14"/>
  <c r="C743" i="14"/>
  <c r="C742" i="14"/>
  <c r="C741" i="14"/>
  <c r="C740" i="14"/>
  <c r="C739" i="14"/>
  <c r="C738" i="14"/>
  <c r="C737" i="14"/>
  <c r="C736" i="14"/>
  <c r="C735" i="14"/>
  <c r="C734" i="14"/>
  <c r="C733" i="14"/>
  <c r="C732" i="14"/>
  <c r="C64" i="14"/>
  <c r="H64" i="14" s="1"/>
  <c r="C65" i="14"/>
  <c r="H65" i="14" s="1"/>
  <c r="C66" i="14"/>
  <c r="H66" i="14" s="1"/>
  <c r="C67" i="14"/>
  <c r="H67" i="14" s="1"/>
  <c r="C91" i="14"/>
  <c r="C68" i="14"/>
  <c r="H68" i="14" s="1"/>
  <c r="C90" i="14"/>
  <c r="C69" i="14"/>
  <c r="H69" i="14" s="1"/>
  <c r="C89" i="14"/>
  <c r="C70" i="14"/>
  <c r="H70" i="14" s="1"/>
  <c r="C88" i="14"/>
  <c r="C71" i="14"/>
  <c r="H71" i="14" s="1"/>
  <c r="C87" i="14"/>
  <c r="C72" i="14"/>
  <c r="H72" i="14" s="1"/>
  <c r="C86" i="14"/>
  <c r="C73" i="14"/>
  <c r="H73" i="14" s="1"/>
  <c r="C85" i="14"/>
  <c r="C731" i="14"/>
  <c r="C84" i="14"/>
  <c r="C723" i="14"/>
  <c r="C83" i="14"/>
  <c r="C714" i="14"/>
  <c r="C286" i="14"/>
  <c r="C713" i="14"/>
  <c r="C287" i="14"/>
  <c r="H287" i="14" s="1"/>
  <c r="C712" i="14"/>
  <c r="C288" i="14"/>
  <c r="H288" i="14" s="1"/>
  <c r="C711" i="14"/>
  <c r="C289" i="14"/>
  <c r="H289" i="14" s="1"/>
  <c r="C710" i="14"/>
  <c r="C290" i="14"/>
  <c r="H290" i="14" s="1"/>
  <c r="C709" i="14"/>
  <c r="C291" i="14"/>
  <c r="H291" i="14" s="1"/>
  <c r="C708" i="14"/>
  <c r="C292" i="14"/>
  <c r="H292" i="14" s="1"/>
  <c r="C697" i="14"/>
  <c r="C293" i="14"/>
  <c r="H293" i="14" s="1"/>
  <c r="C696" i="14"/>
  <c r="C294" i="14"/>
  <c r="H294" i="14" s="1"/>
  <c r="C695" i="14"/>
  <c r="C295" i="14"/>
  <c r="H295" i="14" s="1"/>
  <c r="C694" i="14"/>
  <c r="C296" i="14"/>
  <c r="H296" i="14" s="1"/>
  <c r="C693" i="14"/>
  <c r="C297" i="14"/>
  <c r="H297" i="14" s="1"/>
  <c r="C692" i="14"/>
  <c r="C298" i="14"/>
  <c r="H298" i="14" s="1"/>
  <c r="C691" i="14"/>
  <c r="C299" i="14"/>
  <c r="H299" i="14" s="1"/>
  <c r="C690" i="14"/>
  <c r="C300" i="14"/>
  <c r="H300" i="14" s="1"/>
  <c r="C689" i="14"/>
  <c r="C301" i="14"/>
  <c r="H301" i="14" s="1"/>
  <c r="C688" i="14"/>
  <c r="C302" i="14"/>
  <c r="H302" i="14" s="1"/>
  <c r="C687" i="14"/>
  <c r="C303" i="14"/>
  <c r="H303" i="14" s="1"/>
  <c r="C686" i="14"/>
  <c r="C304" i="14"/>
  <c r="H304" i="14" s="1"/>
  <c r="C685" i="14"/>
  <c r="C305" i="14"/>
  <c r="H305" i="14" s="1"/>
  <c r="C684" i="14"/>
  <c r="C306" i="14"/>
  <c r="H306" i="14" s="1"/>
  <c r="C683" i="14"/>
  <c r="C307" i="14"/>
  <c r="H307" i="14" s="1"/>
  <c r="C682" i="14"/>
  <c r="C308" i="14"/>
  <c r="H308" i="14" s="1"/>
  <c r="C681" i="14"/>
  <c r="C309" i="14"/>
  <c r="H309" i="14" s="1"/>
  <c r="C680" i="14"/>
  <c r="C310" i="14"/>
  <c r="H310" i="14" s="1"/>
  <c r="C679" i="14"/>
  <c r="C311" i="14"/>
  <c r="H311" i="14" s="1"/>
  <c r="C678" i="14"/>
  <c r="C312" i="14"/>
  <c r="H312" i="14" s="1"/>
  <c r="C677" i="14"/>
  <c r="C313" i="14"/>
  <c r="H313" i="14" s="1"/>
  <c r="C676" i="14"/>
  <c r="C314" i="14"/>
  <c r="H314" i="14" s="1"/>
  <c r="C675" i="14"/>
  <c r="C315" i="14"/>
  <c r="H315" i="14" s="1"/>
  <c r="C674" i="14"/>
  <c r="C316" i="14"/>
  <c r="H316" i="14" s="1"/>
  <c r="C673" i="14"/>
  <c r="C317" i="14"/>
  <c r="H317" i="14" s="1"/>
  <c r="C672" i="14"/>
  <c r="C318" i="14"/>
  <c r="H318" i="14" s="1"/>
  <c r="C671" i="14"/>
  <c r="C319" i="14"/>
  <c r="H319" i="14" s="1"/>
  <c r="C670" i="14"/>
  <c r="C320" i="14"/>
  <c r="H320" i="14" s="1"/>
  <c r="C669" i="14"/>
  <c r="C321" i="14"/>
  <c r="H321" i="14" s="1"/>
  <c r="C668" i="14"/>
  <c r="C322" i="14"/>
  <c r="H322" i="14" s="1"/>
  <c r="C667" i="14"/>
  <c r="C323" i="14"/>
  <c r="H323" i="14" s="1"/>
  <c r="C666" i="14"/>
  <c r="C324" i="14"/>
  <c r="H324" i="14" s="1"/>
  <c r="C665" i="14"/>
  <c r="C325" i="14"/>
  <c r="H325" i="14" s="1"/>
  <c r="C664" i="14"/>
  <c r="C326" i="14"/>
  <c r="H326" i="14" s="1"/>
  <c r="C663" i="14"/>
  <c r="C327" i="14"/>
  <c r="H327" i="14" s="1"/>
  <c r="C662" i="14"/>
  <c r="C328" i="14"/>
  <c r="H328" i="14" s="1"/>
  <c r="C661" i="14"/>
  <c r="C329" i="14"/>
  <c r="H329" i="14" s="1"/>
  <c r="C660" i="14"/>
  <c r="C330" i="14"/>
  <c r="H330" i="14" s="1"/>
  <c r="C659" i="14"/>
  <c r="C331" i="14"/>
  <c r="H331" i="14" s="1"/>
  <c r="C658" i="14"/>
  <c r="C332" i="14"/>
  <c r="H332" i="14" s="1"/>
  <c r="C657" i="14"/>
  <c r="C333" i="14"/>
  <c r="H333" i="14" s="1"/>
  <c r="C656" i="14"/>
  <c r="C334" i="14"/>
  <c r="H334" i="14" s="1"/>
  <c r="C655" i="14"/>
  <c r="C335" i="14"/>
  <c r="H335" i="14" s="1"/>
  <c r="C654" i="14"/>
  <c r="C336" i="14"/>
  <c r="H336" i="14" s="1"/>
  <c r="C653" i="14"/>
  <c r="C337" i="14"/>
  <c r="H337" i="14" s="1"/>
  <c r="C652" i="14"/>
  <c r="C338" i="14"/>
  <c r="H338" i="14" s="1"/>
  <c r="C651" i="14"/>
  <c r="C339" i="14"/>
  <c r="H339" i="14" s="1"/>
  <c r="C650" i="14"/>
  <c r="C340" i="14"/>
  <c r="H340" i="14" s="1"/>
  <c r="C649" i="14"/>
  <c r="H649" i="14" s="1"/>
  <c r="C341" i="14"/>
  <c r="H341" i="14" s="1"/>
  <c r="C648" i="14"/>
  <c r="C342" i="14"/>
  <c r="H342" i="14" s="1"/>
  <c r="C647" i="14"/>
  <c r="C343" i="14"/>
  <c r="H343" i="14" s="1"/>
  <c r="C646" i="14"/>
  <c r="C344" i="14"/>
  <c r="H344" i="14" s="1"/>
  <c r="C645" i="14"/>
  <c r="H645" i="14" s="1"/>
  <c r="C345" i="14"/>
  <c r="H345" i="14" s="1"/>
  <c r="C644" i="14"/>
  <c r="C346" i="14"/>
  <c r="H346" i="14" s="1"/>
  <c r="C643" i="14"/>
  <c r="H643" i="14" s="1"/>
  <c r="C347" i="14"/>
  <c r="H347" i="14" s="1"/>
  <c r="C642" i="14"/>
  <c r="C348" i="14"/>
  <c r="H348" i="14" s="1"/>
  <c r="C641" i="14"/>
  <c r="C349" i="14"/>
  <c r="H349" i="14" s="1"/>
  <c r="C640" i="14"/>
  <c r="C350" i="14"/>
  <c r="H350" i="14" s="1"/>
  <c r="C639" i="14"/>
  <c r="H639" i="14" s="1"/>
  <c r="C351" i="14"/>
  <c r="H351" i="14" s="1"/>
  <c r="C638" i="14"/>
  <c r="C352" i="14"/>
  <c r="H352" i="14" s="1"/>
  <c r="C637" i="14"/>
  <c r="C353" i="14"/>
  <c r="H353" i="14" s="1"/>
  <c r="C636" i="14"/>
  <c r="C354" i="14"/>
  <c r="H354" i="14" s="1"/>
  <c r="C635" i="14"/>
  <c r="C355" i="14"/>
  <c r="H355" i="14" s="1"/>
  <c r="C634" i="14"/>
  <c r="C356" i="14"/>
  <c r="H356" i="14" s="1"/>
  <c r="C633" i="14"/>
  <c r="C357" i="14"/>
  <c r="H357" i="14" s="1"/>
  <c r="C632" i="14"/>
  <c r="C358" i="14"/>
  <c r="H358" i="14" s="1"/>
  <c r="C631" i="14"/>
  <c r="C359" i="14"/>
  <c r="H359" i="14" s="1"/>
  <c r="C630" i="14"/>
  <c r="C360" i="14"/>
  <c r="H360" i="14" s="1"/>
  <c r="C629" i="14"/>
  <c r="C361" i="14"/>
  <c r="H361" i="14" s="1"/>
  <c r="C628" i="14"/>
  <c r="C362" i="14"/>
  <c r="H362" i="14" s="1"/>
  <c r="C627" i="14"/>
  <c r="C363" i="14"/>
  <c r="H363" i="14" s="1"/>
  <c r="C626" i="14"/>
  <c r="H626" i="14" s="1"/>
  <c r="C364" i="14"/>
  <c r="H364" i="14" s="1"/>
  <c r="C625" i="14"/>
  <c r="C365" i="14"/>
  <c r="H365" i="14" s="1"/>
  <c r="C624" i="14"/>
  <c r="H624" i="14" s="1"/>
  <c r="C366" i="14"/>
  <c r="H366" i="14" s="1"/>
  <c r="C623" i="14"/>
  <c r="C367" i="14"/>
  <c r="H367" i="14" s="1"/>
  <c r="C622" i="14"/>
  <c r="H622" i="14" s="1"/>
  <c r="C368" i="14"/>
  <c r="H368" i="14" s="1"/>
  <c r="C621" i="14"/>
  <c r="C369" i="14"/>
  <c r="H369" i="14" s="1"/>
  <c r="C620" i="14"/>
  <c r="C370" i="14"/>
  <c r="H370" i="14" s="1"/>
  <c r="C619" i="14"/>
  <c r="C371" i="14"/>
  <c r="H371" i="14" s="1"/>
  <c r="C618" i="14"/>
  <c r="H618" i="14" s="1"/>
  <c r="C372" i="14"/>
  <c r="H372" i="14" s="1"/>
  <c r="C617" i="14"/>
  <c r="C373" i="14"/>
  <c r="H373" i="14" s="1"/>
  <c r="C616" i="14"/>
  <c r="C374" i="14"/>
  <c r="H374" i="14" s="1"/>
  <c r="C614" i="14"/>
  <c r="C375" i="14"/>
  <c r="H375" i="14" s="1"/>
  <c r="C613" i="14"/>
  <c r="C376" i="14"/>
  <c r="H376" i="14" s="1"/>
  <c r="C612" i="14"/>
  <c r="C377" i="14"/>
  <c r="H377" i="14" s="1"/>
  <c r="C611" i="14"/>
  <c r="C378" i="14"/>
  <c r="H378" i="14" s="1"/>
  <c r="C610" i="14"/>
  <c r="C379" i="14"/>
  <c r="H379" i="14" s="1"/>
  <c r="C609" i="14"/>
  <c r="H609" i="14" s="1"/>
  <c r="C380" i="14"/>
  <c r="H380" i="14" s="1"/>
  <c r="C608" i="14"/>
  <c r="C381" i="14"/>
  <c r="H381" i="14" s="1"/>
  <c r="C607" i="14"/>
  <c r="C382" i="14"/>
  <c r="H382" i="14" s="1"/>
  <c r="C606" i="14"/>
  <c r="C383" i="14"/>
  <c r="H383" i="14" s="1"/>
  <c r="C605" i="14"/>
  <c r="C384" i="14"/>
  <c r="H384" i="14" s="1"/>
  <c r="C604" i="14"/>
  <c r="H604" i="14" s="1"/>
  <c r="C385" i="14"/>
  <c r="H385" i="14" s="1"/>
  <c r="C603" i="14"/>
  <c r="H603" i="14" s="1"/>
  <c r="C386" i="14"/>
  <c r="H386" i="14" s="1"/>
  <c r="C602" i="14"/>
  <c r="C387" i="14"/>
  <c r="H387" i="14" s="1"/>
  <c r="C601" i="14"/>
  <c r="C388" i="14"/>
  <c r="H388" i="14" s="1"/>
  <c r="C600" i="14"/>
  <c r="H600" i="14" s="1"/>
  <c r="C389" i="14"/>
  <c r="H389" i="14" s="1"/>
  <c r="C599" i="14"/>
  <c r="C390" i="14"/>
  <c r="H390" i="14" s="1"/>
  <c r="C598" i="14"/>
  <c r="C391" i="14"/>
  <c r="H391" i="14" s="1"/>
  <c r="C597" i="14"/>
  <c r="H597" i="14" s="1"/>
  <c r="C392" i="14"/>
  <c r="H392" i="14" s="1"/>
  <c r="C596" i="14"/>
  <c r="C393" i="14"/>
  <c r="H393" i="14" s="1"/>
  <c r="C595" i="14"/>
  <c r="C394" i="14"/>
  <c r="H394" i="14" s="1"/>
  <c r="C594" i="14"/>
  <c r="C395" i="14"/>
  <c r="H395" i="14" s="1"/>
  <c r="C593" i="14"/>
  <c r="H593" i="14" s="1"/>
  <c r="C396" i="14"/>
  <c r="H396" i="14" s="1"/>
  <c r="C592" i="14"/>
  <c r="C397" i="14"/>
  <c r="H397" i="14" s="1"/>
  <c r="C591" i="14"/>
  <c r="C398" i="14"/>
  <c r="H398" i="14" s="1"/>
  <c r="C590" i="14"/>
  <c r="C399" i="14"/>
  <c r="H399" i="14" s="1"/>
  <c r="C589" i="14"/>
  <c r="H589" i="14" s="1"/>
  <c r="C400" i="14"/>
  <c r="H400" i="14" s="1"/>
  <c r="C588" i="14"/>
  <c r="C401" i="14"/>
  <c r="H401" i="14" s="1"/>
  <c r="C587" i="14"/>
  <c r="C402" i="14"/>
  <c r="H402" i="14" s="1"/>
  <c r="C586" i="14"/>
  <c r="C403" i="14"/>
  <c r="H403" i="14" s="1"/>
  <c r="C585" i="14"/>
  <c r="H585" i="14" s="1"/>
  <c r="C404" i="14"/>
  <c r="H404" i="14" s="1"/>
  <c r="C584" i="14"/>
  <c r="C405" i="14"/>
  <c r="H405" i="14" s="1"/>
  <c r="C583" i="14"/>
  <c r="C406" i="14"/>
  <c r="H406" i="14" s="1"/>
  <c r="C582" i="14"/>
  <c r="H582" i="14" s="1"/>
  <c r="C407" i="14"/>
  <c r="H407" i="14" s="1"/>
  <c r="C581" i="14"/>
  <c r="C408" i="14"/>
  <c r="H408" i="14" s="1"/>
  <c r="C580" i="14"/>
  <c r="C409" i="14"/>
  <c r="H409" i="14" s="1"/>
  <c r="C579" i="14"/>
  <c r="H579" i="14" s="1"/>
  <c r="C410" i="14"/>
  <c r="C578" i="14"/>
  <c r="C411" i="14"/>
  <c r="H411" i="14" s="1"/>
  <c r="C577" i="14"/>
  <c r="C412" i="14"/>
  <c r="H412" i="14" s="1"/>
  <c r="C576" i="14"/>
  <c r="C413" i="14"/>
  <c r="H413" i="14" s="1"/>
  <c r="C575" i="14"/>
  <c r="C414" i="14"/>
  <c r="H414" i="14" s="1"/>
  <c r="C574" i="14"/>
  <c r="C415" i="14"/>
  <c r="H415" i="14" s="1"/>
  <c r="C573" i="14"/>
  <c r="C416" i="14"/>
  <c r="H416" i="14" s="1"/>
  <c r="C572" i="14"/>
  <c r="C417" i="14"/>
  <c r="H417" i="14" s="1"/>
  <c r="C571" i="14"/>
  <c r="C418" i="14"/>
  <c r="H418" i="14" s="1"/>
  <c r="C570" i="14"/>
  <c r="C419" i="14"/>
  <c r="H419" i="14" s="1"/>
  <c r="C569" i="14"/>
  <c r="C420" i="14"/>
  <c r="H420" i="14" s="1"/>
  <c r="C568" i="14"/>
  <c r="C421" i="14"/>
  <c r="H421" i="14" s="1"/>
  <c r="C567" i="14"/>
  <c r="C422" i="14"/>
  <c r="H422" i="14" s="1"/>
  <c r="C566" i="14"/>
  <c r="C423" i="14"/>
  <c r="H423" i="14" s="1"/>
  <c r="C565" i="14"/>
  <c r="C424" i="14"/>
  <c r="H424" i="14" s="1"/>
  <c r="C564" i="14"/>
  <c r="C425" i="14"/>
  <c r="H425" i="14" s="1"/>
  <c r="C563" i="14"/>
  <c r="C426" i="14"/>
  <c r="H426" i="14" s="1"/>
  <c r="C562" i="14"/>
  <c r="C427" i="14"/>
  <c r="H427" i="14" s="1"/>
  <c r="C561" i="14"/>
  <c r="C428" i="14"/>
  <c r="H428" i="14" s="1"/>
  <c r="C560" i="14"/>
  <c r="C429" i="14"/>
  <c r="H429" i="14" s="1"/>
  <c r="C559" i="14"/>
  <c r="C430" i="14"/>
  <c r="H430" i="14" s="1"/>
  <c r="C558" i="14"/>
  <c r="C431" i="14"/>
  <c r="H431" i="14" s="1"/>
  <c r="C557" i="14"/>
  <c r="C432" i="14"/>
  <c r="H432" i="14" s="1"/>
  <c r="C556" i="14"/>
  <c r="C433" i="14"/>
  <c r="H433" i="14" s="1"/>
  <c r="C555" i="14"/>
  <c r="C434" i="14"/>
  <c r="H434" i="14" s="1"/>
  <c r="C554" i="14"/>
  <c r="C435" i="14"/>
  <c r="H435" i="14" s="1"/>
  <c r="C553" i="14"/>
  <c r="C436" i="14"/>
  <c r="H436" i="14" s="1"/>
  <c r="C552" i="14"/>
  <c r="C437" i="14"/>
  <c r="H437" i="14" s="1"/>
  <c r="C551" i="14"/>
  <c r="C438" i="14"/>
  <c r="H438" i="14" s="1"/>
  <c r="C550" i="14"/>
  <c r="C439" i="14"/>
  <c r="H439" i="14" s="1"/>
  <c r="C549" i="14"/>
  <c r="C440" i="14"/>
  <c r="H440" i="14" s="1"/>
  <c r="C548" i="14"/>
  <c r="C441" i="14"/>
  <c r="H441" i="14" s="1"/>
  <c r="C547" i="14"/>
  <c r="C442" i="14"/>
  <c r="H442" i="14" s="1"/>
  <c r="C546" i="14"/>
  <c r="C443" i="14"/>
  <c r="H443" i="14" s="1"/>
  <c r="C545" i="14"/>
  <c r="C444" i="14"/>
  <c r="H444" i="14" s="1"/>
  <c r="C544" i="14"/>
  <c r="C445" i="14"/>
  <c r="H445" i="14" s="1"/>
  <c r="C543" i="14"/>
  <c r="C446" i="14"/>
  <c r="H446" i="14" s="1"/>
  <c r="C542" i="14"/>
  <c r="C447" i="14"/>
  <c r="H447" i="14" s="1"/>
  <c r="C541" i="14"/>
  <c r="C448" i="14"/>
  <c r="H448" i="14" s="1"/>
  <c r="C540" i="14"/>
  <c r="C449" i="14"/>
  <c r="H449" i="14" s="1"/>
  <c r="C539" i="14"/>
  <c r="C450" i="14"/>
  <c r="H450" i="14" s="1"/>
  <c r="C538" i="14"/>
  <c r="C451" i="14"/>
  <c r="H451" i="14" s="1"/>
  <c r="C537" i="14"/>
  <c r="C452" i="14"/>
  <c r="H452" i="14" s="1"/>
  <c r="C536" i="14"/>
  <c r="C453" i="14"/>
  <c r="H453" i="14" s="1"/>
  <c r="C535" i="14"/>
  <c r="C454" i="14"/>
  <c r="H454" i="14" s="1"/>
  <c r="C534" i="14"/>
  <c r="C455" i="14"/>
  <c r="H455" i="14" s="1"/>
  <c r="C533" i="14"/>
  <c r="C456" i="14"/>
  <c r="H456" i="14" s="1"/>
  <c r="C532" i="14"/>
  <c r="C457" i="14"/>
  <c r="H457" i="14" s="1"/>
  <c r="C531" i="14"/>
  <c r="C458" i="14"/>
  <c r="H458" i="14" s="1"/>
  <c r="C530" i="14"/>
  <c r="C459" i="14"/>
  <c r="H459" i="14" s="1"/>
  <c r="C529" i="14"/>
  <c r="C460" i="14"/>
  <c r="H460" i="14" s="1"/>
  <c r="C528" i="14"/>
  <c r="C461" i="14"/>
  <c r="H461" i="14" s="1"/>
  <c r="C527" i="14"/>
  <c r="C462" i="14"/>
  <c r="H462" i="14" s="1"/>
  <c r="C526" i="14"/>
  <c r="C463" i="14"/>
  <c r="H463" i="14" s="1"/>
  <c r="C525" i="14"/>
  <c r="C464" i="14"/>
  <c r="H464" i="14" s="1"/>
  <c r="C524" i="14"/>
  <c r="C465" i="14"/>
  <c r="H465" i="14" s="1"/>
  <c r="C523" i="14"/>
  <c r="C466" i="14"/>
  <c r="H466" i="14" s="1"/>
  <c r="C522" i="14"/>
  <c r="C467" i="14"/>
  <c r="H467" i="14" s="1"/>
  <c r="C521" i="14"/>
  <c r="C468" i="14"/>
  <c r="H468" i="14" s="1"/>
  <c r="C520" i="14"/>
  <c r="C469" i="14"/>
  <c r="H469" i="14" s="1"/>
  <c r="C519" i="14"/>
  <c r="C470" i="14"/>
  <c r="H470" i="14" s="1"/>
  <c r="C518" i="14"/>
  <c r="C471" i="14"/>
  <c r="H471" i="14" s="1"/>
  <c r="C517" i="14"/>
  <c r="C472" i="14"/>
  <c r="H472" i="14" s="1"/>
  <c r="C516" i="14"/>
  <c r="C473" i="14"/>
  <c r="H473" i="14" s="1"/>
  <c r="C515" i="14"/>
  <c r="C474" i="14"/>
  <c r="H474" i="14" s="1"/>
  <c r="C514" i="14"/>
  <c r="C475" i="14"/>
  <c r="H475" i="14" s="1"/>
  <c r="C513" i="14"/>
  <c r="C476" i="14"/>
  <c r="H476" i="14" s="1"/>
  <c r="C512" i="14"/>
  <c r="C477" i="14"/>
  <c r="H477" i="14" s="1"/>
  <c r="C511" i="14"/>
  <c r="C478" i="14"/>
  <c r="H478" i="14" s="1"/>
  <c r="C510" i="14"/>
  <c r="C479" i="14"/>
  <c r="H479" i="14" s="1"/>
  <c r="C509" i="14"/>
  <c r="H509" i="14" s="1"/>
  <c r="C480" i="14"/>
  <c r="H480" i="14" s="1"/>
  <c r="C74" i="14"/>
  <c r="H74" i="14" s="1"/>
  <c r="C481" i="14"/>
  <c r="H481" i="14" s="1"/>
  <c r="C75" i="14"/>
  <c r="H75" i="14" s="1"/>
  <c r="C482" i="14"/>
  <c r="H482" i="14" s="1"/>
  <c r="C76" i="14"/>
  <c r="H76" i="14" s="1"/>
  <c r="C483" i="14"/>
  <c r="H483" i="14" s="1"/>
  <c r="C77" i="14"/>
  <c r="H77" i="14" s="1"/>
  <c r="C484" i="14"/>
  <c r="C78" i="14"/>
  <c r="C485" i="14"/>
  <c r="H485" i="14" s="1"/>
  <c r="C79" i="14"/>
  <c r="H79" i="14" s="1"/>
  <c r="C486" i="14"/>
  <c r="H486" i="14" s="1"/>
  <c r="C80" i="14"/>
  <c r="H80" i="14" s="1"/>
  <c r="C487" i="14"/>
  <c r="H487" i="14" s="1"/>
  <c r="C81" i="14"/>
  <c r="H81" i="14" s="1"/>
  <c r="C488" i="14"/>
  <c r="H488" i="14" s="1"/>
  <c r="C82" i="14"/>
  <c r="H82" i="14" s="1"/>
  <c r="C489" i="14"/>
  <c r="H489" i="14" s="1"/>
  <c r="C730" i="14"/>
  <c r="C490" i="14"/>
  <c r="H490" i="14" s="1"/>
  <c r="C728" i="14"/>
  <c r="C491" i="14"/>
  <c r="H491" i="14" s="1"/>
  <c r="C727" i="14"/>
  <c r="C492" i="14"/>
  <c r="H492" i="14" s="1"/>
  <c r="C726" i="14"/>
  <c r="C493" i="14"/>
  <c r="H493" i="14" s="1"/>
  <c r="C725" i="14"/>
  <c r="C494" i="14"/>
  <c r="H494" i="14" s="1"/>
  <c r="C724" i="14"/>
  <c r="C495" i="14"/>
  <c r="H495" i="14" s="1"/>
  <c r="C720" i="14"/>
  <c r="C496" i="14"/>
  <c r="H496" i="14" s="1"/>
  <c r="C719" i="14"/>
  <c r="C497" i="14"/>
  <c r="H497" i="14" s="1"/>
  <c r="C718" i="14"/>
  <c r="C498" i="14"/>
  <c r="H498" i="14" s="1"/>
  <c r="C717" i="14"/>
  <c r="C499" i="14"/>
  <c r="H499" i="14" s="1"/>
  <c r="C715" i="14"/>
  <c r="C500" i="14"/>
  <c r="H500" i="14" s="1"/>
  <c r="C702" i="14"/>
  <c r="C501" i="14"/>
  <c r="H501" i="14" s="1"/>
  <c r="C701" i="14"/>
  <c r="H701" i="14" s="1"/>
  <c r="C502" i="14"/>
  <c r="H502" i="14" s="1"/>
  <c r="C699" i="14"/>
  <c r="C503" i="14"/>
  <c r="H503" i="14" s="1"/>
  <c r="C698" i="14"/>
  <c r="C504" i="14"/>
  <c r="H504" i="14" s="1"/>
  <c r="C508" i="14"/>
  <c r="C505" i="14"/>
  <c r="H505" i="14" s="1"/>
  <c r="C507" i="14"/>
  <c r="C188" i="14"/>
  <c r="H188" i="14" s="1"/>
  <c r="B8" i="14"/>
  <c r="G25" i="14"/>
  <c r="G28" i="14"/>
  <c r="G35" i="14"/>
  <c r="G38" i="14"/>
  <c r="G43" i="14"/>
  <c r="G45" i="14"/>
  <c r="G47" i="14"/>
  <c r="G50" i="14"/>
  <c r="G52" i="14"/>
  <c r="G54" i="14"/>
  <c r="G56" i="14"/>
  <c r="G58" i="14"/>
  <c r="G60" i="14"/>
  <c r="G61" i="14"/>
  <c r="H62" i="14" s="1"/>
  <c r="G692" i="14"/>
  <c r="G693" i="14"/>
  <c r="G696" i="14"/>
  <c r="G698" i="14"/>
  <c r="G699" i="14"/>
  <c r="D699" i="14"/>
  <c r="G707" i="14"/>
  <c r="D707" i="14"/>
  <c r="D711" i="14"/>
  <c r="G711" i="14"/>
  <c r="D715" i="14"/>
  <c r="G715" i="14"/>
  <c r="D718" i="14"/>
  <c r="G718" i="14"/>
  <c r="D719" i="14"/>
  <c r="G719" i="14"/>
  <c r="G720" i="14"/>
  <c r="D720" i="14"/>
  <c r="G721" i="14"/>
  <c r="D721" i="14"/>
  <c r="D724" i="14"/>
  <c r="G724" i="14"/>
  <c r="D725" i="14"/>
  <c r="G725" i="14"/>
  <c r="G726" i="14"/>
  <c r="D726" i="14"/>
  <c r="D728" i="14"/>
  <c r="G728" i="14"/>
  <c r="G729" i="14"/>
  <c r="D729" i="14"/>
  <c r="G731" i="14"/>
  <c r="D731" i="14"/>
  <c r="B8" i="13"/>
  <c r="G32" i="13"/>
  <c r="G33" i="13"/>
  <c r="G34" i="13"/>
  <c r="H35" i="13" s="1"/>
  <c r="D34" i="13"/>
  <c r="D36" i="13"/>
  <c r="G36" i="13"/>
  <c r="H38" i="13"/>
  <c r="H39" i="13"/>
  <c r="H41" i="13"/>
  <c r="H42" i="13"/>
  <c r="D45" i="13"/>
  <c r="G45" i="13"/>
  <c r="G46" i="13"/>
  <c r="H47" i="13" s="1"/>
  <c r="D46" i="13"/>
  <c r="G50" i="13"/>
  <c r="D50" i="13"/>
  <c r="D52" i="13"/>
  <c r="G52" i="13"/>
  <c r="G53" i="13"/>
  <c r="D53" i="13"/>
  <c r="D54" i="13"/>
  <c r="G54" i="13"/>
  <c r="D55" i="13"/>
  <c r="G55" i="13"/>
  <c r="H56" i="13" s="1"/>
  <c r="D58" i="13"/>
  <c r="G58" i="13"/>
  <c r="D59" i="13"/>
  <c r="G59" i="13"/>
  <c r="G60" i="13"/>
  <c r="H61" i="13" s="1"/>
  <c r="D60" i="13"/>
  <c r="G62" i="13"/>
  <c r="D62" i="13"/>
  <c r="D65" i="13"/>
  <c r="G65" i="13"/>
  <c r="D67" i="13"/>
  <c r="G67" i="13"/>
  <c r="D70" i="13"/>
  <c r="G70" i="13"/>
  <c r="G71" i="13"/>
  <c r="H72" i="13" s="1"/>
  <c r="D71" i="13"/>
  <c r="H73" i="13"/>
  <c r="G74" i="13"/>
  <c r="D74" i="13"/>
  <c r="D76" i="13"/>
  <c r="G76" i="13"/>
  <c r="D77" i="13"/>
  <c r="G77" i="13"/>
  <c r="D78" i="13"/>
  <c r="G78" i="13"/>
  <c r="D79" i="13"/>
  <c r="G79" i="13"/>
  <c r="H80" i="13" s="1"/>
  <c r="G80" i="13"/>
  <c r="H81" i="13" s="1"/>
  <c r="D80" i="13"/>
  <c r="G82" i="13"/>
  <c r="D82" i="13"/>
  <c r="G83" i="13"/>
  <c r="D83" i="13"/>
  <c r="D84" i="13"/>
  <c r="G84" i="13"/>
  <c r="H85" i="13" s="1"/>
  <c r="D86" i="13"/>
  <c r="G86" i="13"/>
  <c r="D87" i="13"/>
  <c r="G87" i="13"/>
  <c r="H88" i="13" s="1"/>
  <c r="D89" i="13"/>
  <c r="G89" i="13"/>
  <c r="G91" i="13"/>
  <c r="D91" i="13"/>
  <c r="D93" i="13"/>
  <c r="G93" i="13"/>
  <c r="D95" i="13"/>
  <c r="G95" i="13"/>
  <c r="G98" i="13"/>
  <c r="D98" i="13"/>
  <c r="D100" i="13"/>
  <c r="G100" i="13"/>
  <c r="D101" i="13"/>
  <c r="G101" i="13"/>
  <c r="H102" i="13" s="1"/>
  <c r="G102" i="13"/>
  <c r="H103" i="13" s="1"/>
  <c r="D102" i="13"/>
  <c r="D107" i="13"/>
  <c r="G107" i="13"/>
  <c r="D111" i="13"/>
  <c r="G111" i="13"/>
  <c r="D112" i="13"/>
  <c r="G112" i="13"/>
  <c r="H113" i="13" s="1"/>
  <c r="D115" i="13"/>
  <c r="G115" i="13"/>
  <c r="G117" i="13"/>
  <c r="D117" i="13"/>
  <c r="G118" i="13"/>
  <c r="H119" i="13" s="1"/>
  <c r="D118" i="13"/>
  <c r="G123" i="13"/>
  <c r="D123" i="13"/>
  <c r="D124" i="13"/>
  <c r="G124" i="13"/>
  <c r="H125" i="13" s="1"/>
  <c r="D127" i="13"/>
  <c r="G127" i="13"/>
  <c r="G130" i="13"/>
  <c r="D130" i="13"/>
  <c r="D132" i="13"/>
  <c r="G132" i="13"/>
  <c r="D133" i="13"/>
  <c r="G133" i="13"/>
  <c r="H134" i="13" s="1"/>
  <c r="D137" i="13"/>
  <c r="G137" i="13"/>
  <c r="G138" i="13"/>
  <c r="H139" i="13" s="1"/>
  <c r="D138" i="13"/>
  <c r="G140" i="13"/>
  <c r="D140" i="13"/>
  <c r="G142" i="13"/>
  <c r="D142" i="13"/>
  <c r="G143" i="13"/>
  <c r="H144" i="13" s="1"/>
  <c r="D143" i="13"/>
  <c r="G145" i="13"/>
  <c r="D145" i="13"/>
  <c r="G147" i="13"/>
  <c r="D147" i="13"/>
  <c r="G149" i="13"/>
  <c r="D149" i="13"/>
  <c r="D150" i="13"/>
  <c r="G150" i="13"/>
  <c r="D151" i="13"/>
  <c r="G151" i="13"/>
  <c r="D152" i="13"/>
  <c r="G152" i="13"/>
  <c r="H153" i="13" s="1"/>
  <c r="G155" i="13"/>
  <c r="D155" i="13"/>
  <c r="D156" i="13"/>
  <c r="G156" i="13"/>
  <c r="H157" i="13" s="1"/>
  <c r="G158" i="13"/>
  <c r="D158" i="13"/>
  <c r="D161" i="13"/>
  <c r="G161" i="13"/>
  <c r="G162" i="13"/>
  <c r="D162" i="13"/>
  <c r="G163" i="13"/>
  <c r="H164" i="13" s="1"/>
  <c r="D163" i="13"/>
  <c r="D165" i="13"/>
  <c r="G165" i="13"/>
  <c r="D167" i="13"/>
  <c r="G167" i="13"/>
  <c r="D169" i="13"/>
  <c r="G169" i="13"/>
  <c r="G170" i="13"/>
  <c r="H171" i="13" s="1"/>
  <c r="D170" i="13"/>
  <c r="G171" i="13"/>
  <c r="H172" i="13" s="1"/>
  <c r="D171" i="13"/>
  <c r="D173" i="13"/>
  <c r="G173" i="13"/>
  <c r="G176" i="13"/>
  <c r="D176" i="13"/>
  <c r="G178" i="13"/>
  <c r="D178" i="13"/>
  <c r="G181" i="13"/>
  <c r="D181" i="13"/>
  <c r="D183" i="13"/>
  <c r="G183" i="13"/>
  <c r="H187" i="13"/>
  <c r="H188" i="13"/>
  <c r="H469" i="16" l="1"/>
  <c r="H468" i="16"/>
  <c r="H698" i="16"/>
  <c r="H697" i="16"/>
  <c r="H355" i="16"/>
  <c r="H354" i="16"/>
  <c r="D602" i="16"/>
  <c r="D590" i="16"/>
  <c r="D585" i="16"/>
  <c r="D580" i="16"/>
  <c r="D574" i="16"/>
  <c r="D570" i="16"/>
  <c r="D564" i="16"/>
  <c r="D560" i="16"/>
  <c r="D556" i="16"/>
  <c r="D551" i="16"/>
  <c r="D546" i="16"/>
  <c r="D537" i="16"/>
  <c r="D531" i="16"/>
  <c r="D529" i="16"/>
  <c r="D523" i="16"/>
  <c r="D515" i="16"/>
  <c r="D510" i="16"/>
  <c r="D504" i="16"/>
  <c r="D497" i="16"/>
  <c r="D492" i="16"/>
  <c r="D486" i="16"/>
  <c r="D480" i="16"/>
  <c r="D474" i="16"/>
  <c r="D469" i="16"/>
  <c r="D463" i="16"/>
  <c r="D430" i="16"/>
  <c r="D428" i="16"/>
  <c r="D424" i="16"/>
  <c r="D419" i="16"/>
  <c r="D415" i="16"/>
  <c r="D410" i="16"/>
  <c r="D210" i="16"/>
  <c r="D203" i="16"/>
  <c r="D599" i="16"/>
  <c r="D597" i="16"/>
  <c r="D594" i="16"/>
  <c r="D588" i="16"/>
  <c r="D582" i="16"/>
  <c r="D573" i="16"/>
  <c r="D568" i="16"/>
  <c r="D563" i="16"/>
  <c r="D558" i="16"/>
  <c r="D554" i="16"/>
  <c r="D550" i="16"/>
  <c r="D545" i="16"/>
  <c r="D542" i="16"/>
  <c r="D539" i="16"/>
  <c r="D526" i="16"/>
  <c r="D521" i="16"/>
  <c r="D517" i="16"/>
  <c r="D511" i="16"/>
  <c r="D507" i="16"/>
  <c r="D502" i="16"/>
  <c r="D499" i="16"/>
  <c r="D493" i="16"/>
  <c r="D489" i="16"/>
  <c r="D484" i="16"/>
  <c r="D479" i="16"/>
  <c r="D475" i="16"/>
  <c r="D470" i="16"/>
  <c r="D465" i="16"/>
  <c r="D431" i="16"/>
  <c r="D426" i="16"/>
  <c r="D421" i="16"/>
  <c r="D416" i="16"/>
  <c r="D412" i="16"/>
  <c r="D216" i="16"/>
  <c r="D199" i="16"/>
  <c r="D709" i="16"/>
  <c r="D708" i="16"/>
  <c r="D707" i="16"/>
  <c r="D706" i="16"/>
  <c r="D705" i="16"/>
  <c r="D704" i="16"/>
  <c r="D703" i="16"/>
  <c r="D702" i="16"/>
  <c r="D701" i="16"/>
  <c r="D700" i="16"/>
  <c r="D699" i="16"/>
  <c r="D698" i="16"/>
  <c r="D697" i="16"/>
  <c r="D696" i="16"/>
  <c r="D695" i="16"/>
  <c r="D694" i="16"/>
  <c r="D693" i="16"/>
  <c r="D692" i="16"/>
  <c r="D691" i="16"/>
  <c r="D690" i="16"/>
  <c r="D689" i="16"/>
  <c r="D688" i="16"/>
  <c r="D687" i="16"/>
  <c r="D686" i="16"/>
  <c r="D680" i="16"/>
  <c r="D679" i="16"/>
  <c r="D678" i="16"/>
  <c r="D668" i="16"/>
  <c r="D667" i="16"/>
  <c r="D666" i="16"/>
  <c r="D665" i="16"/>
  <c r="D663" i="16"/>
  <c r="D662" i="16"/>
  <c r="D661" i="16"/>
  <c r="D660" i="16"/>
  <c r="D658" i="16"/>
  <c r="D657" i="16"/>
  <c r="D656" i="16"/>
  <c r="D655" i="16"/>
  <c r="D653" i="16"/>
  <c r="D652" i="16"/>
  <c r="D651" i="16"/>
  <c r="D650" i="16"/>
  <c r="D649" i="16"/>
  <c r="D646" i="16"/>
  <c r="D645" i="16"/>
  <c r="D644" i="16"/>
  <c r="D643" i="16"/>
  <c r="D641" i="16"/>
  <c r="D640" i="16"/>
  <c r="D639" i="16"/>
  <c r="D635" i="16"/>
  <c r="D628" i="16"/>
  <c r="D627" i="16"/>
  <c r="D623" i="16"/>
  <c r="D618" i="16"/>
  <c r="D616" i="16"/>
  <c r="D614" i="16"/>
  <c r="D611" i="16"/>
  <c r="D610" i="16"/>
  <c r="D609" i="16"/>
  <c r="D608" i="16"/>
  <c r="D607" i="16"/>
  <c r="D606" i="16"/>
  <c r="D605" i="16"/>
  <c r="D604" i="16"/>
  <c r="D603" i="16"/>
  <c r="D600" i="16"/>
  <c r="D598" i="16"/>
  <c r="D595" i="16"/>
  <c r="D593" i="16"/>
  <c r="D589" i="16"/>
  <c r="D586" i="16"/>
  <c r="D583" i="16"/>
  <c r="D579" i="16"/>
  <c r="D575" i="16"/>
  <c r="D571" i="16"/>
  <c r="D567" i="16"/>
  <c r="D562" i="16"/>
  <c r="D555" i="16"/>
  <c r="D548" i="16"/>
  <c r="D543" i="16"/>
  <c r="D538" i="16"/>
  <c r="D533" i="16"/>
  <c r="D528" i="16"/>
  <c r="D522" i="16"/>
  <c r="D518" i="16"/>
  <c r="D516" i="16"/>
  <c r="D513" i="16"/>
  <c r="D508" i="16"/>
  <c r="D505" i="16"/>
  <c r="D501" i="16"/>
  <c r="D498" i="16"/>
  <c r="D494" i="16"/>
  <c r="D491" i="16"/>
  <c r="D487" i="16"/>
  <c r="D482" i="16"/>
  <c r="D477" i="16"/>
  <c r="D473" i="16"/>
  <c r="D468" i="16"/>
  <c r="D464" i="16"/>
  <c r="D460" i="16"/>
  <c r="D459" i="16"/>
  <c r="D458" i="16"/>
  <c r="D457" i="16"/>
  <c r="D456" i="16"/>
  <c r="D455" i="16"/>
  <c r="D454" i="16"/>
  <c r="D453" i="16"/>
  <c r="D452" i="16"/>
  <c r="D451" i="16"/>
  <c r="D450" i="16"/>
  <c r="D449" i="16"/>
  <c r="D448" i="16"/>
  <c r="D447" i="16"/>
  <c r="D446" i="16"/>
  <c r="D445" i="16"/>
  <c r="D444" i="16"/>
  <c r="D443" i="16"/>
  <c r="D442" i="16"/>
  <c r="D441" i="16"/>
  <c r="D440" i="16"/>
  <c r="D439" i="16"/>
  <c r="D438" i="16"/>
  <c r="D437" i="16"/>
  <c r="D436" i="16"/>
  <c r="D435" i="16"/>
  <c r="D434" i="16"/>
  <c r="D433" i="16"/>
  <c r="D432" i="16"/>
  <c r="D601" i="16"/>
  <c r="D592" i="16"/>
  <c r="D587" i="16"/>
  <c r="D581" i="16"/>
  <c r="D577" i="16"/>
  <c r="D572" i="16"/>
  <c r="D569" i="16"/>
  <c r="D566" i="16"/>
  <c r="D559" i="16"/>
  <c r="D553" i="16"/>
  <c r="D549" i="16"/>
  <c r="D544" i="16"/>
  <c r="D541" i="16"/>
  <c r="D536" i="16"/>
  <c r="D532" i="16"/>
  <c r="D527" i="16"/>
  <c r="D525" i="16"/>
  <c r="D520" i="16"/>
  <c r="D514" i="16"/>
  <c r="D509" i="16"/>
  <c r="D506" i="16"/>
  <c r="D500" i="16"/>
  <c r="D495" i="16"/>
  <c r="D490" i="16"/>
  <c r="D485" i="16"/>
  <c r="D483" i="16"/>
  <c r="D478" i="16"/>
  <c r="D472" i="16"/>
  <c r="D467" i="16"/>
  <c r="D462" i="16"/>
  <c r="D427" i="16"/>
  <c r="D422" i="16"/>
  <c r="D420" i="16"/>
  <c r="D417" i="16"/>
  <c r="D414" i="16"/>
  <c r="D411" i="16"/>
  <c r="D408" i="16"/>
  <c r="D407" i="16"/>
  <c r="D406" i="16"/>
  <c r="D405" i="16"/>
  <c r="D404" i="16"/>
  <c r="D403" i="16"/>
  <c r="D402" i="16"/>
  <c r="D401" i="16"/>
  <c r="D400" i="16"/>
  <c r="D399" i="16"/>
  <c r="D398" i="16"/>
  <c r="D397" i="16"/>
  <c r="D396" i="16"/>
  <c r="D395" i="16"/>
  <c r="D394" i="16"/>
  <c r="D393" i="16"/>
  <c r="D392" i="16"/>
  <c r="D391" i="16"/>
  <c r="D390" i="16"/>
  <c r="D389" i="16"/>
  <c r="D388" i="16"/>
  <c r="D387" i="16"/>
  <c r="D386" i="16"/>
  <c r="D385" i="16"/>
  <c r="D384" i="16"/>
  <c r="D383" i="16"/>
  <c r="D382" i="16"/>
  <c r="D381" i="16"/>
  <c r="D380" i="16"/>
  <c r="D379" i="16"/>
  <c r="D378" i="16"/>
  <c r="D377" i="16"/>
  <c r="D376" i="16"/>
  <c r="D375" i="16"/>
  <c r="D374" i="16"/>
  <c r="D373" i="16"/>
  <c r="D372" i="16"/>
  <c r="D371" i="16"/>
  <c r="D370" i="16"/>
  <c r="D369" i="16"/>
  <c r="D368" i="16"/>
  <c r="D367" i="16"/>
  <c r="D366" i="16"/>
  <c r="D365" i="16"/>
  <c r="D364" i="16"/>
  <c r="D363" i="16"/>
  <c r="D362" i="16"/>
  <c r="D361" i="16"/>
  <c r="D360" i="16"/>
  <c r="D359" i="16"/>
  <c r="D358" i="16"/>
  <c r="D357" i="16"/>
  <c r="D356" i="16"/>
  <c r="D355" i="16"/>
  <c r="D354" i="16"/>
  <c r="D353" i="16"/>
  <c r="D352" i="16"/>
  <c r="D351" i="16"/>
  <c r="D350" i="16"/>
  <c r="D349" i="16"/>
  <c r="D348" i="16"/>
  <c r="D347" i="16"/>
  <c r="D346" i="16"/>
  <c r="D345" i="16"/>
  <c r="D344" i="16"/>
  <c r="D343" i="16"/>
  <c r="D342" i="16"/>
  <c r="D341" i="16"/>
  <c r="D340" i="16"/>
  <c r="D339" i="16"/>
  <c r="D338" i="16"/>
  <c r="D337" i="16"/>
  <c r="D336" i="16"/>
  <c r="D335" i="16"/>
  <c r="D334" i="16"/>
  <c r="D333" i="16"/>
  <c r="D332" i="16"/>
  <c r="D331" i="16"/>
  <c r="D330" i="16"/>
  <c r="D329" i="16"/>
  <c r="D328" i="16"/>
  <c r="D327" i="16"/>
  <c r="D326" i="16"/>
  <c r="D325" i="16"/>
  <c r="D324" i="16"/>
  <c r="D323" i="16"/>
  <c r="D322" i="16"/>
  <c r="D321" i="16"/>
  <c r="D320" i="16"/>
  <c r="D319" i="16"/>
  <c r="D318" i="16"/>
  <c r="D317" i="16"/>
  <c r="D316" i="16"/>
  <c r="D315" i="16"/>
  <c r="D314" i="16"/>
  <c r="D313" i="16"/>
  <c r="D312" i="16"/>
  <c r="D311" i="16"/>
  <c r="D310" i="16"/>
  <c r="D309" i="16"/>
  <c r="D308" i="16"/>
  <c r="D307" i="16"/>
  <c r="D306" i="16"/>
  <c r="D305" i="16"/>
  <c r="D304" i="16"/>
  <c r="D303" i="16"/>
  <c r="D302" i="16"/>
  <c r="D301" i="16"/>
  <c r="D300" i="16"/>
  <c r="D299" i="16"/>
  <c r="D298" i="16"/>
  <c r="D297" i="16"/>
  <c r="D296" i="16"/>
  <c r="D295" i="16"/>
  <c r="D294" i="16"/>
  <c r="D293" i="16"/>
  <c r="D292" i="16"/>
  <c r="D291" i="16"/>
  <c r="D290" i="16"/>
  <c r="D289" i="16"/>
  <c r="D288" i="16"/>
  <c r="D287" i="16"/>
  <c r="D286" i="16"/>
  <c r="D285" i="16"/>
  <c r="D284" i="16"/>
  <c r="D283" i="16"/>
  <c r="D282" i="16"/>
  <c r="D281" i="16"/>
  <c r="D280" i="16"/>
  <c r="D279" i="16"/>
  <c r="D278" i="16"/>
  <c r="D277" i="16"/>
  <c r="D276" i="16"/>
  <c r="D275" i="16"/>
  <c r="D274" i="16"/>
  <c r="D273" i="16"/>
  <c r="D272" i="16"/>
  <c r="D271" i="16"/>
  <c r="D270" i="16"/>
  <c r="D269" i="16"/>
  <c r="D268" i="16"/>
  <c r="D267" i="16"/>
  <c r="D266" i="16"/>
  <c r="D265" i="16"/>
  <c r="D264" i="16"/>
  <c r="D263" i="16"/>
  <c r="D262" i="16"/>
  <c r="D261" i="16"/>
  <c r="D260" i="16"/>
  <c r="D259" i="16"/>
  <c r="D258" i="16"/>
  <c r="D257" i="16"/>
  <c r="D256" i="16"/>
  <c r="D255" i="16"/>
  <c r="D254" i="16"/>
  <c r="D253" i="16"/>
  <c r="D252" i="16"/>
  <c r="D251" i="16"/>
  <c r="D250" i="16"/>
  <c r="D249" i="16"/>
  <c r="D248" i="16"/>
  <c r="D247" i="16"/>
  <c r="D246" i="16"/>
  <c r="D245" i="16"/>
  <c r="D244" i="16"/>
  <c r="D243" i="16"/>
  <c r="D242" i="16"/>
  <c r="D241" i="16"/>
  <c r="D240" i="16"/>
  <c r="D239" i="16"/>
  <c r="D238" i="16"/>
  <c r="D237" i="16"/>
  <c r="D236" i="16"/>
  <c r="D234" i="16"/>
  <c r="D230" i="16"/>
  <c r="D228" i="16"/>
  <c r="D227" i="16"/>
  <c r="D223" i="16"/>
  <c r="D222" i="16"/>
  <c r="D220" i="16"/>
  <c r="D596" i="16"/>
  <c r="D591" i="16"/>
  <c r="D584" i="16"/>
  <c r="D576" i="16"/>
  <c r="D565" i="16"/>
  <c r="D561" i="16"/>
  <c r="D557" i="16"/>
  <c r="D552" i="16"/>
  <c r="D547" i="16"/>
  <c r="D540" i="16"/>
  <c r="D535" i="16"/>
  <c r="D534" i="16"/>
  <c r="D530" i="16"/>
  <c r="D524" i="16"/>
  <c r="D519" i="16"/>
  <c r="D512" i="16"/>
  <c r="D503" i="16"/>
  <c r="D496" i="16"/>
  <c r="D488" i="16"/>
  <c r="D481" i="16"/>
  <c r="D476" i="16"/>
  <c r="D471" i="16"/>
  <c r="D466" i="16"/>
  <c r="D461" i="16"/>
  <c r="D429" i="16"/>
  <c r="D425" i="16"/>
  <c r="D423" i="16"/>
  <c r="D418" i="16"/>
  <c r="D413" i="16"/>
  <c r="D409" i="16"/>
  <c r="D207" i="16"/>
  <c r="D196" i="16"/>
  <c r="D194" i="16"/>
  <c r="D193" i="16"/>
  <c r="D192" i="16"/>
  <c r="D191" i="16"/>
  <c r="D188" i="16"/>
  <c r="D187" i="16"/>
  <c r="D185" i="16"/>
  <c r="D183" i="16"/>
  <c r="D181" i="16"/>
  <c r="D180" i="16"/>
  <c r="D178" i="16"/>
  <c r="D175" i="16"/>
  <c r="D171" i="16"/>
  <c r="D169" i="16"/>
  <c r="D167" i="16"/>
  <c r="D162" i="16"/>
  <c r="D158" i="16"/>
  <c r="D157" i="16"/>
  <c r="D155" i="16"/>
  <c r="D151" i="16"/>
  <c r="D150" i="16"/>
  <c r="D148" i="16"/>
  <c r="D147" i="16"/>
  <c r="D146" i="16"/>
  <c r="D144" i="16"/>
  <c r="D142" i="16"/>
  <c r="D141" i="16"/>
  <c r="D140" i="16"/>
  <c r="D138" i="16"/>
  <c r="D133" i="16"/>
  <c r="D131" i="16"/>
  <c r="D130" i="16"/>
  <c r="D127" i="16"/>
  <c r="D126" i="16"/>
  <c r="D119" i="16"/>
  <c r="D118" i="16"/>
  <c r="D115" i="16"/>
  <c r="D114" i="16"/>
  <c r="D113" i="16"/>
  <c r="D112" i="16"/>
  <c r="D111" i="16"/>
  <c r="D110" i="16"/>
  <c r="D105" i="16"/>
  <c r="D104" i="16"/>
  <c r="D103" i="16"/>
  <c r="D102" i="16"/>
  <c r="D101" i="16"/>
  <c r="D100" i="16"/>
  <c r="D99" i="16"/>
  <c r="D98" i="16"/>
  <c r="D97" i="16"/>
  <c r="D96" i="16"/>
  <c r="D95" i="16"/>
  <c r="D94" i="16"/>
  <c r="D93" i="16"/>
  <c r="D92" i="16"/>
  <c r="D91" i="16"/>
  <c r="D90" i="16"/>
  <c r="D89" i="16"/>
  <c r="D88" i="16"/>
  <c r="D87" i="16"/>
  <c r="D86" i="16"/>
  <c r="D85" i="16"/>
  <c r="D84" i="16"/>
  <c r="D83" i="16"/>
  <c r="D82" i="16"/>
  <c r="D81" i="16"/>
  <c r="D80" i="16"/>
  <c r="D79" i="16"/>
  <c r="D78" i="16"/>
  <c r="D77" i="16"/>
  <c r="D76" i="16"/>
  <c r="D75" i="16"/>
  <c r="D74" i="16"/>
  <c r="D73" i="16"/>
  <c r="D72" i="16"/>
  <c r="D71" i="16"/>
  <c r="D70" i="16"/>
  <c r="D69" i="16"/>
  <c r="D68" i="16"/>
  <c r="D67" i="16"/>
  <c r="D66" i="16"/>
  <c r="D65" i="16"/>
  <c r="D64" i="16"/>
  <c r="D63" i="16"/>
  <c r="D62" i="16"/>
  <c r="D61" i="16"/>
  <c r="D60" i="16"/>
  <c r="D59" i="16"/>
  <c r="D58" i="16"/>
  <c r="D57" i="16"/>
  <c r="D56" i="16"/>
  <c r="D55" i="16"/>
  <c r="D54" i="16"/>
  <c r="D53" i="16"/>
  <c r="D52" i="16"/>
  <c r="D51" i="16"/>
  <c r="D50" i="16"/>
  <c r="D49" i="16"/>
  <c r="D48" i="16"/>
  <c r="D47" i="16"/>
  <c r="D46" i="16"/>
  <c r="D45" i="16"/>
  <c r="D44" i="16"/>
  <c r="D43" i="16"/>
  <c r="D42" i="16"/>
  <c r="D41" i="16"/>
  <c r="D40" i="16"/>
  <c r="D39" i="16"/>
  <c r="D38" i="16"/>
  <c r="D37" i="16"/>
  <c r="D36" i="16"/>
  <c r="D35" i="16"/>
  <c r="D34" i="16"/>
  <c r="D33" i="16"/>
  <c r="D32" i="16"/>
  <c r="D31" i="16"/>
  <c r="D30" i="16"/>
  <c r="D29" i="16"/>
  <c r="D28" i="16"/>
  <c r="D27" i="16"/>
  <c r="D26" i="16"/>
  <c r="D25" i="16"/>
  <c r="D24" i="16"/>
  <c r="D23" i="16"/>
  <c r="D22" i="16"/>
  <c r="D21" i="16"/>
  <c r="B7" i="16" s="1"/>
  <c r="D186" i="16"/>
  <c r="D217" i="16"/>
  <c r="D154" i="16"/>
  <c r="B9" i="16"/>
  <c r="H107" i="16"/>
  <c r="H106" i="16"/>
  <c r="H117" i="16"/>
  <c r="H116" i="16"/>
  <c r="H120" i="16"/>
  <c r="H121" i="16"/>
  <c r="H129" i="16"/>
  <c r="H128" i="16"/>
  <c r="H133" i="16"/>
  <c r="H132" i="16"/>
  <c r="H134" i="16"/>
  <c r="H135" i="16"/>
  <c r="H140" i="16"/>
  <c r="H139" i="16"/>
  <c r="H144" i="16"/>
  <c r="H143" i="16"/>
  <c r="H146" i="16"/>
  <c r="H145" i="16"/>
  <c r="H149" i="16"/>
  <c r="H150" i="16"/>
  <c r="H153" i="16"/>
  <c r="H152" i="16"/>
  <c r="H156" i="16"/>
  <c r="H157" i="16"/>
  <c r="H159" i="16"/>
  <c r="H160" i="16"/>
  <c r="H164" i="16"/>
  <c r="H163" i="16"/>
  <c r="H168" i="16"/>
  <c r="H169" i="16"/>
  <c r="H171" i="16"/>
  <c r="H170" i="16"/>
  <c r="H172" i="16"/>
  <c r="H173" i="16"/>
  <c r="H176" i="16"/>
  <c r="H177" i="16"/>
  <c r="H179" i="16"/>
  <c r="H180" i="16"/>
  <c r="H183" i="16"/>
  <c r="H182" i="16"/>
  <c r="H184" i="16"/>
  <c r="H185" i="16"/>
  <c r="H189" i="16"/>
  <c r="H190" i="16"/>
  <c r="H195" i="16"/>
  <c r="H196" i="16"/>
  <c r="H197" i="16"/>
  <c r="H198" i="16"/>
  <c r="H200" i="16"/>
  <c r="H201" i="16"/>
  <c r="H204" i="16"/>
  <c r="H205" i="16"/>
  <c r="H209" i="16"/>
  <c r="H208" i="16"/>
  <c r="H212" i="16"/>
  <c r="H211" i="16"/>
  <c r="H218" i="16"/>
  <c r="H219" i="16"/>
  <c r="H222" i="16"/>
  <c r="H221" i="16"/>
  <c r="H225" i="16"/>
  <c r="H224" i="16"/>
  <c r="H230" i="16"/>
  <c r="H229" i="16"/>
  <c r="H231" i="16"/>
  <c r="H232" i="16"/>
  <c r="H235" i="16"/>
  <c r="H236" i="16"/>
  <c r="H579" i="16"/>
  <c r="H578" i="16"/>
  <c r="H613" i="16"/>
  <c r="H612" i="16"/>
  <c r="H615" i="16"/>
  <c r="H616" i="16"/>
  <c r="H617" i="16"/>
  <c r="H618" i="16"/>
  <c r="H620" i="16"/>
  <c r="H619" i="16"/>
  <c r="H624" i="16"/>
  <c r="H625" i="16"/>
  <c r="H630" i="16"/>
  <c r="H629" i="16"/>
  <c r="H637" i="16"/>
  <c r="H636" i="16"/>
  <c r="H643" i="16"/>
  <c r="H642" i="16"/>
  <c r="H647" i="16"/>
  <c r="H648" i="16"/>
  <c r="H655" i="16"/>
  <c r="H654" i="16"/>
  <c r="H660" i="16"/>
  <c r="H659" i="16"/>
  <c r="H664" i="16"/>
  <c r="H665" i="16"/>
  <c r="H670" i="16"/>
  <c r="H669" i="16"/>
  <c r="H682" i="16"/>
  <c r="H681" i="16"/>
  <c r="D102" i="15"/>
  <c r="D89" i="15"/>
  <c r="D87" i="15"/>
  <c r="D55" i="15"/>
  <c r="D50" i="15"/>
  <c r="D43" i="15"/>
  <c r="D34" i="15"/>
  <c r="D103" i="15"/>
  <c r="D100" i="15"/>
  <c r="D97" i="15"/>
  <c r="D85" i="15"/>
  <c r="D75" i="15"/>
  <c r="D71" i="15"/>
  <c r="D66" i="15"/>
  <c r="D62" i="15"/>
  <c r="D59" i="15"/>
  <c r="D53" i="15"/>
  <c r="D52" i="15"/>
  <c r="D48" i="15"/>
  <c r="D47" i="15"/>
  <c r="D40" i="15"/>
  <c r="D39" i="15"/>
  <c r="D31" i="15"/>
  <c r="D28" i="15"/>
  <c r="D24" i="15"/>
  <c r="D21" i="15"/>
  <c r="D98" i="15"/>
  <c r="D94" i="15"/>
  <c r="D91" i="15"/>
  <c r="D65" i="15"/>
  <c r="D63" i="15"/>
  <c r="D51" i="15"/>
  <c r="D35" i="15"/>
  <c r="D95" i="15"/>
  <c r="D86" i="15"/>
  <c r="D57" i="15"/>
  <c r="D45" i="15"/>
  <c r="D37" i="15"/>
  <c r="D30" i="15"/>
  <c r="D27" i="15"/>
  <c r="D617" i="15"/>
  <c r="D615" i="15"/>
  <c r="D613" i="15"/>
  <c r="D611" i="15"/>
  <c r="D608" i="15"/>
  <c r="D605" i="15"/>
  <c r="D603" i="15"/>
  <c r="D600" i="15"/>
  <c r="D598" i="15"/>
  <c r="D596" i="15"/>
  <c r="D594" i="15"/>
  <c r="D592" i="15"/>
  <c r="D590" i="15"/>
  <c r="D588" i="15"/>
  <c r="D586" i="15"/>
  <c r="D584" i="15"/>
  <c r="D582" i="15"/>
  <c r="D580" i="15"/>
  <c r="D578" i="15"/>
  <c r="D576" i="15"/>
  <c r="D573" i="15"/>
  <c r="D570" i="15"/>
  <c r="D568" i="15"/>
  <c r="D565" i="15"/>
  <c r="D564" i="15"/>
  <c r="D563" i="15"/>
  <c r="D562" i="15"/>
  <c r="D561" i="15"/>
  <c r="D560" i="15"/>
  <c r="D559" i="15"/>
  <c r="D558" i="15"/>
  <c r="D557" i="15"/>
  <c r="D556" i="15"/>
  <c r="D555" i="15"/>
  <c r="D554" i="15"/>
  <c r="D553" i="15"/>
  <c r="D552" i="15"/>
  <c r="D550" i="15"/>
  <c r="D549" i="15"/>
  <c r="D548" i="15"/>
  <c r="D547" i="15"/>
  <c r="D546" i="15"/>
  <c r="D545" i="15"/>
  <c r="D544" i="15"/>
  <c r="D543" i="15"/>
  <c r="D542" i="15"/>
  <c r="D541" i="15"/>
  <c r="D540" i="15"/>
  <c r="D539" i="15"/>
  <c r="D538" i="15"/>
  <c r="D537" i="15"/>
  <c r="D536" i="15"/>
  <c r="D535" i="15"/>
  <c r="D534" i="15"/>
  <c r="D533" i="15"/>
  <c r="D532" i="15"/>
  <c r="D531" i="15"/>
  <c r="D530" i="15"/>
  <c r="D529" i="15"/>
  <c r="D528" i="15"/>
  <c r="D527" i="15"/>
  <c r="D526" i="15"/>
  <c r="D525" i="15"/>
  <c r="D524" i="15"/>
  <c r="D523" i="15"/>
  <c r="D522" i="15"/>
  <c r="D521" i="15"/>
  <c r="D520" i="15"/>
  <c r="D519" i="15"/>
  <c r="D518" i="15"/>
  <c r="D517" i="15"/>
  <c r="D516" i="15"/>
  <c r="D515" i="15"/>
  <c r="D514" i="15"/>
  <c r="D513" i="15"/>
  <c r="D512" i="15"/>
  <c r="D511" i="15"/>
  <c r="D510" i="15"/>
  <c r="D509" i="15"/>
  <c r="D508" i="15"/>
  <c r="D507" i="15"/>
  <c r="D506" i="15"/>
  <c r="D505" i="15"/>
  <c r="D504" i="15"/>
  <c r="D503" i="15"/>
  <c r="D502" i="15"/>
  <c r="D501" i="15"/>
  <c r="D500" i="15"/>
  <c r="D499" i="15"/>
  <c r="D498" i="15"/>
  <c r="D497" i="15"/>
  <c r="D496" i="15"/>
  <c r="D495" i="15"/>
  <c r="D494" i="15"/>
  <c r="D493" i="15"/>
  <c r="D492" i="15"/>
  <c r="D491" i="15"/>
  <c r="D490" i="15"/>
  <c r="D489" i="15"/>
  <c r="D488" i="15"/>
  <c r="D487" i="15"/>
  <c r="D486" i="15"/>
  <c r="D485" i="15"/>
  <c r="D484" i="15"/>
  <c r="D483" i="15"/>
  <c r="D482" i="15"/>
  <c r="D481" i="15"/>
  <c r="D480" i="15"/>
  <c r="D479" i="15"/>
  <c r="D478" i="15"/>
  <c r="D477" i="15"/>
  <c r="D476" i="15"/>
  <c r="D475" i="15"/>
  <c r="D474" i="15"/>
  <c r="D473" i="15"/>
  <c r="D472" i="15"/>
  <c r="D471" i="15"/>
  <c r="D470" i="15"/>
  <c r="D469" i="15"/>
  <c r="D468" i="15"/>
  <c r="D467" i="15"/>
  <c r="D466" i="15"/>
  <c r="D465" i="15"/>
  <c r="D464" i="15"/>
  <c r="D463" i="15"/>
  <c r="D462" i="15"/>
  <c r="D461" i="15"/>
  <c r="D460" i="15"/>
  <c r="D459" i="15"/>
  <c r="D458" i="15"/>
  <c r="D457" i="15"/>
  <c r="D456" i="15"/>
  <c r="D455" i="15"/>
  <c r="D454" i="15"/>
  <c r="D453" i="15"/>
  <c r="D452" i="15"/>
  <c r="D451" i="15"/>
  <c r="D450" i="15"/>
  <c r="D449" i="15"/>
  <c r="D448" i="15"/>
  <c r="D447" i="15"/>
  <c r="D446" i="15"/>
  <c r="D445" i="15"/>
  <c r="D444" i="15"/>
  <c r="D443" i="15"/>
  <c r="D442" i="15"/>
  <c r="D440" i="15"/>
  <c r="D439" i="15"/>
  <c r="D438" i="15"/>
  <c r="D437" i="15"/>
  <c r="D436" i="15"/>
  <c r="D435" i="15"/>
  <c r="D434" i="15"/>
  <c r="D433" i="15"/>
  <c r="D432" i="15"/>
  <c r="D431" i="15"/>
  <c r="D430" i="15"/>
  <c r="D429" i="15"/>
  <c r="D428" i="15"/>
  <c r="D427" i="15"/>
  <c r="D426" i="15"/>
  <c r="D425" i="15"/>
  <c r="D424" i="15"/>
  <c r="D423" i="15"/>
  <c r="D422" i="15"/>
  <c r="D421" i="15"/>
  <c r="D420" i="15"/>
  <c r="D419" i="15"/>
  <c r="D418" i="15"/>
  <c r="D417" i="15"/>
  <c r="D416" i="15"/>
  <c r="D415" i="15"/>
  <c r="D414" i="15"/>
  <c r="D413" i="15"/>
  <c r="D412" i="15"/>
  <c r="D411" i="15"/>
  <c r="D410" i="15"/>
  <c r="D409" i="15"/>
  <c r="D408" i="15"/>
  <c r="D407" i="15"/>
  <c r="D406" i="15"/>
  <c r="D405" i="15"/>
  <c r="D404" i="15"/>
  <c r="D403" i="15"/>
  <c r="D402" i="15"/>
  <c r="D401" i="15"/>
  <c r="D400" i="15"/>
  <c r="D399" i="15"/>
  <c r="D398" i="15"/>
  <c r="D397" i="15"/>
  <c r="D396" i="15"/>
  <c r="D395" i="15"/>
  <c r="D394" i="15"/>
  <c r="D393" i="15"/>
  <c r="D392" i="15"/>
  <c r="D391" i="15"/>
  <c r="D390" i="15"/>
  <c r="D389" i="15"/>
  <c r="D388" i="15"/>
  <c r="D387" i="15"/>
  <c r="D386" i="15"/>
  <c r="D385" i="15"/>
  <c r="D384" i="15"/>
  <c r="D383" i="15"/>
  <c r="D382" i="15"/>
  <c r="D381" i="15"/>
  <c r="D380" i="15"/>
  <c r="D379" i="15"/>
  <c r="D378" i="15"/>
  <c r="D377" i="15"/>
  <c r="D376" i="15"/>
  <c r="D375" i="15"/>
  <c r="D374" i="15"/>
  <c r="D373" i="15"/>
  <c r="D372" i="15"/>
  <c r="D371" i="15"/>
  <c r="D370" i="15"/>
  <c r="D369" i="15"/>
  <c r="D368" i="15"/>
  <c r="D367" i="15"/>
  <c r="D366" i="15"/>
  <c r="D365" i="15"/>
  <c r="D364" i="15"/>
  <c r="D363" i="15"/>
  <c r="D362" i="15"/>
  <c r="D361" i="15"/>
  <c r="D360" i="15"/>
  <c r="D359" i="15"/>
  <c r="D358" i="15"/>
  <c r="D357" i="15"/>
  <c r="D356" i="15"/>
  <c r="D355" i="15"/>
  <c r="D354" i="15"/>
  <c r="D353" i="15"/>
  <c r="D352" i="15"/>
  <c r="D351" i="15"/>
  <c r="D350" i="15"/>
  <c r="D619" i="15"/>
  <c r="D616" i="15"/>
  <c r="D614" i="15"/>
  <c r="D612" i="15"/>
  <c r="D610" i="15"/>
  <c r="D606" i="15"/>
  <c r="D604" i="15"/>
  <c r="D602" i="15"/>
  <c r="D599" i="15"/>
  <c r="D597" i="15"/>
  <c r="D595" i="15"/>
  <c r="D593" i="15"/>
  <c r="D591" i="15"/>
  <c r="D589" i="15"/>
  <c r="D587" i="15"/>
  <c r="D585" i="15"/>
  <c r="D583" i="15"/>
  <c r="D581" i="15"/>
  <c r="D579" i="15"/>
  <c r="D577" i="15"/>
  <c r="D574" i="15"/>
  <c r="D571" i="15"/>
  <c r="D569" i="15"/>
  <c r="D566" i="15"/>
  <c r="D349" i="15"/>
  <c r="D348" i="15"/>
  <c r="D347" i="15"/>
  <c r="D346" i="15"/>
  <c r="D345" i="15"/>
  <c r="D344" i="15"/>
  <c r="D343" i="15"/>
  <c r="D342" i="15"/>
  <c r="D341" i="15"/>
  <c r="D340" i="15"/>
  <c r="D339" i="15"/>
  <c r="D338" i="15"/>
  <c r="D337" i="15"/>
  <c r="D336" i="15"/>
  <c r="D335" i="15"/>
  <c r="D334" i="15"/>
  <c r="D333" i="15"/>
  <c r="D332" i="15"/>
  <c r="D331" i="15"/>
  <c r="D330" i="15"/>
  <c r="D329" i="15"/>
  <c r="D328" i="15"/>
  <c r="D327" i="15"/>
  <c r="D326" i="15"/>
  <c r="D325" i="15"/>
  <c r="D324" i="15"/>
  <c r="D323" i="15"/>
  <c r="D322" i="15"/>
  <c r="D321" i="15"/>
  <c r="D320" i="15"/>
  <c r="D319" i="15"/>
  <c r="D318" i="15"/>
  <c r="D317" i="15"/>
  <c r="D316" i="15"/>
  <c r="D315" i="15"/>
  <c r="D314" i="15"/>
  <c r="D313" i="15"/>
  <c r="D312" i="15"/>
  <c r="D311" i="15"/>
  <c r="D310" i="15"/>
  <c r="D309" i="15"/>
  <c r="D308" i="15"/>
  <c r="D307" i="15"/>
  <c r="D306" i="15"/>
  <c r="D305" i="15"/>
  <c r="D304" i="15"/>
  <c r="D303" i="15"/>
  <c r="D302" i="15"/>
  <c r="D301" i="15"/>
  <c r="D300" i="15"/>
  <c r="D299" i="15"/>
  <c r="D298" i="15"/>
  <c r="D297" i="15"/>
  <c r="D296" i="15"/>
  <c r="D295" i="15"/>
  <c r="D294" i="15"/>
  <c r="D293" i="15"/>
  <c r="D292" i="15"/>
  <c r="D291" i="15"/>
  <c r="D290" i="15"/>
  <c r="D289" i="15"/>
  <c r="D288" i="15"/>
  <c r="D287" i="15"/>
  <c r="D286" i="15"/>
  <c r="D285" i="15"/>
  <c r="D284" i="15"/>
  <c r="D283" i="15"/>
  <c r="D282" i="15"/>
  <c r="D281" i="15"/>
  <c r="D280" i="15"/>
  <c r="D279" i="15"/>
  <c r="D278" i="15"/>
  <c r="D277" i="15"/>
  <c r="D276" i="15"/>
  <c r="D275" i="15"/>
  <c r="D274" i="15"/>
  <c r="D273" i="15"/>
  <c r="D272" i="15"/>
  <c r="D271" i="15"/>
  <c r="D270" i="15"/>
  <c r="D269" i="15"/>
  <c r="D268" i="15"/>
  <c r="D267" i="15"/>
  <c r="D266" i="15"/>
  <c r="D265" i="15"/>
  <c r="D264" i="15"/>
  <c r="D263" i="15"/>
  <c r="D262" i="15"/>
  <c r="D261" i="15"/>
  <c r="D260" i="15"/>
  <c r="D259" i="15"/>
  <c r="D258" i="15"/>
  <c r="D257" i="15"/>
  <c r="D256" i="15"/>
  <c r="D255" i="15"/>
  <c r="D254" i="15"/>
  <c r="D253" i="15"/>
  <c r="D252" i="15"/>
  <c r="D251" i="15"/>
  <c r="D250" i="15"/>
  <c r="D249" i="15"/>
  <c r="D248" i="15"/>
  <c r="D247" i="15"/>
  <c r="D246" i="15"/>
  <c r="D245" i="15"/>
  <c r="D244" i="15"/>
  <c r="D243" i="15"/>
  <c r="D242" i="15"/>
  <c r="D241" i="15"/>
  <c r="D240" i="15"/>
  <c r="D239" i="15"/>
  <c r="D238" i="15"/>
  <c r="D237" i="15"/>
  <c r="D236" i="15"/>
  <c r="D235" i="15"/>
  <c r="D234" i="15"/>
  <c r="D233" i="15"/>
  <c r="D232" i="15"/>
  <c r="D231" i="15"/>
  <c r="D230" i="15"/>
  <c r="D229" i="15"/>
  <c r="D228" i="15"/>
  <c r="D227" i="15"/>
  <c r="D226" i="15"/>
  <c r="D225" i="15"/>
  <c r="D224" i="15"/>
  <c r="D223" i="15"/>
  <c r="D222" i="15"/>
  <c r="D221" i="15"/>
  <c r="D220" i="15"/>
  <c r="D219" i="15"/>
  <c r="D215" i="15"/>
  <c r="D211" i="15"/>
  <c r="D209" i="15"/>
  <c r="D200" i="15"/>
  <c r="D197" i="15"/>
  <c r="D196" i="15"/>
  <c r="D191" i="15"/>
  <c r="D186" i="15"/>
  <c r="D185" i="15"/>
  <c r="D184" i="15"/>
  <c r="D182" i="15"/>
  <c r="D180" i="15"/>
  <c r="D179" i="15"/>
  <c r="D177" i="15"/>
  <c r="D176" i="15"/>
  <c r="D175" i="15"/>
  <c r="D173" i="15"/>
  <c r="D169" i="15"/>
  <c r="D165" i="15"/>
  <c r="D164" i="15"/>
  <c r="D161" i="15"/>
  <c r="D160" i="15"/>
  <c r="D159" i="15"/>
  <c r="D155" i="15"/>
  <c r="D153" i="15"/>
  <c r="D149" i="15"/>
  <c r="D148" i="15"/>
  <c r="D147" i="15"/>
  <c r="D146" i="15"/>
  <c r="D145" i="15"/>
  <c r="D144" i="15"/>
  <c r="D143" i="15"/>
  <c r="D139" i="15"/>
  <c r="D136" i="15"/>
  <c r="D135" i="15"/>
  <c r="D134" i="15"/>
  <c r="D128" i="15"/>
  <c r="D127" i="15"/>
  <c r="D126" i="15"/>
  <c r="D124" i="15"/>
  <c r="D122" i="15"/>
  <c r="D121" i="15"/>
  <c r="D120" i="15"/>
  <c r="D115" i="15"/>
  <c r="D114" i="15"/>
  <c r="D113" i="15"/>
  <c r="D112" i="15"/>
  <c r="D111" i="15"/>
  <c r="D108" i="15"/>
  <c r="D105" i="15"/>
  <c r="D96" i="15"/>
  <c r="D92" i="15"/>
  <c r="D88" i="15"/>
  <c r="D84" i="15"/>
  <c r="D83" i="15"/>
  <c r="D80" i="15"/>
  <c r="D79" i="15"/>
  <c r="D76" i="15"/>
  <c r="D74" i="15"/>
  <c r="D72" i="15"/>
  <c r="D70" i="15"/>
  <c r="D67" i="15"/>
  <c r="D64" i="15"/>
  <c r="D61" i="15"/>
  <c r="D58" i="15"/>
  <c r="D104" i="15"/>
  <c r="D99" i="15"/>
  <c r="D93" i="15"/>
  <c r="D81" i="15"/>
  <c r="D77" i="15"/>
  <c r="D73" i="15"/>
  <c r="D68" i="15"/>
  <c r="D60" i="15"/>
  <c r="D56" i="15"/>
  <c r="D49" i="15"/>
  <c r="D46" i="15"/>
  <c r="D44" i="15"/>
  <c r="D41" i="15"/>
  <c r="D36" i="15"/>
  <c r="D32" i="15"/>
  <c r="D29" i="15"/>
  <c r="D26" i="15"/>
  <c r="D23" i="15"/>
  <c r="D90" i="15"/>
  <c r="D82" i="15"/>
  <c r="D78" i="15"/>
  <c r="D69" i="15"/>
  <c r="D54" i="15"/>
  <c r="D42" i="15"/>
  <c r="D38" i="15"/>
  <c r="D33" i="15"/>
  <c r="D25" i="15"/>
  <c r="D22" i="15"/>
  <c r="D441" i="15"/>
  <c r="B9" i="15"/>
  <c r="H102" i="15"/>
  <c r="H101" i="15"/>
  <c r="B13" i="15" s="1"/>
  <c r="B14" i="15" s="1"/>
  <c r="H107" i="15"/>
  <c r="H106" i="15"/>
  <c r="H109" i="15"/>
  <c r="H110" i="15"/>
  <c r="H116" i="15"/>
  <c r="H117" i="15"/>
  <c r="H124" i="15"/>
  <c r="H123" i="15"/>
  <c r="H125" i="15"/>
  <c r="H126" i="15"/>
  <c r="H130" i="15"/>
  <c r="H129" i="15"/>
  <c r="H138" i="15"/>
  <c r="H137" i="15"/>
  <c r="H141" i="15"/>
  <c r="H140" i="15"/>
  <c r="H151" i="15"/>
  <c r="H150" i="15"/>
  <c r="H155" i="15"/>
  <c r="H154" i="15"/>
  <c r="H156" i="15"/>
  <c r="H157" i="15"/>
  <c r="H163" i="15"/>
  <c r="H162" i="15"/>
  <c r="H167" i="15"/>
  <c r="H166" i="15"/>
  <c r="H171" i="15"/>
  <c r="H170" i="15"/>
  <c r="H175" i="15"/>
  <c r="H174" i="15"/>
  <c r="H178" i="15"/>
  <c r="H179" i="15"/>
  <c r="H181" i="15"/>
  <c r="H182" i="15"/>
  <c r="H184" i="15"/>
  <c r="H183" i="15"/>
  <c r="H188" i="15"/>
  <c r="H187" i="15"/>
  <c r="H193" i="15"/>
  <c r="H192" i="15"/>
  <c r="H199" i="15"/>
  <c r="H198" i="15"/>
  <c r="H202" i="15"/>
  <c r="H201" i="15"/>
  <c r="H211" i="15"/>
  <c r="H210" i="15"/>
  <c r="H213" i="15"/>
  <c r="H212" i="15"/>
  <c r="H217" i="15"/>
  <c r="H216" i="15"/>
  <c r="D505" i="14"/>
  <c r="D496" i="14"/>
  <c r="D466" i="14"/>
  <c r="D452" i="14"/>
  <c r="D442" i="14"/>
  <c r="D440" i="14"/>
  <c r="D439" i="14"/>
  <c r="D432" i="14"/>
  <c r="D429" i="14"/>
  <c r="D503" i="14"/>
  <c r="D490" i="14"/>
  <c r="D485" i="14"/>
  <c r="D459" i="14"/>
  <c r="D453" i="14"/>
  <c r="D446" i="14"/>
  <c r="D445" i="14"/>
  <c r="D436" i="14"/>
  <c r="D428" i="14"/>
  <c r="D424" i="14"/>
  <c r="D422" i="14"/>
  <c r="D416" i="14"/>
  <c r="D413" i="14"/>
  <c r="D501" i="14"/>
  <c r="D488" i="14"/>
  <c r="D482" i="14"/>
  <c r="D462" i="14"/>
  <c r="D421" i="14"/>
  <c r="D409" i="14"/>
  <c r="D405" i="14"/>
  <c r="D1008" i="14"/>
  <c r="D1007" i="14"/>
  <c r="D1006" i="14"/>
  <c r="D1005" i="14"/>
  <c r="D1004" i="14"/>
  <c r="D1003" i="14"/>
  <c r="D1002" i="14"/>
  <c r="D1001" i="14"/>
  <c r="D1000" i="14"/>
  <c r="D999" i="14"/>
  <c r="D998" i="14"/>
  <c r="D997" i="14"/>
  <c r="D996" i="14"/>
  <c r="D995" i="14"/>
  <c r="D994" i="14"/>
  <c r="D993" i="14"/>
  <c r="D992" i="14"/>
  <c r="D991" i="14"/>
  <c r="D990" i="14"/>
  <c r="D989" i="14"/>
  <c r="D988" i="14"/>
  <c r="D987" i="14"/>
  <c r="D986" i="14"/>
  <c r="D985" i="14"/>
  <c r="D984" i="14"/>
  <c r="D983" i="14"/>
  <c r="D982" i="14"/>
  <c r="D981" i="14"/>
  <c r="D980" i="14"/>
  <c r="D979" i="14"/>
  <c r="D978" i="14"/>
  <c r="D977" i="14"/>
  <c r="D976" i="14"/>
  <c r="D975" i="14"/>
  <c r="D974" i="14"/>
  <c r="D973" i="14"/>
  <c r="D972" i="14"/>
  <c r="D971" i="14"/>
  <c r="D970" i="14"/>
  <c r="D969" i="14"/>
  <c r="D968" i="14"/>
  <c r="D967" i="14"/>
  <c r="D966" i="14"/>
  <c r="D965" i="14"/>
  <c r="D964" i="14"/>
  <c r="D963" i="14"/>
  <c r="D962" i="14"/>
  <c r="D961" i="14"/>
  <c r="D960" i="14"/>
  <c r="D959" i="14"/>
  <c r="D958" i="14"/>
  <c r="D957" i="14"/>
  <c r="D956" i="14"/>
  <c r="D955" i="14"/>
  <c r="D953" i="14"/>
  <c r="D952" i="14"/>
  <c r="D951" i="14"/>
  <c r="D950" i="14"/>
  <c r="D949" i="14"/>
  <c r="D948" i="14"/>
  <c r="D947" i="14"/>
  <c r="D946" i="14"/>
  <c r="D945" i="14"/>
  <c r="D944" i="14"/>
  <c r="D943" i="14"/>
  <c r="D942" i="14"/>
  <c r="D941" i="14"/>
  <c r="D940" i="14"/>
  <c r="D939" i="14"/>
  <c r="D938" i="14"/>
  <c r="D937" i="14"/>
  <c r="D936" i="14"/>
  <c r="D935" i="14"/>
  <c r="D934" i="14"/>
  <c r="D933" i="14"/>
  <c r="D932" i="14"/>
  <c r="D931" i="14"/>
  <c r="D930" i="14"/>
  <c r="D929" i="14"/>
  <c r="D928" i="14"/>
  <c r="D927" i="14"/>
  <c r="D926" i="14"/>
  <c r="D925" i="14"/>
  <c r="D924" i="14"/>
  <c r="D923" i="14"/>
  <c r="D922" i="14"/>
  <c r="D921" i="14"/>
  <c r="D920" i="14"/>
  <c r="D919" i="14"/>
  <c r="D918" i="14"/>
  <c r="D917" i="14"/>
  <c r="D916" i="14"/>
  <c r="D915" i="14"/>
  <c r="D914" i="14"/>
  <c r="D913" i="14"/>
  <c r="D912" i="14"/>
  <c r="D911" i="14"/>
  <c r="D910" i="14"/>
  <c r="D909" i="14"/>
  <c r="D908" i="14"/>
  <c r="D907" i="14"/>
  <c r="D906" i="14"/>
  <c r="D905" i="14"/>
  <c r="D904" i="14"/>
  <c r="D903" i="14"/>
  <c r="D902" i="14"/>
  <c r="D901" i="14"/>
  <c r="D900" i="14"/>
  <c r="D899" i="14"/>
  <c r="D898" i="14"/>
  <c r="D897" i="14"/>
  <c r="D896" i="14"/>
  <c r="D895" i="14"/>
  <c r="D894" i="14"/>
  <c r="D893" i="14"/>
  <c r="D892" i="14"/>
  <c r="D891" i="14"/>
  <c r="D890" i="14"/>
  <c r="D889" i="14"/>
  <c r="D888" i="14"/>
  <c r="D887" i="14"/>
  <c r="D886" i="14"/>
  <c r="D885" i="14"/>
  <c r="D884" i="14"/>
  <c r="D883" i="14"/>
  <c r="D882" i="14"/>
  <c r="D881" i="14"/>
  <c r="D880" i="14"/>
  <c r="D879" i="14"/>
  <c r="D878" i="14"/>
  <c r="D877" i="14"/>
  <c r="D876" i="14"/>
  <c r="D875" i="14"/>
  <c r="D874" i="14"/>
  <c r="D873" i="14"/>
  <c r="D872" i="14"/>
  <c r="D871" i="14"/>
  <c r="D870" i="14"/>
  <c r="D869" i="14"/>
  <c r="D868" i="14"/>
  <c r="D867" i="14"/>
  <c r="D866" i="14"/>
  <c r="D865" i="14"/>
  <c r="D864" i="14"/>
  <c r="D863" i="14"/>
  <c r="D862" i="14"/>
  <c r="D861" i="14"/>
  <c r="D860" i="14"/>
  <c r="D859" i="14"/>
  <c r="D858" i="14"/>
  <c r="D857" i="14"/>
  <c r="D856" i="14"/>
  <c r="D855" i="14"/>
  <c r="D854" i="14"/>
  <c r="D853" i="14"/>
  <c r="D852" i="14"/>
  <c r="D851" i="14"/>
  <c r="D850" i="14"/>
  <c r="D849" i="14"/>
  <c r="D848" i="14"/>
  <c r="D847" i="14"/>
  <c r="D846" i="14"/>
  <c r="D845" i="14"/>
  <c r="D844" i="14"/>
  <c r="D843" i="14"/>
  <c r="D842" i="14"/>
  <c r="D841" i="14"/>
  <c r="D840" i="14"/>
  <c r="D839" i="14"/>
  <c r="D838" i="14"/>
  <c r="D837" i="14"/>
  <c r="D836" i="14"/>
  <c r="D835" i="14"/>
  <c r="D834" i="14"/>
  <c r="D833" i="14"/>
  <c r="D832" i="14"/>
  <c r="D831" i="14"/>
  <c r="D830" i="14"/>
  <c r="D829" i="14"/>
  <c r="D828" i="14"/>
  <c r="D827" i="14"/>
  <c r="D826" i="14"/>
  <c r="D825" i="14"/>
  <c r="D824" i="14"/>
  <c r="D823" i="14"/>
  <c r="D822" i="14"/>
  <c r="D821" i="14"/>
  <c r="D820" i="14"/>
  <c r="D819" i="14"/>
  <c r="D818" i="14"/>
  <c r="D817" i="14"/>
  <c r="D816" i="14"/>
  <c r="D815" i="14"/>
  <c r="D814" i="14"/>
  <c r="D813" i="14"/>
  <c r="D812" i="14"/>
  <c r="D811" i="14"/>
  <c r="D810" i="14"/>
  <c r="D809" i="14"/>
  <c r="D808" i="14"/>
  <c r="D807" i="14"/>
  <c r="D806" i="14"/>
  <c r="D805" i="14"/>
  <c r="D804" i="14"/>
  <c r="D803" i="14"/>
  <c r="D802" i="14"/>
  <c r="D801" i="14"/>
  <c r="D800" i="14"/>
  <c r="D799" i="14"/>
  <c r="D798" i="14"/>
  <c r="D797" i="14"/>
  <c r="D796" i="14"/>
  <c r="D795" i="14"/>
  <c r="D794" i="14"/>
  <c r="D793" i="14"/>
  <c r="D792" i="14"/>
  <c r="D791" i="14"/>
  <c r="D790" i="14"/>
  <c r="D789" i="14"/>
  <c r="D788" i="14"/>
  <c r="D787" i="14"/>
  <c r="D786" i="14"/>
  <c r="D785" i="14"/>
  <c r="D784" i="14"/>
  <c r="D783" i="14"/>
  <c r="D782" i="14"/>
  <c r="D781" i="14"/>
  <c r="D780" i="14"/>
  <c r="D779" i="14"/>
  <c r="D778" i="14"/>
  <c r="D777" i="14"/>
  <c r="D776" i="14"/>
  <c r="D775" i="14"/>
  <c r="D774" i="14"/>
  <c r="D773" i="14"/>
  <c r="D772" i="14"/>
  <c r="D771" i="14"/>
  <c r="D770" i="14"/>
  <c r="D769" i="14"/>
  <c r="D499" i="14"/>
  <c r="D497" i="14"/>
  <c r="D437" i="14"/>
  <c r="D419" i="14"/>
  <c r="D417" i="14"/>
  <c r="D768" i="14"/>
  <c r="D767" i="14"/>
  <c r="D766" i="14"/>
  <c r="D765" i="14"/>
  <c r="D764" i="14"/>
  <c r="D763" i="14"/>
  <c r="D762" i="14"/>
  <c r="D761" i="14"/>
  <c r="D760" i="14"/>
  <c r="D759" i="14"/>
  <c r="D758" i="14"/>
  <c r="D757" i="14"/>
  <c r="D756" i="14"/>
  <c r="D755" i="14"/>
  <c r="D754" i="14"/>
  <c r="D753" i="14"/>
  <c r="D752" i="14"/>
  <c r="D751" i="14"/>
  <c r="D750" i="14"/>
  <c r="D749" i="14"/>
  <c r="D748" i="14"/>
  <c r="D747" i="14"/>
  <c r="D746" i="14"/>
  <c r="D745" i="14"/>
  <c r="D744" i="14"/>
  <c r="D743" i="14"/>
  <c r="D742" i="14"/>
  <c r="D741" i="14"/>
  <c r="D740" i="14"/>
  <c r="D739" i="14"/>
  <c r="D738" i="14"/>
  <c r="D737" i="14"/>
  <c r="D736" i="14"/>
  <c r="D735" i="14"/>
  <c r="D734" i="14"/>
  <c r="D733" i="14"/>
  <c r="D732" i="14"/>
  <c r="D730" i="14"/>
  <c r="D727" i="14"/>
  <c r="D723" i="14"/>
  <c r="D722" i="14"/>
  <c r="D717" i="14"/>
  <c r="D716" i="14"/>
  <c r="D714" i="14"/>
  <c r="D713" i="14"/>
  <c r="D712" i="14"/>
  <c r="D710" i="14"/>
  <c r="D709" i="14"/>
  <c r="D708" i="14"/>
  <c r="D706" i="14"/>
  <c r="D705" i="14"/>
  <c r="D704" i="14"/>
  <c r="D703" i="14"/>
  <c r="D702" i="14"/>
  <c r="D701" i="14"/>
  <c r="D700" i="14"/>
  <c r="D697" i="14"/>
  <c r="D695" i="14"/>
  <c r="D694" i="14"/>
  <c r="D691" i="14"/>
  <c r="D690" i="14"/>
  <c r="D689" i="14"/>
  <c r="D688" i="14"/>
  <c r="D687" i="14"/>
  <c r="D686" i="14"/>
  <c r="D685" i="14"/>
  <c r="D684" i="14"/>
  <c r="D683" i="14"/>
  <c r="D682" i="14"/>
  <c r="D681" i="14"/>
  <c r="D680" i="14"/>
  <c r="D679" i="14"/>
  <c r="D678" i="14"/>
  <c r="D677" i="14"/>
  <c r="D676" i="14"/>
  <c r="D675" i="14"/>
  <c r="D674" i="14"/>
  <c r="D673" i="14"/>
  <c r="D672" i="14"/>
  <c r="D671" i="14"/>
  <c r="D670" i="14"/>
  <c r="D669" i="14"/>
  <c r="D668" i="14"/>
  <c r="D667" i="14"/>
  <c r="D666" i="14"/>
  <c r="D665" i="14"/>
  <c r="D664" i="14"/>
  <c r="D663" i="14"/>
  <c r="D662" i="14"/>
  <c r="D661" i="14"/>
  <c r="D660" i="14"/>
  <c r="D659" i="14"/>
  <c r="D658" i="14"/>
  <c r="D657" i="14"/>
  <c r="D656" i="14"/>
  <c r="D655" i="14"/>
  <c r="D654" i="14"/>
  <c r="D653" i="14"/>
  <c r="D652" i="14"/>
  <c r="D651" i="14"/>
  <c r="D650" i="14"/>
  <c r="D649" i="14"/>
  <c r="D648" i="14"/>
  <c r="D647" i="14"/>
  <c r="D646" i="14"/>
  <c r="D645" i="14"/>
  <c r="D644" i="14"/>
  <c r="D643" i="14"/>
  <c r="D642" i="14"/>
  <c r="D641" i="14"/>
  <c r="D640" i="14"/>
  <c r="D639" i="14"/>
  <c r="D638" i="14"/>
  <c r="D637" i="14"/>
  <c r="D636" i="14"/>
  <c r="D635" i="14"/>
  <c r="D634" i="14"/>
  <c r="D633" i="14"/>
  <c r="D632" i="14"/>
  <c r="D631" i="14"/>
  <c r="D630" i="14"/>
  <c r="D629" i="14"/>
  <c r="D628" i="14"/>
  <c r="D627" i="14"/>
  <c r="D626" i="14"/>
  <c r="D625" i="14"/>
  <c r="D624" i="14"/>
  <c r="D623" i="14"/>
  <c r="D622" i="14"/>
  <c r="D621" i="14"/>
  <c r="D620" i="14"/>
  <c r="D619" i="14"/>
  <c r="D618" i="14"/>
  <c r="D617" i="14"/>
  <c r="D616" i="14"/>
  <c r="D615" i="14"/>
  <c r="D614" i="14"/>
  <c r="D613" i="14"/>
  <c r="D612" i="14"/>
  <c r="D611" i="14"/>
  <c r="D610" i="14"/>
  <c r="D609" i="14"/>
  <c r="D608" i="14"/>
  <c r="D607" i="14"/>
  <c r="D606" i="14"/>
  <c r="D605" i="14"/>
  <c r="D604" i="14"/>
  <c r="D603" i="14"/>
  <c r="D602" i="14"/>
  <c r="D601" i="14"/>
  <c r="D600" i="14"/>
  <c r="D599" i="14"/>
  <c r="D598" i="14"/>
  <c r="D597" i="14"/>
  <c r="D596" i="14"/>
  <c r="D595" i="14"/>
  <c r="D594" i="14"/>
  <c r="D593" i="14"/>
  <c r="D592" i="14"/>
  <c r="D591" i="14"/>
  <c r="D590" i="14"/>
  <c r="D589" i="14"/>
  <c r="D588" i="14"/>
  <c r="D587" i="14"/>
  <c r="D586" i="14"/>
  <c r="D585" i="14"/>
  <c r="D584" i="14"/>
  <c r="D583" i="14"/>
  <c r="D582" i="14"/>
  <c r="D581" i="14"/>
  <c r="D580" i="14"/>
  <c r="D579" i="14"/>
  <c r="D578" i="14"/>
  <c r="D577" i="14"/>
  <c r="D576" i="14"/>
  <c r="D575" i="14"/>
  <c r="D574" i="14"/>
  <c r="D573" i="14"/>
  <c r="D572" i="14"/>
  <c r="D571" i="14"/>
  <c r="D570" i="14"/>
  <c r="D569" i="14"/>
  <c r="D568" i="14"/>
  <c r="D567" i="14"/>
  <c r="D566" i="14"/>
  <c r="D565" i="14"/>
  <c r="D564" i="14"/>
  <c r="D563" i="14"/>
  <c r="D562" i="14"/>
  <c r="D561" i="14"/>
  <c r="D560" i="14"/>
  <c r="D559" i="14"/>
  <c r="D558" i="14"/>
  <c r="D557" i="14"/>
  <c r="D556" i="14"/>
  <c r="D555" i="14"/>
  <c r="D554" i="14"/>
  <c r="D553" i="14"/>
  <c r="D552" i="14"/>
  <c r="D551" i="14"/>
  <c r="D550" i="14"/>
  <c r="D549" i="14"/>
  <c r="D548" i="14"/>
  <c r="D547" i="14"/>
  <c r="D546" i="14"/>
  <c r="D545" i="14"/>
  <c r="D544" i="14"/>
  <c r="D543" i="14"/>
  <c r="D542" i="14"/>
  <c r="D541" i="14"/>
  <c r="D540" i="14"/>
  <c r="D539" i="14"/>
  <c r="D538" i="14"/>
  <c r="D537" i="14"/>
  <c r="D536" i="14"/>
  <c r="D535" i="14"/>
  <c r="D534" i="14"/>
  <c r="D533" i="14"/>
  <c r="D532" i="14"/>
  <c r="D531" i="14"/>
  <c r="D530" i="14"/>
  <c r="D529" i="14"/>
  <c r="D528" i="14"/>
  <c r="D527" i="14"/>
  <c r="D526" i="14"/>
  <c r="D525" i="14"/>
  <c r="D524" i="14"/>
  <c r="D523" i="14"/>
  <c r="D522" i="14"/>
  <c r="D521" i="14"/>
  <c r="D520" i="14"/>
  <c r="D519" i="14"/>
  <c r="D518" i="14"/>
  <c r="D517" i="14"/>
  <c r="D516" i="14"/>
  <c r="D515" i="14"/>
  <c r="D514" i="14"/>
  <c r="D513" i="14"/>
  <c r="D512" i="14"/>
  <c r="D511" i="14"/>
  <c r="D510" i="14"/>
  <c r="D509" i="14"/>
  <c r="D508" i="14"/>
  <c r="D507" i="14"/>
  <c r="D506" i="14"/>
  <c r="D486" i="14"/>
  <c r="D477" i="14"/>
  <c r="D474" i="14"/>
  <c r="D468" i="14"/>
  <c r="D464" i="14"/>
  <c r="D461" i="14"/>
  <c r="D454" i="14"/>
  <c r="D447" i="14"/>
  <c r="D430" i="14"/>
  <c r="D426" i="14"/>
  <c r="D423" i="14"/>
  <c r="D412" i="14"/>
  <c r="D410" i="14"/>
  <c r="D407" i="14"/>
  <c r="D400" i="14"/>
  <c r="D391" i="14"/>
  <c r="D390" i="14"/>
  <c r="D389" i="14"/>
  <c r="D388" i="14"/>
  <c r="D387" i="14"/>
  <c r="D386" i="14"/>
  <c r="D385" i="14"/>
  <c r="D384" i="14"/>
  <c r="D383" i="14"/>
  <c r="D382" i="14"/>
  <c r="D381" i="14"/>
  <c r="D380" i="14"/>
  <c r="D379" i="14"/>
  <c r="D378" i="14"/>
  <c r="D377" i="14"/>
  <c r="D376" i="14"/>
  <c r="D375" i="14"/>
  <c r="D374" i="14"/>
  <c r="D373" i="14"/>
  <c r="D372" i="14"/>
  <c r="D371" i="14"/>
  <c r="D370" i="14"/>
  <c r="D369" i="14"/>
  <c r="D368" i="14"/>
  <c r="D367" i="14"/>
  <c r="D366" i="14"/>
  <c r="D365" i="14"/>
  <c r="D364" i="14"/>
  <c r="D363" i="14"/>
  <c r="D362" i="14"/>
  <c r="D361" i="14"/>
  <c r="D360" i="14"/>
  <c r="D359" i="14"/>
  <c r="D358" i="14"/>
  <c r="D357" i="14"/>
  <c r="D356" i="14"/>
  <c r="D355" i="14"/>
  <c r="D354" i="14"/>
  <c r="D353" i="14"/>
  <c r="D352" i="14"/>
  <c r="D351" i="14"/>
  <c r="D350" i="14"/>
  <c r="D349" i="14"/>
  <c r="D348" i="14"/>
  <c r="D347" i="14"/>
  <c r="D346" i="14"/>
  <c r="D345" i="14"/>
  <c r="D344" i="14"/>
  <c r="D343" i="14"/>
  <c r="D342" i="14"/>
  <c r="D341" i="14"/>
  <c r="D340" i="14"/>
  <c r="D339" i="14"/>
  <c r="D338" i="14"/>
  <c r="D337" i="14"/>
  <c r="D336" i="14"/>
  <c r="D335" i="14"/>
  <c r="D334" i="14"/>
  <c r="D333" i="14"/>
  <c r="D332" i="14"/>
  <c r="D331" i="14"/>
  <c r="D330" i="14"/>
  <c r="D329" i="14"/>
  <c r="D328" i="14"/>
  <c r="D327" i="14"/>
  <c r="D326" i="14"/>
  <c r="D325" i="14"/>
  <c r="D324" i="14"/>
  <c r="D323" i="14"/>
  <c r="D322" i="14"/>
  <c r="D321" i="14"/>
  <c r="D320" i="14"/>
  <c r="D319" i="14"/>
  <c r="D318" i="14"/>
  <c r="D317" i="14"/>
  <c r="D316" i="14"/>
  <c r="D315" i="14"/>
  <c r="D314" i="14"/>
  <c r="D313" i="14"/>
  <c r="D312" i="14"/>
  <c r="D311" i="14"/>
  <c r="D310" i="14"/>
  <c r="D309" i="14"/>
  <c r="D308" i="14"/>
  <c r="D307" i="14"/>
  <c r="D306" i="14"/>
  <c r="D305" i="14"/>
  <c r="D304" i="14"/>
  <c r="D303" i="14"/>
  <c r="D302" i="14"/>
  <c r="D301" i="14"/>
  <c r="D300" i="14"/>
  <c r="D299" i="14"/>
  <c r="D298" i="14"/>
  <c r="D297" i="14"/>
  <c r="D296" i="14"/>
  <c r="D295" i="14"/>
  <c r="D294" i="14"/>
  <c r="D293" i="14"/>
  <c r="D292" i="14"/>
  <c r="D291" i="14"/>
  <c r="D290" i="14"/>
  <c r="D289" i="14"/>
  <c r="D288" i="14"/>
  <c r="D287" i="14"/>
  <c r="D286" i="14"/>
  <c r="D285" i="14"/>
  <c r="D284" i="14"/>
  <c r="D283" i="14"/>
  <c r="D282" i="14"/>
  <c r="D281" i="14"/>
  <c r="D280" i="14"/>
  <c r="D279" i="14"/>
  <c r="D278" i="14"/>
  <c r="D277" i="14"/>
  <c r="D276" i="14"/>
  <c r="D275" i="14"/>
  <c r="D274" i="14"/>
  <c r="D273" i="14"/>
  <c r="D272" i="14"/>
  <c r="D271" i="14"/>
  <c r="D270" i="14"/>
  <c r="D269" i="14"/>
  <c r="D268" i="14"/>
  <c r="D267" i="14"/>
  <c r="D266" i="14"/>
  <c r="D265" i="14"/>
  <c r="D264" i="14"/>
  <c r="D263" i="14"/>
  <c r="D262" i="14"/>
  <c r="D261" i="14"/>
  <c r="D260" i="14"/>
  <c r="D259" i="14"/>
  <c r="D258" i="14"/>
  <c r="D257" i="14"/>
  <c r="D256" i="14"/>
  <c r="D255" i="14"/>
  <c r="D254" i="14"/>
  <c r="D253" i="14"/>
  <c r="D252" i="14"/>
  <c r="D492" i="14"/>
  <c r="D491" i="14"/>
  <c r="D487" i="14"/>
  <c r="D481" i="14"/>
  <c r="D465" i="14"/>
  <c r="D460" i="14"/>
  <c r="D457" i="14"/>
  <c r="D450" i="14"/>
  <c r="D433" i="14"/>
  <c r="D431" i="14"/>
  <c r="D418" i="14"/>
  <c r="D411" i="14"/>
  <c r="D406" i="14"/>
  <c r="D404" i="14"/>
  <c r="D402" i="14"/>
  <c r="D397" i="14"/>
  <c r="D396" i="14"/>
  <c r="D395" i="14"/>
  <c r="D394" i="14"/>
  <c r="D392" i="14"/>
  <c r="D251" i="14"/>
  <c r="D250" i="14"/>
  <c r="D248" i="14"/>
  <c r="D246" i="14"/>
  <c r="D244" i="14"/>
  <c r="D243" i="14"/>
  <c r="D241" i="14"/>
  <c r="D239" i="14"/>
  <c r="D234" i="14"/>
  <c r="D232" i="14"/>
  <c r="D231" i="14"/>
  <c r="D226" i="14"/>
  <c r="D225" i="14"/>
  <c r="D223" i="14"/>
  <c r="D222" i="14"/>
  <c r="D218" i="14"/>
  <c r="D215" i="14"/>
  <c r="D213" i="14"/>
  <c r="D210" i="14"/>
  <c r="D208" i="14"/>
  <c r="D207" i="14"/>
  <c r="D206" i="14"/>
  <c r="D203" i="14"/>
  <c r="D200" i="14"/>
  <c r="D197" i="14"/>
  <c r="D194" i="14"/>
  <c r="D191" i="14"/>
  <c r="D190" i="14"/>
  <c r="D189" i="14"/>
  <c r="D186" i="14"/>
  <c r="D185" i="14"/>
  <c r="D182" i="14"/>
  <c r="D181" i="14"/>
  <c r="D179" i="14"/>
  <c r="D177" i="14"/>
  <c r="D175" i="14"/>
  <c r="D174" i="14"/>
  <c r="D173" i="14"/>
  <c r="D172" i="14"/>
  <c r="D170" i="14"/>
  <c r="D169" i="14"/>
  <c r="D168" i="14"/>
  <c r="D167" i="14"/>
  <c r="D163" i="14"/>
  <c r="D161" i="14"/>
  <c r="D159" i="14"/>
  <c r="D158" i="14"/>
  <c r="D157" i="14"/>
  <c r="D155" i="14"/>
  <c r="D153" i="14"/>
  <c r="D147" i="14"/>
  <c r="D146" i="14"/>
  <c r="D144" i="14"/>
  <c r="D143" i="14"/>
  <c r="D142" i="14"/>
  <c r="D138" i="14"/>
  <c r="D136" i="14"/>
  <c r="D134" i="14"/>
  <c r="D133" i="14"/>
  <c r="D132" i="14"/>
  <c r="D130" i="14"/>
  <c r="D128" i="14"/>
  <c r="D127" i="14"/>
  <c r="D126" i="14"/>
  <c r="D124" i="14"/>
  <c r="D121" i="14"/>
  <c r="D119" i="14"/>
  <c r="D117" i="14"/>
  <c r="D115" i="14"/>
  <c r="D113" i="14"/>
  <c r="D111" i="14"/>
  <c r="D108" i="14"/>
  <c r="D106" i="14"/>
  <c r="D104" i="14"/>
  <c r="D102" i="14"/>
  <c r="D100" i="14"/>
  <c r="D99" i="14"/>
  <c r="D98" i="14"/>
  <c r="D94" i="14"/>
  <c r="D93" i="14"/>
  <c r="D90" i="14"/>
  <c r="D89" i="14"/>
  <c r="D88" i="14"/>
  <c r="D87" i="14"/>
  <c r="D86" i="14"/>
  <c r="D85" i="14"/>
  <c r="D79" i="14"/>
  <c r="D76" i="14"/>
  <c r="D74" i="14"/>
  <c r="D73" i="14"/>
  <c r="D72" i="14"/>
  <c r="D70" i="14"/>
  <c r="D68" i="14"/>
  <c r="D62" i="14"/>
  <c r="D57" i="14"/>
  <c r="D53" i="14"/>
  <c r="D48" i="14"/>
  <c r="D44" i="14"/>
  <c r="D504" i="14"/>
  <c r="D494" i="14"/>
  <c r="D471" i="14"/>
  <c r="D456" i="14"/>
  <c r="D455" i="14"/>
  <c r="D449" i="14"/>
  <c r="D408" i="14"/>
  <c r="D403" i="14"/>
  <c r="D401" i="14"/>
  <c r="D399" i="14"/>
  <c r="D398" i="14"/>
  <c r="D393" i="14"/>
  <c r="D249" i="14"/>
  <c r="D247" i="14"/>
  <c r="D245" i="14"/>
  <c r="D242" i="14"/>
  <c r="D240" i="14"/>
  <c r="D238" i="14"/>
  <c r="D237" i="14"/>
  <c r="D236" i="14"/>
  <c r="D235" i="14"/>
  <c r="D233" i="14"/>
  <c r="D230" i="14"/>
  <c r="D229" i="14"/>
  <c r="D228" i="14"/>
  <c r="D227" i="14"/>
  <c r="D224" i="14"/>
  <c r="D221" i="14"/>
  <c r="D220" i="14"/>
  <c r="D219" i="14"/>
  <c r="D217" i="14"/>
  <c r="D216" i="14"/>
  <c r="D214" i="14"/>
  <c r="D212" i="14"/>
  <c r="D211" i="14"/>
  <c r="D209" i="14"/>
  <c r="D205" i="14"/>
  <c r="D204" i="14"/>
  <c r="D202" i="14"/>
  <c r="D201" i="14"/>
  <c r="D199" i="14"/>
  <c r="D198" i="14"/>
  <c r="D196" i="14"/>
  <c r="D195" i="14"/>
  <c r="D193" i="14"/>
  <c r="D192" i="14"/>
  <c r="D188" i="14"/>
  <c r="D187" i="14"/>
  <c r="D184" i="14"/>
  <c r="D183" i="14"/>
  <c r="D180" i="14"/>
  <c r="D178" i="14"/>
  <c r="D176" i="14"/>
  <c r="D171" i="14"/>
  <c r="D166" i="14"/>
  <c r="D165" i="14"/>
  <c r="D164" i="14"/>
  <c r="D162" i="14"/>
  <c r="D160" i="14"/>
  <c r="D156" i="14"/>
  <c r="D154" i="14"/>
  <c r="D152" i="14"/>
  <c r="D151" i="14"/>
  <c r="D150" i="14"/>
  <c r="D149" i="14"/>
  <c r="D148" i="14"/>
  <c r="D145" i="14"/>
  <c r="D141" i="14"/>
  <c r="D140" i="14"/>
  <c r="D139" i="14"/>
  <c r="D137" i="14"/>
  <c r="D135" i="14"/>
  <c r="D131" i="14"/>
  <c r="D129" i="14"/>
  <c r="D125" i="14"/>
  <c r="D123" i="14"/>
  <c r="D122" i="14"/>
  <c r="D120" i="14"/>
  <c r="D118" i="14"/>
  <c r="D116" i="14"/>
  <c r="D114" i="14"/>
  <c r="D112" i="14"/>
  <c r="D110" i="14"/>
  <c r="D109" i="14"/>
  <c r="D107" i="14"/>
  <c r="D105" i="14"/>
  <c r="D103" i="14"/>
  <c r="D101" i="14"/>
  <c r="D97" i="14"/>
  <c r="D96" i="14"/>
  <c r="D95" i="14"/>
  <c r="D92" i="14"/>
  <c r="D91" i="14"/>
  <c r="D84" i="14"/>
  <c r="D83" i="14"/>
  <c r="D82" i="14"/>
  <c r="D81" i="14"/>
  <c r="D80" i="14"/>
  <c r="D78" i="14"/>
  <c r="D77" i="14"/>
  <c r="D75" i="14"/>
  <c r="D71" i="14"/>
  <c r="D69" i="14"/>
  <c r="D67" i="14"/>
  <c r="D66" i="14"/>
  <c r="D65" i="14"/>
  <c r="D64" i="14"/>
  <c r="D59" i="14"/>
  <c r="D55" i="14"/>
  <c r="D51" i="14"/>
  <c r="D49" i="14"/>
  <c r="D46" i="14"/>
  <c r="D42" i="14"/>
  <c r="D41" i="14"/>
  <c r="D40" i="14"/>
  <c r="D39" i="14"/>
  <c r="D37" i="14"/>
  <c r="D36" i="14"/>
  <c r="D34" i="14"/>
  <c r="D33" i="14"/>
  <c r="D32" i="14"/>
  <c r="D31" i="14"/>
  <c r="D30" i="14"/>
  <c r="D29" i="14"/>
  <c r="D27" i="14"/>
  <c r="D26" i="14"/>
  <c r="D24" i="14"/>
  <c r="D23" i="14"/>
  <c r="D22" i="14"/>
  <c r="D21" i="14"/>
  <c r="D502" i="14"/>
  <c r="D489" i="14"/>
  <c r="D484" i="14"/>
  <c r="D480" i="14"/>
  <c r="D475" i="14"/>
  <c r="D463" i="14"/>
  <c r="D498" i="14"/>
  <c r="D483" i="14"/>
  <c r="D479" i="14"/>
  <c r="D476" i="14"/>
  <c r="D472" i="14"/>
  <c r="D467" i="14"/>
  <c r="D458" i="14"/>
  <c r="D451" i="14"/>
  <c r="D444" i="14"/>
  <c r="D438" i="14"/>
  <c r="D434" i="14"/>
  <c r="D427" i="14"/>
  <c r="D425" i="14"/>
  <c r="D420" i="14"/>
  <c r="D415" i="14"/>
  <c r="D495" i="14"/>
  <c r="D493" i="14"/>
  <c r="D473" i="14"/>
  <c r="D469" i="14"/>
  <c r="D443" i="14"/>
  <c r="D441" i="14"/>
  <c r="D435" i="14"/>
  <c r="D500" i="14"/>
  <c r="D478" i="14"/>
  <c r="D470" i="14"/>
  <c r="D448" i="14"/>
  <c r="D414" i="14"/>
  <c r="D954" i="14"/>
  <c r="D63" i="14"/>
  <c r="B9" i="14"/>
  <c r="H26" i="14"/>
  <c r="H25" i="14"/>
  <c r="H29" i="14"/>
  <c r="H28" i="14"/>
  <c r="H36" i="14"/>
  <c r="H35" i="14"/>
  <c r="H38" i="14"/>
  <c r="H39" i="14"/>
  <c r="H44" i="14"/>
  <c r="H43" i="14"/>
  <c r="H46" i="14"/>
  <c r="H45" i="14"/>
  <c r="H48" i="14"/>
  <c r="H47" i="14"/>
  <c r="H50" i="14"/>
  <c r="H51" i="14"/>
  <c r="H53" i="14"/>
  <c r="H52" i="14"/>
  <c r="H55" i="14"/>
  <c r="H54" i="14"/>
  <c r="H57" i="14"/>
  <c r="H56" i="14"/>
  <c r="H58" i="14"/>
  <c r="H59" i="14"/>
  <c r="H61" i="14"/>
  <c r="H60" i="14"/>
  <c r="D409" i="13"/>
  <c r="D407" i="13"/>
  <c r="D405" i="13"/>
  <c r="D403" i="13"/>
  <c r="D401" i="13"/>
  <c r="D399" i="13"/>
  <c r="D398" i="13"/>
  <c r="D396" i="13"/>
  <c r="D394" i="13"/>
  <c r="D392" i="13"/>
  <c r="D390" i="13"/>
  <c r="D388" i="13"/>
  <c r="D386" i="13"/>
  <c r="D385" i="13"/>
  <c r="D383" i="13"/>
  <c r="D381" i="13"/>
  <c r="D379" i="13"/>
  <c r="D378" i="13"/>
  <c r="D377" i="13"/>
  <c r="D376" i="13"/>
  <c r="D375" i="13"/>
  <c r="D374" i="13"/>
  <c r="D373" i="13"/>
  <c r="D372" i="13"/>
  <c r="D371" i="13"/>
  <c r="D370" i="13"/>
  <c r="D369" i="13"/>
  <c r="D368" i="13"/>
  <c r="D367" i="13"/>
  <c r="D366" i="13"/>
  <c r="D365" i="13"/>
  <c r="D364" i="13"/>
  <c r="D363" i="13"/>
  <c r="D362" i="13"/>
  <c r="D361" i="13"/>
  <c r="D360" i="13"/>
  <c r="D359" i="13"/>
  <c r="D358" i="13"/>
  <c r="D357" i="13"/>
  <c r="D356" i="13"/>
  <c r="D355" i="13"/>
  <c r="D354" i="13"/>
  <c r="D353" i="13"/>
  <c r="D352" i="13"/>
  <c r="D351" i="13"/>
  <c r="D350" i="13"/>
  <c r="D349" i="13"/>
  <c r="D348" i="13"/>
  <c r="D347" i="13"/>
  <c r="D346" i="13"/>
  <c r="D345" i="13"/>
  <c r="D344" i="13"/>
  <c r="D343" i="13"/>
  <c r="D342" i="13"/>
  <c r="D341" i="13"/>
  <c r="D340" i="13"/>
  <c r="D339" i="13"/>
  <c r="D338" i="13"/>
  <c r="D337" i="13"/>
  <c r="D336" i="13"/>
  <c r="D335" i="13"/>
  <c r="D334" i="13"/>
  <c r="D333" i="13"/>
  <c r="D332" i="13"/>
  <c r="D331" i="13"/>
  <c r="D330" i="13"/>
  <c r="D329" i="13"/>
  <c r="D328" i="13"/>
  <c r="D327" i="13"/>
  <c r="D326" i="13"/>
  <c r="D325" i="13"/>
  <c r="D324" i="13"/>
  <c r="D323" i="13"/>
  <c r="D322" i="13"/>
  <c r="D321" i="13"/>
  <c r="D320" i="13"/>
  <c r="D319" i="13"/>
  <c r="D318" i="13"/>
  <c r="D317" i="13"/>
  <c r="D316" i="13"/>
  <c r="D315" i="13"/>
  <c r="D314" i="13"/>
  <c r="D313" i="13"/>
  <c r="D312" i="13"/>
  <c r="D311" i="13"/>
  <c r="D310" i="13"/>
  <c r="D309" i="13"/>
  <c r="D308" i="13"/>
  <c r="D307" i="13"/>
  <c r="D306" i="13"/>
  <c r="D305" i="13"/>
  <c r="D304" i="13"/>
  <c r="D303" i="13"/>
  <c r="D302" i="13"/>
  <c r="D301" i="13"/>
  <c r="D300" i="13"/>
  <c r="D299" i="13"/>
  <c r="D298" i="13"/>
  <c r="D297" i="13"/>
  <c r="D296" i="13"/>
  <c r="D295" i="13"/>
  <c r="D294" i="13"/>
  <c r="D293" i="13"/>
  <c r="D292" i="13"/>
  <c r="D291" i="13"/>
  <c r="D290" i="13"/>
  <c r="D289" i="13"/>
  <c r="D288" i="13"/>
  <c r="D287" i="13"/>
  <c r="D286" i="13"/>
  <c r="D285" i="13"/>
  <c r="D284" i="13"/>
  <c r="D283" i="13"/>
  <c r="D282" i="13"/>
  <c r="D281" i="13"/>
  <c r="D280" i="13"/>
  <c r="D279" i="13"/>
  <c r="D278" i="13"/>
  <c r="D277" i="13"/>
  <c r="D276" i="13"/>
  <c r="D275" i="13"/>
  <c r="D274" i="13"/>
  <c r="D273" i="13"/>
  <c r="D272" i="13"/>
  <c r="D271" i="13"/>
  <c r="D270" i="13"/>
  <c r="D269" i="13"/>
  <c r="D268" i="13"/>
  <c r="D267" i="13"/>
  <c r="D266" i="13"/>
  <c r="D265" i="13"/>
  <c r="D264" i="13"/>
  <c r="D263" i="13"/>
  <c r="D262" i="13"/>
  <c r="D261" i="13"/>
  <c r="D260" i="13"/>
  <c r="D259" i="13"/>
  <c r="D258" i="13"/>
  <c r="D257" i="13"/>
  <c r="D256" i="13"/>
  <c r="D255" i="13"/>
  <c r="D254" i="13"/>
  <c r="D253" i="13"/>
  <c r="D252" i="13"/>
  <c r="D251" i="13"/>
  <c r="D250" i="13"/>
  <c r="D249" i="13"/>
  <c r="D248" i="13"/>
  <c r="D247" i="13"/>
  <c r="D246" i="13"/>
  <c r="D245" i="13"/>
  <c r="D244" i="13"/>
  <c r="D243" i="13"/>
  <c r="D242" i="13"/>
  <c r="D241" i="13"/>
  <c r="D408" i="13"/>
  <c r="D406" i="13"/>
  <c r="D404" i="13"/>
  <c r="D402" i="13"/>
  <c r="D400" i="13"/>
  <c r="D397" i="13"/>
  <c r="D395" i="13"/>
  <c r="D393" i="13"/>
  <c r="D391" i="13"/>
  <c r="D389" i="13"/>
  <c r="D387" i="13"/>
  <c r="D384" i="13"/>
  <c r="D382" i="13"/>
  <c r="D380" i="13"/>
  <c r="D240" i="13"/>
  <c r="D239" i="13"/>
  <c r="D238" i="13"/>
  <c r="D237" i="13"/>
  <c r="D236" i="13"/>
  <c r="D235" i="13"/>
  <c r="D234" i="13"/>
  <c r="D233" i="13"/>
  <c r="D232" i="13"/>
  <c r="D231" i="13"/>
  <c r="D230" i="13"/>
  <c r="D229" i="13"/>
  <c r="D228" i="13"/>
  <c r="D227" i="13"/>
  <c r="D226" i="13"/>
  <c r="D225" i="13"/>
  <c r="D224" i="13"/>
  <c r="D223" i="13"/>
  <c r="D222" i="13"/>
  <c r="D221" i="13"/>
  <c r="D220" i="13"/>
  <c r="D219" i="13"/>
  <c r="D218" i="13"/>
  <c r="D217" i="13"/>
  <c r="D216" i="13"/>
  <c r="D215" i="13"/>
  <c r="D214" i="13"/>
  <c r="D213" i="13"/>
  <c r="D212" i="13"/>
  <c r="D211" i="13"/>
  <c r="D210" i="13"/>
  <c r="D209" i="13"/>
  <c r="D208" i="13"/>
  <c r="D207" i="13"/>
  <c r="D206" i="13"/>
  <c r="D205" i="13"/>
  <c r="D204" i="13"/>
  <c r="D203" i="13"/>
  <c r="D202" i="13"/>
  <c r="D201" i="13"/>
  <c r="D200" i="13"/>
  <c r="D199" i="13"/>
  <c r="D198" i="13"/>
  <c r="D197" i="13"/>
  <c r="D196" i="13"/>
  <c r="D195" i="13"/>
  <c r="D194" i="13"/>
  <c r="D193" i="13"/>
  <c r="D192" i="13"/>
  <c r="D191" i="13"/>
  <c r="D190" i="13"/>
  <c r="D189" i="13"/>
  <c r="D188" i="13"/>
  <c r="D186" i="13"/>
  <c r="D185" i="13"/>
  <c r="D184" i="13"/>
  <c r="D182" i="13"/>
  <c r="D180" i="13"/>
  <c r="D179" i="13"/>
  <c r="D177" i="13"/>
  <c r="D175" i="13"/>
  <c r="D174" i="13"/>
  <c r="D172" i="13"/>
  <c r="D168" i="13"/>
  <c r="D166" i="13"/>
  <c r="D164" i="13"/>
  <c r="D160" i="13"/>
  <c r="D159" i="13"/>
  <c r="D157" i="13"/>
  <c r="D154" i="13"/>
  <c r="D148" i="13"/>
  <c r="D146" i="13"/>
  <c r="D144" i="13"/>
  <c r="D141" i="13"/>
  <c r="D139" i="13"/>
  <c r="D136" i="13"/>
  <c r="D135" i="13"/>
  <c r="D134" i="13"/>
  <c r="D131" i="13"/>
  <c r="D129" i="13"/>
  <c r="D128" i="13"/>
  <c r="D126" i="13"/>
  <c r="D125" i="13"/>
  <c r="D122" i="13"/>
  <c r="D121" i="13"/>
  <c r="D120" i="13"/>
  <c r="D119" i="13"/>
  <c r="D116" i="13"/>
  <c r="D114" i="13"/>
  <c r="D113" i="13"/>
  <c r="D110" i="13"/>
  <c r="D109" i="13"/>
  <c r="D108" i="13"/>
  <c r="D106" i="13"/>
  <c r="D105" i="13"/>
  <c r="D104" i="13"/>
  <c r="D103" i="13"/>
  <c r="D99" i="13"/>
  <c r="D94" i="13"/>
  <c r="D92" i="13"/>
  <c r="D90" i="13"/>
  <c r="D88" i="13"/>
  <c r="D85" i="13"/>
  <c r="D81" i="13"/>
  <c r="D72" i="13"/>
  <c r="D69" i="13"/>
  <c r="D66" i="13"/>
  <c r="D64" i="13"/>
  <c r="D63" i="13"/>
  <c r="D61" i="13"/>
  <c r="D57" i="13"/>
  <c r="D56" i="13"/>
  <c r="D51" i="13"/>
  <c r="D49" i="13"/>
  <c r="D48" i="13"/>
  <c r="D47" i="13"/>
  <c r="D44" i="13"/>
  <c r="D43" i="13"/>
  <c r="D42" i="13"/>
  <c r="D41" i="13"/>
  <c r="D40" i="13"/>
  <c r="D39" i="13"/>
  <c r="D38" i="13"/>
  <c r="D37" i="13"/>
  <c r="D35" i="13"/>
  <c r="D31" i="13"/>
  <c r="D30" i="13"/>
  <c r="D29" i="13"/>
  <c r="D27" i="13"/>
  <c r="D28" i="13"/>
  <c r="D26" i="13"/>
  <c r="D25" i="13"/>
  <c r="D24" i="13"/>
  <c r="D23" i="13"/>
  <c r="D22" i="13"/>
  <c r="D21" i="13"/>
  <c r="D187" i="13"/>
  <c r="D153" i="13"/>
  <c r="D97" i="13"/>
  <c r="D96" i="13"/>
  <c r="D75" i="13"/>
  <c r="D73" i="13"/>
  <c r="D68" i="13"/>
  <c r="B9" i="13"/>
  <c r="H32" i="13"/>
  <c r="H33" i="13"/>
  <c r="H37" i="13"/>
  <c r="H36" i="13"/>
  <c r="H46" i="13"/>
  <c r="H45" i="13"/>
  <c r="H50" i="13"/>
  <c r="H51" i="13"/>
  <c r="H52" i="13"/>
  <c r="H53" i="13"/>
  <c r="H58" i="13"/>
  <c r="H59" i="13"/>
  <c r="H62" i="13"/>
  <c r="H63" i="13"/>
  <c r="H66" i="13"/>
  <c r="H65" i="13"/>
  <c r="H68" i="13"/>
  <c r="H67" i="13"/>
  <c r="H71" i="13"/>
  <c r="H70" i="13"/>
  <c r="H77" i="13"/>
  <c r="H76" i="13"/>
  <c r="H82" i="13"/>
  <c r="H83" i="13"/>
  <c r="H87" i="13"/>
  <c r="H86" i="13"/>
  <c r="H90" i="13"/>
  <c r="H89" i="13"/>
  <c r="H92" i="13"/>
  <c r="H91" i="13"/>
  <c r="H94" i="13"/>
  <c r="H93" i="13"/>
  <c r="H96" i="13"/>
  <c r="H95" i="13"/>
  <c r="H99" i="13"/>
  <c r="H98" i="13"/>
  <c r="H100" i="13"/>
  <c r="H101" i="13"/>
  <c r="H108" i="13"/>
  <c r="H107" i="13"/>
  <c r="H111" i="13"/>
  <c r="H112" i="13"/>
  <c r="H116" i="13"/>
  <c r="H115" i="13"/>
  <c r="H117" i="13"/>
  <c r="H118" i="13"/>
  <c r="H124" i="13"/>
  <c r="H123" i="13"/>
  <c r="H128" i="13"/>
  <c r="H127" i="13"/>
  <c r="H131" i="13"/>
  <c r="H130" i="13"/>
  <c r="H132" i="13"/>
  <c r="H133" i="13"/>
  <c r="H138" i="13"/>
  <c r="H137" i="13"/>
  <c r="H140" i="13"/>
  <c r="H141" i="13"/>
  <c r="H143" i="13"/>
  <c r="H142" i="13"/>
  <c r="H145" i="13"/>
  <c r="H146" i="13"/>
  <c r="H148" i="13"/>
  <c r="H147" i="13"/>
  <c r="H150" i="13"/>
  <c r="H149" i="13"/>
  <c r="H156" i="13"/>
  <c r="H155" i="13"/>
  <c r="H158" i="13"/>
  <c r="H159" i="13"/>
  <c r="H161" i="13"/>
  <c r="H162" i="13"/>
  <c r="H165" i="13"/>
  <c r="H166" i="13"/>
  <c r="H167" i="13"/>
  <c r="H168" i="13"/>
  <c r="H169" i="13"/>
  <c r="H170" i="13"/>
  <c r="H174" i="13"/>
  <c r="H173" i="13"/>
  <c r="H176" i="13"/>
  <c r="H177" i="13"/>
  <c r="H178" i="13"/>
  <c r="H179" i="13"/>
  <c r="H181" i="13"/>
  <c r="H182" i="13"/>
  <c r="H184" i="13"/>
  <c r="H183" i="13"/>
  <c r="H308" i="16"/>
  <c r="H307" i="16"/>
  <c r="H298" i="16"/>
  <c r="H306" i="16"/>
  <c r="H466" i="16"/>
  <c r="H353" i="16"/>
  <c r="H352" i="16"/>
  <c r="H351" i="16"/>
  <c r="H350" i="16"/>
  <c r="H349" i="16"/>
  <c r="H348" i="16"/>
  <c r="H347" i="16"/>
  <c r="H346" i="16"/>
  <c r="H345" i="16"/>
  <c r="H344" i="16"/>
  <c r="H343" i="16"/>
  <c r="H342" i="16"/>
  <c r="H341" i="16"/>
  <c r="H340" i="16"/>
  <c r="H339" i="16"/>
  <c r="H338" i="16"/>
  <c r="H337" i="16"/>
  <c r="H336" i="16"/>
  <c r="H335" i="16"/>
  <c r="H334" i="16"/>
  <c r="H333" i="16"/>
  <c r="H332" i="16"/>
  <c r="H331" i="16"/>
  <c r="H330" i="16"/>
  <c r="H329" i="16"/>
  <c r="H328" i="16"/>
  <c r="H327" i="16"/>
  <c r="H326" i="16"/>
  <c r="H325" i="16"/>
  <c r="H324" i="16"/>
  <c r="H323" i="16"/>
  <c r="H322" i="16"/>
  <c r="H321" i="16"/>
  <c r="H320" i="16"/>
  <c r="H319" i="16"/>
  <c r="H318" i="16"/>
  <c r="H317" i="16"/>
  <c r="H316" i="16"/>
  <c r="H315" i="16"/>
  <c r="H314" i="16"/>
  <c r="H313" i="16"/>
  <c r="H312" i="16"/>
  <c r="H311" i="16"/>
  <c r="H310" i="16"/>
  <c r="H257" i="16"/>
  <c r="H305" i="16"/>
  <c r="H304" i="16"/>
  <c r="H303" i="16"/>
  <c r="H302" i="16"/>
  <c r="H301" i="16"/>
  <c r="H297" i="16"/>
  <c r="H296" i="16"/>
  <c r="H295" i="16"/>
  <c r="H294" i="16"/>
  <c r="H293" i="16"/>
  <c r="H292" i="16"/>
  <c r="H291" i="16"/>
  <c r="H290" i="16"/>
  <c r="H289" i="16"/>
  <c r="H288" i="16"/>
  <c r="H287" i="16"/>
  <c r="H286" i="16"/>
  <c r="H285" i="16"/>
  <c r="H284" i="16"/>
  <c r="H283" i="16"/>
  <c r="H282" i="16"/>
  <c r="H281" i="16"/>
  <c r="H280" i="16"/>
  <c r="H279" i="16"/>
  <c r="H278" i="16"/>
  <c r="H277" i="16"/>
  <c r="H276" i="16"/>
  <c r="H275" i="16"/>
  <c r="H274" i="16"/>
  <c r="H273" i="16"/>
  <c r="H272" i="16"/>
  <c r="H271" i="16"/>
  <c r="H270" i="16"/>
  <c r="H269" i="16"/>
  <c r="H268" i="16"/>
  <c r="H267" i="16"/>
  <c r="H266" i="16"/>
  <c r="H265" i="16"/>
  <c r="H264" i="16"/>
  <c r="H263" i="16"/>
  <c r="H262" i="16"/>
  <c r="H261" i="16"/>
  <c r="H260" i="16"/>
  <c r="H259" i="16"/>
  <c r="H108" i="16"/>
  <c r="H109" i="16"/>
  <c r="H122" i="16"/>
  <c r="H123" i="16"/>
  <c r="H124" i="16"/>
  <c r="H125" i="16"/>
  <c r="H948" i="14"/>
  <c r="H942" i="14"/>
  <c r="H137" i="16"/>
  <c r="H161" i="16"/>
  <c r="H165" i="16"/>
  <c r="H166" i="16"/>
  <c r="H174" i="16"/>
  <c r="H202" i="16"/>
  <c r="H206" i="16"/>
  <c r="H213" i="16"/>
  <c r="H214" i="16"/>
  <c r="H215" i="16"/>
  <c r="H226" i="16"/>
  <c r="H233" i="16"/>
  <c r="H621" i="16"/>
  <c r="H622" i="16"/>
  <c r="H626" i="16"/>
  <c r="H631" i="16"/>
  <c r="H632" i="16"/>
  <c r="H633" i="16"/>
  <c r="H634" i="16"/>
  <c r="H638" i="16"/>
  <c r="H671" i="16"/>
  <c r="H672" i="16"/>
  <c r="H673" i="16"/>
  <c r="H674" i="16"/>
  <c r="H675" i="16"/>
  <c r="H676" i="16"/>
  <c r="H677" i="16"/>
  <c r="H683" i="16"/>
  <c r="H684" i="16"/>
  <c r="H685" i="16"/>
  <c r="H371" i="15"/>
  <c r="H367" i="15"/>
  <c r="H499" i="15"/>
  <c r="H498" i="15"/>
  <c r="H497" i="15"/>
  <c r="H496" i="15"/>
  <c r="H495" i="15"/>
  <c r="H494" i="15"/>
  <c r="H493" i="15"/>
  <c r="H492" i="15"/>
  <c r="H491" i="15"/>
  <c r="H490" i="15"/>
  <c r="H489" i="15"/>
  <c r="H488" i="15"/>
  <c r="H487" i="15"/>
  <c r="H486" i="15"/>
  <c r="H485" i="15"/>
  <c r="H484" i="15"/>
  <c r="H483" i="15"/>
  <c r="H482" i="15"/>
  <c r="H481" i="15"/>
  <c r="H480" i="15"/>
  <c r="H152" i="15"/>
  <c r="H172" i="15"/>
  <c r="H204" i="15"/>
  <c r="H218" i="15"/>
  <c r="H1006" i="14"/>
  <c r="H1005" i="14"/>
  <c r="H950" i="14"/>
  <c r="H945" i="14"/>
  <c r="H937" i="14"/>
  <c r="H936" i="14"/>
  <c r="H478" i="15"/>
  <c r="H526" i="15"/>
  <c r="H477" i="15"/>
  <c r="H476" i="15"/>
  <c r="H475" i="15"/>
  <c r="H474" i="15"/>
  <c r="H473" i="15"/>
  <c r="H472" i="15"/>
  <c r="H471" i="15"/>
  <c r="H470" i="15"/>
  <c r="H469" i="15"/>
  <c r="H468" i="15"/>
  <c r="H467" i="15"/>
  <c r="H466" i="15"/>
  <c r="H465" i="15"/>
  <c r="H464" i="15"/>
  <c r="H463" i="15"/>
  <c r="H462" i="15"/>
  <c r="H461" i="15"/>
  <c r="H460" i="15"/>
  <c r="H459" i="15"/>
  <c r="H458" i="15"/>
  <c r="H551" i="15"/>
  <c r="H457" i="15"/>
  <c r="H552" i="15"/>
  <c r="H456" i="15"/>
  <c r="H455" i="15"/>
  <c r="H454" i="15"/>
  <c r="H219" i="15"/>
  <c r="H453" i="15"/>
  <c r="H452" i="15"/>
  <c r="H451" i="15"/>
  <c r="H450" i="15"/>
  <c r="H449" i="15"/>
  <c r="H448" i="15"/>
  <c r="H447" i="15"/>
  <c r="H568" i="15"/>
  <c r="H446" i="15"/>
  <c r="H445" i="15"/>
  <c r="H444" i="15"/>
  <c r="H573" i="15"/>
  <c r="H443" i="15"/>
  <c r="H576" i="15"/>
  <c r="H610" i="15"/>
  <c r="H600" i="15"/>
  <c r="H605" i="15"/>
  <c r="H601" i="15"/>
  <c r="H603" i="15"/>
  <c r="H602" i="15"/>
  <c r="H599" i="15"/>
  <c r="H598" i="15"/>
  <c r="H607" i="15"/>
  <c r="H597" i="15"/>
  <c r="H608" i="15"/>
  <c r="H609" i="15"/>
  <c r="H394" i="15"/>
  <c r="H393" i="15"/>
  <c r="H392" i="15"/>
  <c r="H391" i="15"/>
  <c r="H390" i="15"/>
  <c r="H388" i="15"/>
  <c r="H387" i="15"/>
  <c r="H132" i="15"/>
  <c r="H189" i="15"/>
  <c r="H190" i="15"/>
  <c r="H195" i="15"/>
  <c r="H1007" i="14"/>
  <c r="H955" i="14"/>
  <c r="H947" i="14"/>
  <c r="H944" i="14"/>
  <c r="H938" i="14"/>
  <c r="H933" i="14"/>
  <c r="H594" i="15"/>
  <c r="H269" i="15"/>
  <c r="H593" i="15"/>
  <c r="H611" i="15"/>
  <c r="H613" i="15"/>
  <c r="H590" i="15"/>
  <c r="H378" i="15"/>
  <c r="H380" i="15"/>
  <c r="H617" i="15"/>
  <c r="H276" i="15"/>
  <c r="H586" i="15"/>
  <c r="H618" i="15"/>
  <c r="H585" i="15"/>
  <c r="H584" i="15"/>
  <c r="H582" i="15"/>
  <c r="H619" i="15"/>
  <c r="H581" i="15"/>
  <c r="H580" i="15"/>
  <c r="H579" i="15"/>
  <c r="H577" i="15"/>
  <c r="H575" i="15"/>
  <c r="H503" i="15"/>
  <c r="H502" i="15"/>
  <c r="H500" i="15"/>
  <c r="H289" i="15"/>
  <c r="H574" i="15"/>
  <c r="H572" i="15"/>
  <c r="H570" i="15"/>
  <c r="H567" i="15"/>
  <c r="H564" i="15"/>
  <c r="H563" i="15"/>
  <c r="H562" i="15"/>
  <c r="H561" i="15"/>
  <c r="H560" i="15"/>
  <c r="H549" i="15"/>
  <c r="H548" i="15"/>
  <c r="H547" i="15"/>
  <c r="H545" i="15"/>
  <c r="H544" i="15"/>
  <c r="H441" i="15"/>
  <c r="H440" i="15"/>
  <c r="H439" i="15"/>
  <c r="H438" i="15"/>
  <c r="H377" i="15"/>
  <c r="H376" i="15"/>
  <c r="H309" i="15"/>
  <c r="H375" i="15"/>
  <c r="H374" i="15"/>
  <c r="H373" i="15"/>
  <c r="H372" i="15"/>
  <c r="H437" i="15"/>
  <c r="H436" i="15"/>
  <c r="H435" i="15"/>
  <c r="H434" i="15"/>
  <c r="H433" i="15"/>
  <c r="H432" i="15"/>
  <c r="H431" i="15"/>
  <c r="H430" i="15"/>
  <c r="H429" i="15"/>
  <c r="H428" i="15"/>
  <c r="H427" i="15"/>
  <c r="H426" i="15"/>
  <c r="H425" i="15"/>
  <c r="H424" i="15"/>
  <c r="H423" i="15"/>
  <c r="H422" i="15"/>
  <c r="H421" i="15"/>
  <c r="H420" i="15"/>
  <c r="H419" i="15"/>
  <c r="H418" i="15"/>
  <c r="H417" i="15"/>
  <c r="H416" i="15"/>
  <c r="H415" i="15"/>
  <c r="H414" i="15"/>
  <c r="H413" i="15"/>
  <c r="H412" i="15"/>
  <c r="H411" i="15"/>
  <c r="H410" i="15"/>
  <c r="H409" i="15"/>
  <c r="H408" i="15"/>
  <c r="H407" i="15"/>
  <c r="H406" i="15"/>
  <c r="H405" i="15"/>
  <c r="H404" i="15"/>
  <c r="H403" i="15"/>
  <c r="H402" i="15"/>
  <c r="H401" i="15"/>
  <c r="H400" i="15"/>
  <c r="H399" i="15"/>
  <c r="H398" i="15"/>
  <c r="H397" i="15"/>
  <c r="H396" i="15"/>
  <c r="H389" i="15"/>
  <c r="H119" i="15"/>
  <c r="H131" i="15"/>
  <c r="H133" i="15"/>
  <c r="H158" i="15"/>
  <c r="H168" i="15"/>
  <c r="H194" i="15"/>
  <c r="H203" i="15"/>
  <c r="H205" i="15"/>
  <c r="H206" i="15"/>
  <c r="H207" i="15"/>
  <c r="H208" i="15"/>
  <c r="H957" i="14"/>
  <c r="H956" i="14"/>
  <c r="H954" i="14"/>
  <c r="H952" i="14"/>
  <c r="H941" i="14"/>
  <c r="H939" i="14"/>
  <c r="H935" i="14"/>
  <c r="H934" i="14"/>
  <c r="H151" i="13"/>
  <c r="H100" i="14"/>
  <c r="H1003" i="14"/>
  <c r="H1002" i="14"/>
  <c r="H1001" i="14"/>
  <c r="H1000" i="14"/>
  <c r="H999" i="14"/>
  <c r="H998" i="14"/>
  <c r="H997" i="14"/>
  <c r="H996" i="14"/>
  <c r="H995" i="14"/>
  <c r="H994" i="14"/>
  <c r="H993" i="14"/>
  <c r="H992" i="14"/>
  <c r="H991" i="14"/>
  <c r="H990" i="14"/>
  <c r="H989" i="14"/>
  <c r="H988" i="14"/>
  <c r="H987" i="14"/>
  <c r="H986" i="14"/>
  <c r="H985" i="14"/>
  <c r="H984" i="14"/>
  <c r="H983" i="14"/>
  <c r="H982" i="14"/>
  <c r="H981" i="14"/>
  <c r="H980" i="14"/>
  <c r="H979" i="14"/>
  <c r="H978" i="14"/>
  <c r="H977" i="14"/>
  <c r="H976" i="14"/>
  <c r="H975" i="14"/>
  <c r="H974" i="14"/>
  <c r="H973" i="14"/>
  <c r="H972" i="14"/>
  <c r="H971" i="14"/>
  <c r="H970" i="14"/>
  <c r="H969" i="14"/>
  <c r="H968" i="14"/>
  <c r="H967" i="14"/>
  <c r="H966" i="14"/>
  <c r="H965" i="14"/>
  <c r="H964" i="14"/>
  <c r="H963" i="14"/>
  <c r="H962" i="14"/>
  <c r="H961" i="14"/>
  <c r="H960" i="14"/>
  <c r="H959" i="14"/>
  <c r="H930" i="14"/>
  <c r="H174" i="14"/>
  <c r="H929" i="14"/>
  <c r="H928" i="14"/>
  <c r="H927" i="14"/>
  <c r="H926" i="14"/>
  <c r="H925" i="14"/>
  <c r="H924" i="14"/>
  <c r="H923" i="14"/>
  <c r="H922" i="14"/>
  <c r="H921" i="14"/>
  <c r="H920" i="14"/>
  <c r="H919" i="14"/>
  <c r="H918" i="14"/>
  <c r="H917" i="14"/>
  <c r="H93" i="14"/>
  <c r="H916" i="14"/>
  <c r="H915" i="14"/>
  <c r="H189" i="14"/>
  <c r="H914" i="14"/>
  <c r="H913" i="14"/>
  <c r="H912" i="14"/>
  <c r="H911" i="14"/>
  <c r="H910" i="14"/>
  <c r="H909" i="14"/>
  <c r="H908" i="14"/>
  <c r="H907" i="14"/>
  <c r="H906" i="14"/>
  <c r="H905" i="14"/>
  <c r="H904" i="14"/>
  <c r="H903" i="14"/>
  <c r="H902" i="14"/>
  <c r="H901" i="14"/>
  <c r="H900" i="14"/>
  <c r="H899" i="14"/>
  <c r="H898" i="14"/>
  <c r="H897" i="14"/>
  <c r="H896" i="14"/>
  <c r="H895" i="14"/>
  <c r="H894" i="14"/>
  <c r="H893" i="14"/>
  <c r="H892" i="14"/>
  <c r="H891" i="14"/>
  <c r="H890" i="14"/>
  <c r="H889" i="14"/>
  <c r="H888" i="14"/>
  <c r="H887" i="14"/>
  <c r="H886" i="14"/>
  <c r="H885" i="14"/>
  <c r="H884" i="14"/>
  <c r="H883" i="14"/>
  <c r="H882" i="14"/>
  <c r="H881" i="14"/>
  <c r="H880" i="14"/>
  <c r="H879" i="14"/>
  <c r="H878" i="14"/>
  <c r="H877" i="14"/>
  <c r="H876" i="14"/>
  <c r="H875" i="14"/>
  <c r="H874" i="14"/>
  <c r="H873" i="14"/>
  <c r="H872" i="14"/>
  <c r="H871" i="14"/>
  <c r="H870" i="14"/>
  <c r="H869" i="14"/>
  <c r="H868" i="14"/>
  <c r="H867" i="14"/>
  <c r="H866" i="14"/>
  <c r="H865" i="14"/>
  <c r="H864" i="14"/>
  <c r="H863" i="14"/>
  <c r="H862" i="14"/>
  <c r="H861" i="14"/>
  <c r="H860" i="14"/>
  <c r="H859" i="14"/>
  <c r="H858" i="14"/>
  <c r="H771" i="14"/>
  <c r="H769" i="14"/>
  <c r="H767" i="14"/>
  <c r="H766" i="14"/>
  <c r="H764" i="14"/>
  <c r="H762" i="14"/>
  <c r="H761" i="14"/>
  <c r="H759" i="14"/>
  <c r="H612" i="14"/>
  <c r="H610" i="14"/>
  <c r="H608" i="14"/>
  <c r="H607" i="14"/>
  <c r="H595" i="14"/>
  <c r="H594" i="14"/>
  <c r="H591" i="14"/>
  <c r="H586" i="14"/>
  <c r="H584" i="14"/>
  <c r="H581" i="14"/>
  <c r="H580" i="14"/>
  <c r="H163" i="13"/>
  <c r="H856" i="14"/>
  <c r="H248" i="14"/>
  <c r="H855" i="14"/>
  <c r="H854" i="14"/>
  <c r="H853" i="14"/>
  <c r="H852" i="14"/>
  <c r="H851" i="14"/>
  <c r="H850" i="14"/>
  <c r="H849" i="14"/>
  <c r="H848" i="14"/>
  <c r="H847" i="14"/>
  <c r="H846" i="14"/>
  <c r="H845" i="14"/>
  <c r="H844" i="14"/>
  <c r="H843" i="14"/>
  <c r="H842" i="14"/>
  <c r="H841" i="14"/>
  <c r="H840" i="14"/>
  <c r="H839" i="14"/>
  <c r="H838" i="14"/>
  <c r="H837" i="14"/>
  <c r="H836" i="14"/>
  <c r="H835" i="14"/>
  <c r="H834" i="14"/>
  <c r="H833" i="14"/>
  <c r="H832" i="14"/>
  <c r="H831" i="14"/>
  <c r="H830" i="14"/>
  <c r="H829" i="14"/>
  <c r="H828" i="14"/>
  <c r="H827" i="14"/>
  <c r="H826" i="14"/>
  <c r="H825" i="14"/>
  <c r="H824" i="14"/>
  <c r="H823" i="14"/>
  <c r="H822" i="14"/>
  <c r="H821" i="14"/>
  <c r="H820" i="14"/>
  <c r="H819" i="14"/>
  <c r="H818" i="14"/>
  <c r="H817" i="14"/>
  <c r="H700" i="14"/>
  <c r="H816" i="14"/>
  <c r="H703" i="14"/>
  <c r="H707" i="14"/>
  <c r="H815" i="14"/>
  <c r="H716" i="14"/>
  <c r="H814" i="14"/>
  <c r="H813" i="14"/>
  <c r="H721" i="14"/>
  <c r="H812" i="14"/>
  <c r="H722" i="14"/>
  <c r="H811" i="14"/>
  <c r="H810" i="14"/>
  <c r="H809" i="14"/>
  <c r="H808" i="14"/>
  <c r="H807" i="14"/>
  <c r="H806" i="14"/>
  <c r="H805" i="14"/>
  <c r="H804" i="14"/>
  <c r="H803" i="14"/>
  <c r="H802" i="14"/>
  <c r="H801" i="14"/>
  <c r="H800" i="14"/>
  <c r="H799" i="14"/>
  <c r="H798" i="14"/>
  <c r="H797" i="14"/>
  <c r="H796" i="14"/>
  <c r="H795" i="14"/>
  <c r="H794" i="14"/>
  <c r="H793" i="14"/>
  <c r="H792" i="14"/>
  <c r="H791" i="14"/>
  <c r="H790" i="14"/>
  <c r="H789" i="14"/>
  <c r="H788" i="14"/>
  <c r="H787" i="14"/>
  <c r="H786" i="14"/>
  <c r="H785" i="14"/>
  <c r="H784" i="14"/>
  <c r="H783" i="14"/>
  <c r="H782" i="14"/>
  <c r="H781" i="14"/>
  <c r="H780" i="14"/>
  <c r="H779" i="14"/>
  <c r="H778" i="14"/>
  <c r="H777" i="14"/>
  <c r="H776" i="14"/>
  <c r="H775" i="14"/>
  <c r="H774" i="14"/>
  <c r="H773" i="14"/>
  <c r="H772" i="14"/>
  <c r="H770" i="14"/>
  <c r="H765" i="14"/>
  <c r="H760" i="14"/>
  <c r="H758" i="14"/>
  <c r="H616" i="14"/>
  <c r="H613" i="14"/>
  <c r="H606" i="14"/>
  <c r="H605" i="14"/>
  <c r="H601" i="14"/>
  <c r="H599" i="14"/>
  <c r="H598" i="14"/>
  <c r="H596" i="14"/>
  <c r="H592" i="14"/>
  <c r="H588" i="14"/>
  <c r="H583" i="14"/>
  <c r="H152" i="13"/>
  <c r="H756" i="14"/>
  <c r="H755" i="14"/>
  <c r="H754" i="14"/>
  <c r="H753" i="14"/>
  <c r="H752" i="14"/>
  <c r="H751" i="14"/>
  <c r="H750" i="14"/>
  <c r="H749" i="14"/>
  <c r="H748" i="14"/>
  <c r="H747" i="14"/>
  <c r="H746" i="14"/>
  <c r="H745" i="14"/>
  <c r="H744" i="14"/>
  <c r="H743" i="14"/>
  <c r="H742" i="14"/>
  <c r="H741" i="14"/>
  <c r="H740" i="14"/>
  <c r="H739" i="14"/>
  <c r="H738" i="14"/>
  <c r="H737" i="14"/>
  <c r="H736" i="14"/>
  <c r="H735" i="14"/>
  <c r="H734" i="14"/>
  <c r="H733" i="14"/>
  <c r="H732" i="14"/>
  <c r="H91" i="14"/>
  <c r="H90" i="14"/>
  <c r="H89" i="14"/>
  <c r="H88" i="14"/>
  <c r="H87" i="14"/>
  <c r="H86" i="14"/>
  <c r="H85" i="14"/>
  <c r="H731" i="14"/>
  <c r="H84" i="14"/>
  <c r="H723" i="14"/>
  <c r="H83" i="14"/>
  <c r="H714" i="14"/>
  <c r="H286" i="14"/>
  <c r="H713" i="14"/>
  <c r="H712" i="14"/>
  <c r="H711" i="14"/>
  <c r="H710" i="14"/>
  <c r="H709" i="14"/>
  <c r="H708" i="14"/>
  <c r="H697" i="14"/>
  <c r="H696" i="14"/>
  <c r="H695" i="14"/>
  <c r="H694" i="14"/>
  <c r="H693" i="14"/>
  <c r="H692" i="14"/>
  <c r="H691" i="14"/>
  <c r="H690" i="14"/>
  <c r="H689" i="14"/>
  <c r="H688" i="14"/>
  <c r="H687" i="14"/>
  <c r="H686" i="14"/>
  <c r="H685" i="14"/>
  <c r="H684" i="14"/>
  <c r="H683" i="14"/>
  <c r="H682" i="14"/>
  <c r="H681" i="14"/>
  <c r="H680" i="14"/>
  <c r="H679" i="14"/>
  <c r="H678" i="14"/>
  <c r="H677" i="14"/>
  <c r="H676" i="14"/>
  <c r="H675" i="14"/>
  <c r="H674" i="14"/>
  <c r="H673" i="14"/>
  <c r="H672" i="14"/>
  <c r="H671" i="14"/>
  <c r="H670" i="14"/>
  <c r="H669" i="14"/>
  <c r="H668" i="14"/>
  <c r="H667" i="14"/>
  <c r="H666" i="14"/>
  <c r="H665" i="14"/>
  <c r="H664" i="14"/>
  <c r="H663" i="14"/>
  <c r="H662" i="14"/>
  <c r="H661" i="14"/>
  <c r="H660" i="14"/>
  <c r="H659" i="14"/>
  <c r="H658" i="14"/>
  <c r="H657" i="14"/>
  <c r="H656" i="14"/>
  <c r="H655" i="14"/>
  <c r="H654" i="14"/>
  <c r="H653" i="14"/>
  <c r="H652" i="14"/>
  <c r="H651" i="14"/>
  <c r="H650" i="14"/>
  <c r="H648" i="14"/>
  <c r="H647" i="14"/>
  <c r="H646" i="14"/>
  <c r="H644" i="14"/>
  <c r="H642" i="14"/>
  <c r="H640" i="14"/>
  <c r="H638" i="14"/>
  <c r="H637" i="14"/>
  <c r="H636" i="14"/>
  <c r="H635" i="14"/>
  <c r="H633" i="14"/>
  <c r="H632" i="14"/>
  <c r="H631" i="14"/>
  <c r="H629" i="14"/>
  <c r="H628" i="14"/>
  <c r="H627" i="14"/>
  <c r="H625" i="14"/>
  <c r="H623" i="14"/>
  <c r="H621" i="14"/>
  <c r="H619" i="14"/>
  <c r="H617" i="14"/>
  <c r="H614" i="14"/>
  <c r="H611" i="14"/>
  <c r="H602" i="14"/>
  <c r="H590" i="14"/>
  <c r="H587" i="14"/>
  <c r="H84" i="13"/>
  <c r="H641" i="14"/>
  <c r="H634" i="14"/>
  <c r="H630" i="14"/>
  <c r="H620" i="14"/>
  <c r="H410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4" i="13"/>
  <c r="H55" i="13"/>
  <c r="H60" i="13"/>
  <c r="H78" i="13"/>
  <c r="H79" i="13"/>
  <c r="H484" i="14"/>
  <c r="H78" i="14"/>
  <c r="H730" i="14"/>
  <c r="H728" i="14"/>
  <c r="H727" i="14"/>
  <c r="H726" i="14"/>
  <c r="H725" i="14"/>
  <c r="H724" i="14"/>
  <c r="H720" i="14"/>
  <c r="H719" i="14"/>
  <c r="H718" i="14"/>
  <c r="H717" i="14"/>
  <c r="H715" i="14"/>
  <c r="H702" i="14"/>
  <c r="H699" i="14"/>
  <c r="H698" i="14"/>
  <c r="H508" i="14"/>
  <c r="H507" i="14"/>
  <c r="H34" i="13"/>
  <c r="D136" i="16"/>
  <c r="D137" i="16"/>
  <c r="D139" i="16"/>
  <c r="D143" i="16"/>
  <c r="D145" i="16"/>
  <c r="D149" i="16"/>
  <c r="D152" i="16"/>
  <c r="D153" i="16"/>
  <c r="D156" i="16"/>
  <c r="D159" i="16"/>
  <c r="D160" i="16"/>
  <c r="D161" i="16"/>
  <c r="D163" i="16"/>
  <c r="D164" i="16"/>
  <c r="D165" i="16"/>
  <c r="D166" i="16"/>
  <c r="D168" i="16"/>
  <c r="D170" i="16"/>
  <c r="D172" i="16"/>
  <c r="D173" i="16"/>
  <c r="D174" i="16"/>
  <c r="D176" i="16"/>
  <c r="D177" i="16"/>
  <c r="D179" i="16"/>
  <c r="D182" i="16"/>
  <c r="D184" i="16"/>
  <c r="D189" i="16"/>
  <c r="D190" i="16"/>
  <c r="D195" i="16"/>
  <c r="D197" i="16"/>
  <c r="D198" i="16"/>
  <c r="D200" i="16"/>
  <c r="D201" i="16"/>
  <c r="D202" i="16"/>
  <c r="D204" i="16"/>
  <c r="D205" i="16"/>
  <c r="D206" i="16"/>
  <c r="D208" i="16"/>
  <c r="D209" i="16"/>
  <c r="D211" i="16"/>
  <c r="D212" i="16"/>
  <c r="D213" i="16"/>
  <c r="D214" i="16"/>
  <c r="D215" i="16"/>
  <c r="D218" i="16"/>
  <c r="D219" i="16"/>
  <c r="D221" i="16"/>
  <c r="D224" i="16"/>
  <c r="D225" i="16"/>
  <c r="D226" i="16"/>
  <c r="D229" i="16"/>
  <c r="D231" i="16"/>
  <c r="D232" i="16"/>
  <c r="D233" i="16"/>
  <c r="D235" i="16"/>
  <c r="D578" i="16"/>
  <c r="D612" i="16"/>
  <c r="D613" i="16"/>
  <c r="D615" i="16"/>
  <c r="D617" i="16"/>
  <c r="D619" i="16"/>
  <c r="D620" i="16"/>
  <c r="D621" i="16"/>
  <c r="D622" i="16"/>
  <c r="D624" i="16"/>
  <c r="D625" i="16"/>
  <c r="D626" i="16"/>
  <c r="D629" i="16"/>
  <c r="D630" i="16"/>
  <c r="D631" i="16"/>
  <c r="D632" i="16"/>
  <c r="D633" i="16"/>
  <c r="D634" i="16"/>
  <c r="D636" i="16"/>
  <c r="D637" i="16"/>
  <c r="D638" i="16"/>
  <c r="D642" i="16"/>
  <c r="D647" i="16"/>
  <c r="D648" i="16"/>
  <c r="D654" i="16"/>
  <c r="D659" i="16"/>
  <c r="D664" i="16"/>
  <c r="D669" i="16"/>
  <c r="D670" i="16"/>
  <c r="D671" i="16"/>
  <c r="D672" i="16"/>
  <c r="D673" i="16"/>
  <c r="D674" i="16"/>
  <c r="D675" i="16"/>
  <c r="D676" i="16"/>
  <c r="D677" i="16"/>
  <c r="D681" i="16"/>
  <c r="D682" i="16"/>
  <c r="D683" i="16"/>
  <c r="D684" i="16"/>
  <c r="D685" i="16"/>
  <c r="D20" i="15"/>
  <c r="D101" i="15"/>
  <c r="D106" i="15"/>
  <c r="D107" i="15"/>
  <c r="D25" i="14"/>
  <c r="D28" i="14"/>
  <c r="D35" i="14"/>
  <c r="D38" i="14"/>
  <c r="D43" i="14"/>
  <c r="D45" i="14"/>
  <c r="D47" i="14"/>
  <c r="D50" i="14"/>
  <c r="D52" i="14"/>
  <c r="D54" i="14"/>
  <c r="D56" i="14"/>
  <c r="D58" i="14"/>
  <c r="D60" i="14"/>
  <c r="D61" i="14"/>
  <c r="D692" i="14"/>
  <c r="D693" i="14"/>
  <c r="D696" i="14"/>
  <c r="D698" i="14"/>
  <c r="D20" i="14"/>
  <c r="D20" i="13"/>
  <c r="D32" i="13"/>
  <c r="D33" i="13"/>
  <c r="H75" i="13"/>
  <c r="H74" i="13"/>
  <c r="B13" i="16" l="1"/>
  <c r="B14" i="16" s="1"/>
  <c r="I106" i="16"/>
  <c r="I214" i="15"/>
  <c r="I191" i="15"/>
  <c r="I139" i="15"/>
  <c r="I386" i="15"/>
  <c r="I395" i="15"/>
  <c r="I209" i="15"/>
  <c r="I200" i="15"/>
  <c r="I173" i="15"/>
  <c r="I143" i="15"/>
  <c r="I134" i="15"/>
  <c r="I111" i="15"/>
  <c r="I108" i="15"/>
  <c r="I99" i="15"/>
  <c r="I616" i="15"/>
  <c r="I370" i="15"/>
  <c r="I369" i="15"/>
  <c r="I501" i="15"/>
  <c r="I366" i="15"/>
  <c r="I365" i="15"/>
  <c r="I364" i="15"/>
  <c r="I363" i="15"/>
  <c r="I362" i="15"/>
  <c r="I361" i="15"/>
  <c r="I360" i="15"/>
  <c r="I359" i="15"/>
  <c r="I358" i="15"/>
  <c r="I357" i="15"/>
  <c r="I356" i="15"/>
  <c r="I355" i="15"/>
  <c r="I354" i="15"/>
  <c r="I353" i="15"/>
  <c r="I352" i="15"/>
  <c r="I351" i="15"/>
  <c r="I350" i="15"/>
  <c r="I349" i="15"/>
  <c r="I348" i="15"/>
  <c r="I347" i="15"/>
  <c r="I346" i="15"/>
  <c r="I345" i="15"/>
  <c r="I344" i="15"/>
  <c r="I343" i="15"/>
  <c r="I342" i="15"/>
  <c r="I341" i="15"/>
  <c r="I340" i="15"/>
  <c r="I339" i="15"/>
  <c r="I338" i="15"/>
  <c r="I337" i="15"/>
  <c r="I336" i="15"/>
  <c r="I335" i="15"/>
  <c r="I334" i="15"/>
  <c r="I333" i="15"/>
  <c r="I332" i="15"/>
  <c r="I331" i="15"/>
  <c r="I330" i="15"/>
  <c r="I329" i="15"/>
  <c r="I328" i="15"/>
  <c r="I327" i="15"/>
  <c r="I326" i="15"/>
  <c r="I325" i="15"/>
  <c r="I324" i="15"/>
  <c r="I323" i="15"/>
  <c r="I322" i="15"/>
  <c r="I321" i="15"/>
  <c r="I320" i="15"/>
  <c r="I319" i="15"/>
  <c r="I385" i="15"/>
  <c r="I318" i="15"/>
  <c r="I317" i="15"/>
  <c r="I384" i="15"/>
  <c r="I316" i="15"/>
  <c r="I315" i="15"/>
  <c r="I383" i="15"/>
  <c r="I314" i="15"/>
  <c r="I313" i="15"/>
  <c r="I382" i="15"/>
  <c r="I312" i="15"/>
  <c r="I311" i="15"/>
  <c r="I381" i="15"/>
  <c r="I310" i="15"/>
  <c r="I308" i="15"/>
  <c r="I379" i="15"/>
  <c r="I307" i="15"/>
  <c r="I306" i="15"/>
  <c r="I305" i="15"/>
  <c r="I304" i="15"/>
  <c r="I303" i="15"/>
  <c r="I302" i="15"/>
  <c r="I301" i="15"/>
  <c r="I300" i="15"/>
  <c r="I299" i="15"/>
  <c r="I298" i="15"/>
  <c r="I297" i="15"/>
  <c r="I296" i="15"/>
  <c r="I295" i="15"/>
  <c r="I294" i="15"/>
  <c r="I293" i="15"/>
  <c r="I292" i="15"/>
  <c r="I291" i="15"/>
  <c r="I290" i="15"/>
  <c r="I287" i="15"/>
  <c r="I286" i="15"/>
  <c r="I285" i="15"/>
  <c r="I284" i="15"/>
  <c r="I283" i="15"/>
  <c r="I282" i="15"/>
  <c r="I281" i="15"/>
  <c r="I280" i="15"/>
  <c r="I279" i="15"/>
  <c r="I278" i="15"/>
  <c r="I277" i="15"/>
  <c r="I274" i="15"/>
  <c r="I614" i="15"/>
  <c r="I273" i="15"/>
  <c r="I272" i="15"/>
  <c r="I271" i="15"/>
  <c r="I270" i="15"/>
  <c r="I164" i="15"/>
  <c r="I153" i="15"/>
  <c r="I120" i="15"/>
  <c r="I118" i="15"/>
  <c r="I368" i="15"/>
  <c r="I268" i="15"/>
  <c r="I267" i="15"/>
  <c r="I266" i="15"/>
  <c r="I596" i="15"/>
  <c r="I265" i="15"/>
  <c r="I264" i="15"/>
  <c r="I263" i="15"/>
  <c r="I262" i="15"/>
  <c r="I261" i="15"/>
  <c r="I606" i="15"/>
  <c r="I260" i="15"/>
  <c r="I604" i="15"/>
  <c r="I259" i="15"/>
  <c r="I258" i="15"/>
  <c r="I257" i="15"/>
  <c r="I256" i="15"/>
  <c r="I255" i="15"/>
  <c r="I254" i="15"/>
  <c r="I595" i="15"/>
  <c r="I253" i="15"/>
  <c r="I592" i="15"/>
  <c r="I252" i="15"/>
  <c r="I251" i="15"/>
  <c r="I591" i="15"/>
  <c r="I250" i="15"/>
  <c r="I612" i="15"/>
  <c r="I249" i="15"/>
  <c r="I589" i="15"/>
  <c r="I248" i="15"/>
  <c r="I588" i="15"/>
  <c r="I247" i="15"/>
  <c r="I615" i="15"/>
  <c r="I246" i="15"/>
  <c r="I587" i="15"/>
  <c r="I245" i="15"/>
  <c r="I583" i="15"/>
  <c r="I244" i="15"/>
  <c r="I578" i="15"/>
  <c r="I243" i="15"/>
  <c r="I442" i="15"/>
  <c r="I242" i="15"/>
  <c r="I241" i="15"/>
  <c r="I240" i="15"/>
  <c r="I239" i="15"/>
  <c r="I238" i="15"/>
  <c r="I571" i="15"/>
  <c r="I237" i="15"/>
  <c r="I236" i="15"/>
  <c r="I569" i="15"/>
  <c r="I235" i="15"/>
  <c r="I234" i="15"/>
  <c r="I233" i="15"/>
  <c r="I232" i="15"/>
  <c r="I566" i="15"/>
  <c r="I231" i="15"/>
  <c r="I230" i="15"/>
  <c r="I565" i="15"/>
  <c r="I229" i="15"/>
  <c r="I228" i="15"/>
  <c r="I559" i="15"/>
  <c r="I227" i="15"/>
  <c r="I226" i="15"/>
  <c r="I558" i="15"/>
  <c r="I225" i="15"/>
  <c r="I224" i="15"/>
  <c r="I557" i="15"/>
  <c r="I223" i="15"/>
  <c r="I222" i="15"/>
  <c r="I556" i="15"/>
  <c r="I221" i="15"/>
  <c r="I220" i="15"/>
  <c r="I555" i="15"/>
  <c r="I554" i="15"/>
  <c r="I553" i="15"/>
  <c r="I550" i="15"/>
  <c r="I546" i="15"/>
  <c r="I543" i="15"/>
  <c r="I542" i="15"/>
  <c r="I541" i="15"/>
  <c r="I540" i="15"/>
  <c r="I539" i="15"/>
  <c r="I538" i="15"/>
  <c r="I537" i="15"/>
  <c r="I536" i="15"/>
  <c r="I535" i="15"/>
  <c r="I534" i="15"/>
  <c r="I533" i="15"/>
  <c r="I532" i="15"/>
  <c r="I531" i="15"/>
  <c r="I530" i="15"/>
  <c r="I529" i="15"/>
  <c r="I528" i="15"/>
  <c r="I527" i="15"/>
  <c r="I215" i="15"/>
  <c r="I196" i="15"/>
  <c r="I169" i="15"/>
  <c r="I159" i="15"/>
  <c r="I142" i="15"/>
  <c r="I525" i="15"/>
  <c r="I479" i="15"/>
  <c r="I524" i="15"/>
  <c r="I523" i="15"/>
  <c r="I522" i="15"/>
  <c r="I521" i="15"/>
  <c r="I520" i="15"/>
  <c r="I519" i="15"/>
  <c r="I518" i="15"/>
  <c r="I517" i="15"/>
  <c r="I516" i="15"/>
  <c r="I515" i="15"/>
  <c r="I514" i="15"/>
  <c r="I513" i="15"/>
  <c r="I512" i="15"/>
  <c r="I511" i="15"/>
  <c r="I510" i="15"/>
  <c r="I509" i="15"/>
  <c r="I508" i="15"/>
  <c r="I507" i="15"/>
  <c r="I506" i="15"/>
  <c r="I505" i="15"/>
  <c r="I504" i="15"/>
  <c r="I275" i="15"/>
  <c r="I288" i="15"/>
  <c r="I21" i="15"/>
  <c r="J21" i="15" s="1"/>
  <c r="I22" i="15"/>
  <c r="I23" i="15"/>
  <c r="I24" i="15"/>
  <c r="I25" i="15"/>
  <c r="I26" i="15"/>
  <c r="I27" i="15"/>
  <c r="I28" i="15"/>
  <c r="I29" i="15"/>
  <c r="I30" i="15"/>
  <c r="I31" i="15"/>
  <c r="I32" i="15"/>
  <c r="I33" i="15"/>
  <c r="I34" i="15"/>
  <c r="I35" i="15"/>
  <c r="I36" i="15"/>
  <c r="I37" i="15"/>
  <c r="I38" i="15"/>
  <c r="I39" i="15"/>
  <c r="I40" i="15"/>
  <c r="I41" i="15"/>
  <c r="I42" i="15"/>
  <c r="I43" i="15"/>
  <c r="I44" i="15"/>
  <c r="I45" i="15"/>
  <c r="I46" i="15"/>
  <c r="I47" i="15"/>
  <c r="I48" i="15"/>
  <c r="I49" i="15"/>
  <c r="I50" i="15"/>
  <c r="I51" i="15"/>
  <c r="I52" i="15"/>
  <c r="I53" i="15"/>
  <c r="I54" i="15"/>
  <c r="I55" i="15"/>
  <c r="I56" i="15"/>
  <c r="I57" i="15"/>
  <c r="I58" i="15"/>
  <c r="I59" i="15"/>
  <c r="I60" i="15"/>
  <c r="I61" i="15"/>
  <c r="I62" i="15"/>
  <c r="I63" i="15"/>
  <c r="I64" i="15"/>
  <c r="I65" i="15"/>
  <c r="I66" i="15"/>
  <c r="I67" i="15"/>
  <c r="I68" i="15"/>
  <c r="I69" i="15"/>
  <c r="I70" i="15"/>
  <c r="I71" i="15"/>
  <c r="I72" i="15"/>
  <c r="I73" i="15"/>
  <c r="I74" i="15"/>
  <c r="I75" i="15"/>
  <c r="I76" i="15"/>
  <c r="I77" i="15"/>
  <c r="I78" i="15"/>
  <c r="I79" i="15"/>
  <c r="I80" i="15"/>
  <c r="I81" i="15"/>
  <c r="I82" i="15"/>
  <c r="I83" i="15"/>
  <c r="I84" i="15"/>
  <c r="I85" i="15"/>
  <c r="I86" i="15"/>
  <c r="I87" i="15"/>
  <c r="I88" i="15"/>
  <c r="I89" i="15"/>
  <c r="I90" i="15"/>
  <c r="I91" i="15"/>
  <c r="I92" i="15"/>
  <c r="I93" i="15"/>
  <c r="I94" i="15"/>
  <c r="I95" i="15"/>
  <c r="I96" i="15"/>
  <c r="I104" i="15"/>
  <c r="I121" i="15"/>
  <c r="B5" i="18"/>
  <c r="I144" i="15"/>
  <c r="I97" i="15"/>
  <c r="I103" i="15"/>
  <c r="I197" i="15"/>
  <c r="I186" i="15"/>
  <c r="I185" i="15"/>
  <c r="I180" i="15"/>
  <c r="I177" i="15"/>
  <c r="I176" i="15"/>
  <c r="I165" i="15"/>
  <c r="I161" i="15"/>
  <c r="I160" i="15"/>
  <c r="I149" i="15"/>
  <c r="I148" i="15"/>
  <c r="I147" i="15"/>
  <c r="I146" i="15"/>
  <c r="I145" i="15"/>
  <c r="I136" i="15"/>
  <c r="I135" i="15"/>
  <c r="I128" i="15"/>
  <c r="I127" i="15"/>
  <c r="I122" i="15"/>
  <c r="I115" i="15"/>
  <c r="I114" i="15"/>
  <c r="I113" i="15"/>
  <c r="I112" i="15"/>
  <c r="I105" i="15"/>
  <c r="I100" i="15"/>
  <c r="B13" i="14"/>
  <c r="B14" i="14" s="1"/>
  <c r="I25" i="14" s="1"/>
  <c r="B13" i="13"/>
  <c r="B14" i="13" s="1"/>
  <c r="I32" i="13"/>
  <c r="B7" i="15"/>
  <c r="B7" i="13"/>
  <c r="B7" i="14"/>
  <c r="B15" i="16"/>
  <c r="B11" i="16"/>
  <c r="I208" i="15"/>
  <c r="I207" i="15"/>
  <c r="I206" i="15"/>
  <c r="I205" i="15"/>
  <c r="I203" i="15"/>
  <c r="I194" i="15"/>
  <c r="I168" i="15"/>
  <c r="I158" i="15"/>
  <c r="I133" i="15"/>
  <c r="I131" i="15"/>
  <c r="I119" i="15"/>
  <c r="I389" i="15"/>
  <c r="I396" i="15"/>
  <c r="I397" i="15"/>
  <c r="I398" i="15"/>
  <c r="I399" i="15"/>
  <c r="I400" i="15"/>
  <c r="I401" i="15"/>
  <c r="I402" i="15"/>
  <c r="I403" i="15"/>
  <c r="I404" i="15"/>
  <c r="I405" i="15"/>
  <c r="I406" i="15"/>
  <c r="I407" i="15"/>
  <c r="I408" i="15"/>
  <c r="I409" i="15"/>
  <c r="I410" i="15"/>
  <c r="I411" i="15"/>
  <c r="I412" i="15"/>
  <c r="I413" i="15"/>
  <c r="I414" i="15"/>
  <c r="I415" i="15"/>
  <c r="I416" i="15"/>
  <c r="I417" i="15"/>
  <c r="I418" i="15"/>
  <c r="I419" i="15"/>
  <c r="I420" i="15"/>
  <c r="I421" i="15"/>
  <c r="I422" i="15"/>
  <c r="I423" i="15"/>
  <c r="I424" i="15"/>
  <c r="I425" i="15"/>
  <c r="I426" i="15"/>
  <c r="I427" i="15"/>
  <c r="I428" i="15"/>
  <c r="I429" i="15"/>
  <c r="I430" i="15"/>
  <c r="I431" i="15"/>
  <c r="I432" i="15"/>
  <c r="I433" i="15"/>
  <c r="I434" i="15"/>
  <c r="I435" i="15"/>
  <c r="I436" i="15"/>
  <c r="I437" i="15"/>
  <c r="I372" i="15"/>
  <c r="I373" i="15"/>
  <c r="I374" i="15"/>
  <c r="I375" i="15"/>
  <c r="I309" i="15"/>
  <c r="I376" i="15"/>
  <c r="I377" i="15"/>
  <c r="I438" i="15"/>
  <c r="I439" i="15"/>
  <c r="I440" i="15"/>
  <c r="I441" i="15"/>
  <c r="I544" i="15"/>
  <c r="I545" i="15"/>
  <c r="I547" i="15"/>
  <c r="I548" i="15"/>
  <c r="I549" i="15"/>
  <c r="I560" i="15"/>
  <c r="I561" i="15"/>
  <c r="I562" i="15"/>
  <c r="I563" i="15"/>
  <c r="I564" i="15"/>
  <c r="I567" i="15"/>
  <c r="I570" i="15"/>
  <c r="I572" i="15"/>
  <c r="I574" i="15"/>
  <c r="I289" i="15"/>
  <c r="I500" i="15"/>
  <c r="I502" i="15"/>
  <c r="I503" i="15"/>
  <c r="I575" i="15"/>
  <c r="I577" i="15"/>
  <c r="I579" i="15"/>
  <c r="I580" i="15"/>
  <c r="I581" i="15"/>
  <c r="I619" i="15"/>
  <c r="I582" i="15"/>
  <c r="I584" i="15"/>
  <c r="I585" i="15"/>
  <c r="I618" i="15"/>
  <c r="I586" i="15"/>
  <c r="I276" i="15"/>
  <c r="I617" i="15"/>
  <c r="I380" i="15"/>
  <c r="I378" i="15"/>
  <c r="I590" i="15"/>
  <c r="I613" i="15"/>
  <c r="I611" i="15"/>
  <c r="I593" i="15"/>
  <c r="I269" i="15"/>
  <c r="I594" i="15"/>
  <c r="I195" i="15"/>
  <c r="I190" i="15"/>
  <c r="I189" i="15"/>
  <c r="I132" i="15"/>
  <c r="I387" i="15"/>
  <c r="I388" i="15"/>
  <c r="I390" i="15"/>
  <c r="I391" i="15"/>
  <c r="I392" i="15"/>
  <c r="I393" i="15"/>
  <c r="I394" i="15"/>
  <c r="I609" i="15"/>
  <c r="I608" i="15"/>
  <c r="I597" i="15"/>
  <c r="I607" i="15"/>
  <c r="I598" i="15"/>
  <c r="I599" i="15"/>
  <c r="I602" i="15"/>
  <c r="I603" i="15"/>
  <c r="I601" i="15"/>
  <c r="I605" i="15"/>
  <c r="I600" i="15"/>
  <c r="I610" i="15"/>
  <c r="I576" i="15"/>
  <c r="I443" i="15"/>
  <c r="I573" i="15"/>
  <c r="I444" i="15"/>
  <c r="I445" i="15"/>
  <c r="I446" i="15"/>
  <c r="I568" i="15"/>
  <c r="I447" i="15"/>
  <c r="I448" i="15"/>
  <c r="I449" i="15"/>
  <c r="I450" i="15"/>
  <c r="I451" i="15"/>
  <c r="I452" i="15"/>
  <c r="I453" i="15"/>
  <c r="I219" i="15"/>
  <c r="I454" i="15"/>
  <c r="I455" i="15"/>
  <c r="I456" i="15"/>
  <c r="I552" i="15"/>
  <c r="I457" i="15"/>
  <c r="I551" i="15"/>
  <c r="I458" i="15"/>
  <c r="I459" i="15"/>
  <c r="I460" i="15"/>
  <c r="I461" i="15"/>
  <c r="I462" i="15"/>
  <c r="I463" i="15"/>
  <c r="I464" i="15"/>
  <c r="I465" i="15"/>
  <c r="I466" i="15"/>
  <c r="I467" i="15"/>
  <c r="I468" i="15"/>
  <c r="I469" i="15"/>
  <c r="I470" i="15"/>
  <c r="I471" i="15"/>
  <c r="I472" i="15"/>
  <c r="I473" i="15"/>
  <c r="I474" i="15"/>
  <c r="I475" i="15"/>
  <c r="I476" i="15"/>
  <c r="I477" i="15"/>
  <c r="I526" i="15"/>
  <c r="I478" i="15"/>
  <c r="I218" i="15"/>
  <c r="I204" i="15"/>
  <c r="I172" i="15"/>
  <c r="I152" i="15"/>
  <c r="I480" i="15"/>
  <c r="I481" i="15"/>
  <c r="I482" i="15"/>
  <c r="I483" i="15"/>
  <c r="I484" i="15"/>
  <c r="I485" i="15"/>
  <c r="I486" i="15"/>
  <c r="I487" i="15"/>
  <c r="I488" i="15"/>
  <c r="I489" i="15"/>
  <c r="I490" i="15"/>
  <c r="I491" i="15"/>
  <c r="I492" i="15"/>
  <c r="I493" i="15"/>
  <c r="I494" i="15"/>
  <c r="I495" i="15"/>
  <c r="I496" i="15"/>
  <c r="I497" i="15"/>
  <c r="I498" i="15"/>
  <c r="I499" i="15"/>
  <c r="I367" i="15"/>
  <c r="I371" i="15"/>
  <c r="I216" i="15"/>
  <c r="I217" i="15"/>
  <c r="I212" i="15"/>
  <c r="I213" i="15"/>
  <c r="I210" i="15"/>
  <c r="I211" i="15"/>
  <c r="I201" i="15"/>
  <c r="I202" i="15"/>
  <c r="I198" i="15"/>
  <c r="I199" i="15"/>
  <c r="I192" i="15"/>
  <c r="I193" i="15"/>
  <c r="I187" i="15"/>
  <c r="I188" i="15"/>
  <c r="I183" i="15"/>
  <c r="I184" i="15"/>
  <c r="I182" i="15"/>
  <c r="I181" i="15"/>
  <c r="I179" i="15"/>
  <c r="I178" i="15"/>
  <c r="I174" i="15"/>
  <c r="I175" i="15"/>
  <c r="I170" i="15"/>
  <c r="I171" i="15"/>
  <c r="I166" i="15"/>
  <c r="I167" i="15"/>
  <c r="I162" i="15"/>
  <c r="I163" i="15"/>
  <c r="I157" i="15"/>
  <c r="I156" i="15"/>
  <c r="I154" i="15"/>
  <c r="I155" i="15"/>
  <c r="I150" i="15"/>
  <c r="I151" i="15"/>
  <c r="I140" i="15"/>
  <c r="I141" i="15"/>
  <c r="I137" i="15"/>
  <c r="I138" i="15"/>
  <c r="I129" i="15"/>
  <c r="I130" i="15"/>
  <c r="I126" i="15"/>
  <c r="I125" i="15"/>
  <c r="I123" i="15"/>
  <c r="I124" i="15"/>
  <c r="I117" i="15"/>
  <c r="I116" i="15"/>
  <c r="I110" i="15"/>
  <c r="I109" i="15"/>
  <c r="I106" i="15"/>
  <c r="I107" i="15"/>
  <c r="I101" i="15"/>
  <c r="I102" i="15"/>
  <c r="I98" i="15"/>
  <c r="I664" i="16" l="1"/>
  <c r="I654" i="16"/>
  <c r="I642" i="16"/>
  <c r="I629" i="16"/>
  <c r="I619" i="16"/>
  <c r="I616" i="16"/>
  <c r="I578" i="16"/>
  <c r="I232" i="16"/>
  <c r="I225" i="16"/>
  <c r="I218" i="16"/>
  <c r="I205" i="16"/>
  <c r="I197" i="16"/>
  <c r="I185" i="16"/>
  <c r="I182" i="16"/>
  <c r="I177" i="16"/>
  <c r="I170" i="16"/>
  <c r="I163" i="16"/>
  <c r="I159" i="16"/>
  <c r="I152" i="16"/>
  <c r="I149" i="16"/>
  <c r="I144" i="16"/>
  <c r="I134" i="16"/>
  <c r="I129" i="16"/>
  <c r="I116" i="16"/>
  <c r="I665" i="16"/>
  <c r="I655" i="16"/>
  <c r="I643" i="16"/>
  <c r="I625" i="16"/>
  <c r="I618" i="16"/>
  <c r="I612" i="16"/>
  <c r="I236" i="16"/>
  <c r="I229" i="16"/>
  <c r="I221" i="16"/>
  <c r="I212" i="16"/>
  <c r="I204" i="16"/>
  <c r="I198" i="16"/>
  <c r="I195" i="16"/>
  <c r="I184" i="16"/>
  <c r="I179" i="16"/>
  <c r="I172" i="16"/>
  <c r="I168" i="16"/>
  <c r="I153" i="16"/>
  <c r="I146" i="16"/>
  <c r="I140" i="16"/>
  <c r="I132" i="16"/>
  <c r="I121" i="16"/>
  <c r="I107" i="16"/>
  <c r="I660" i="16"/>
  <c r="I647" i="16"/>
  <c r="I637" i="16"/>
  <c r="I624" i="16"/>
  <c r="I617" i="16"/>
  <c r="I613" i="16"/>
  <c r="I235" i="16"/>
  <c r="I230" i="16"/>
  <c r="I222" i="16"/>
  <c r="I211" i="16"/>
  <c r="I209" i="16"/>
  <c r="I200" i="16"/>
  <c r="I190" i="16"/>
  <c r="I183" i="16"/>
  <c r="I176" i="16"/>
  <c r="I169" i="16"/>
  <c r="I164" i="16"/>
  <c r="I157" i="16"/>
  <c r="I150" i="16"/>
  <c r="I143" i="16"/>
  <c r="I135" i="16"/>
  <c r="I128" i="16"/>
  <c r="I117" i="16"/>
  <c r="I685" i="16"/>
  <c r="I684" i="16"/>
  <c r="I683" i="16"/>
  <c r="I677" i="16"/>
  <c r="I676" i="16"/>
  <c r="I675" i="16"/>
  <c r="I674" i="16"/>
  <c r="I673" i="16"/>
  <c r="I672" i="16"/>
  <c r="I671" i="16"/>
  <c r="I638" i="16"/>
  <c r="I634" i="16"/>
  <c r="I633" i="16"/>
  <c r="I632" i="16"/>
  <c r="I631" i="16"/>
  <c r="I626" i="16"/>
  <c r="I622" i="16"/>
  <c r="I621" i="16"/>
  <c r="I233" i="16"/>
  <c r="I226" i="16"/>
  <c r="I215" i="16"/>
  <c r="I214" i="16"/>
  <c r="I213" i="16"/>
  <c r="I206" i="16"/>
  <c r="I202" i="16"/>
  <c r="I174" i="16"/>
  <c r="I166" i="16"/>
  <c r="I165" i="16"/>
  <c r="I161" i="16"/>
  <c r="I137" i="16"/>
  <c r="I125" i="16"/>
  <c r="I124" i="16"/>
  <c r="I123" i="16"/>
  <c r="I122" i="16"/>
  <c r="I109" i="16"/>
  <c r="I108" i="16"/>
  <c r="I259" i="16"/>
  <c r="I260" i="16"/>
  <c r="I261" i="16"/>
  <c r="I262" i="16"/>
  <c r="I263" i="16"/>
  <c r="I264" i="16"/>
  <c r="I265" i="16"/>
  <c r="I266" i="16"/>
  <c r="I267" i="16"/>
  <c r="I268" i="16"/>
  <c r="I269" i="16"/>
  <c r="I270" i="16"/>
  <c r="I271" i="16"/>
  <c r="I272" i="16"/>
  <c r="I273" i="16"/>
  <c r="I274" i="16"/>
  <c r="I275" i="16"/>
  <c r="I276" i="16"/>
  <c r="I277" i="16"/>
  <c r="I278" i="16"/>
  <c r="I279" i="16"/>
  <c r="I280" i="16"/>
  <c r="I281" i="16"/>
  <c r="I282" i="16"/>
  <c r="I283" i="16"/>
  <c r="I284" i="16"/>
  <c r="I285" i="16"/>
  <c r="I286" i="16"/>
  <c r="I287" i="16"/>
  <c r="I288" i="16"/>
  <c r="I289" i="16"/>
  <c r="I290" i="16"/>
  <c r="I291" i="16"/>
  <c r="I292" i="16"/>
  <c r="I293" i="16"/>
  <c r="I294" i="16"/>
  <c r="I295" i="16"/>
  <c r="I296" i="16"/>
  <c r="I297" i="16"/>
  <c r="I301" i="16"/>
  <c r="I302" i="16"/>
  <c r="I303" i="16"/>
  <c r="I304" i="16"/>
  <c r="I305" i="16"/>
  <c r="I257" i="16"/>
  <c r="I310" i="16"/>
  <c r="I311" i="16"/>
  <c r="I312" i="16"/>
  <c r="I313" i="16"/>
  <c r="I314" i="16"/>
  <c r="I315" i="16"/>
  <c r="I316" i="16"/>
  <c r="I317" i="16"/>
  <c r="I318" i="16"/>
  <c r="I319" i="16"/>
  <c r="I320" i="16"/>
  <c r="I321" i="16"/>
  <c r="I322" i="16"/>
  <c r="I323" i="16"/>
  <c r="I324" i="16"/>
  <c r="I325" i="16"/>
  <c r="I326" i="16"/>
  <c r="I327" i="16"/>
  <c r="I328" i="16"/>
  <c r="I329" i="16"/>
  <c r="I330" i="16"/>
  <c r="I331" i="16"/>
  <c r="I332" i="16"/>
  <c r="I333" i="16"/>
  <c r="I334" i="16"/>
  <c r="I335" i="16"/>
  <c r="I336" i="16"/>
  <c r="I337" i="16"/>
  <c r="I338" i="16"/>
  <c r="I339" i="16"/>
  <c r="I340" i="16"/>
  <c r="I341" i="16"/>
  <c r="I342" i="16"/>
  <c r="I343" i="16"/>
  <c r="I344" i="16"/>
  <c r="I345" i="16"/>
  <c r="I346" i="16"/>
  <c r="I347" i="16"/>
  <c r="I348" i="16"/>
  <c r="I349" i="16"/>
  <c r="I350" i="16"/>
  <c r="I351" i="16"/>
  <c r="I352" i="16"/>
  <c r="I353" i="16"/>
  <c r="I466" i="16"/>
  <c r="I306" i="16"/>
  <c r="I298" i="16"/>
  <c r="I307" i="16"/>
  <c r="I308" i="16"/>
  <c r="I681" i="16"/>
  <c r="I682" i="16"/>
  <c r="I669" i="16"/>
  <c r="I670" i="16"/>
  <c r="I659" i="16"/>
  <c r="I648" i="16"/>
  <c r="I636" i="16"/>
  <c r="I630" i="16"/>
  <c r="I620" i="16"/>
  <c r="I615" i="16"/>
  <c r="I579" i="16"/>
  <c r="I231" i="16"/>
  <c r="I224" i="16"/>
  <c r="I219" i="16"/>
  <c r="I208" i="16"/>
  <c r="I201" i="16"/>
  <c r="I196" i="16"/>
  <c r="I189" i="16"/>
  <c r="I180" i="16"/>
  <c r="I173" i="16"/>
  <c r="I171" i="16"/>
  <c r="I160" i="16"/>
  <c r="I156" i="16"/>
  <c r="I145" i="16"/>
  <c r="I139" i="16"/>
  <c r="I133" i="16"/>
  <c r="I120" i="16"/>
  <c r="I354" i="16"/>
  <c r="I355" i="16"/>
  <c r="I697" i="16"/>
  <c r="I698" i="16"/>
  <c r="I468" i="16"/>
  <c r="I469" i="16"/>
  <c r="I686" i="16"/>
  <c r="I678" i="16"/>
  <c r="I651" i="16"/>
  <c r="I652" i="16"/>
  <c r="I649" i="16"/>
  <c r="I639" i="16"/>
  <c r="I635" i="16"/>
  <c r="I627" i="16"/>
  <c r="I623" i="16"/>
  <c r="I614" i="16"/>
  <c r="I234" i="16"/>
  <c r="I227" i="16"/>
  <c r="I220" i="16"/>
  <c r="I216" i="16"/>
  <c r="I210" i="16"/>
  <c r="I207" i="16"/>
  <c r="I203" i="16"/>
  <c r="I199" i="16"/>
  <c r="I191" i="16"/>
  <c r="I178" i="16"/>
  <c r="I175" i="16"/>
  <c r="I167" i="16"/>
  <c r="I162" i="16"/>
  <c r="I154" i="16"/>
  <c r="I138" i="16"/>
  <c r="I136" i="16"/>
  <c r="I130" i="16"/>
  <c r="I126" i="16"/>
  <c r="I118" i="16"/>
  <c r="I110" i="16"/>
  <c r="I258" i="16"/>
  <c r="I256" i="16"/>
  <c r="I255" i="16"/>
  <c r="I254" i="16"/>
  <c r="I253" i="16"/>
  <c r="I252" i="16"/>
  <c r="I251" i="16"/>
  <c r="I250" i="16"/>
  <c r="I249" i="16"/>
  <c r="I248" i="16"/>
  <c r="I247" i="16"/>
  <c r="I246" i="16"/>
  <c r="I245" i="16"/>
  <c r="I244" i="16"/>
  <c r="I243" i="16"/>
  <c r="I242" i="16"/>
  <c r="I241" i="16"/>
  <c r="I300" i="16"/>
  <c r="I465" i="16"/>
  <c r="I299" i="16"/>
  <c r="I309" i="16"/>
  <c r="I696" i="16"/>
  <c r="I695" i="16"/>
  <c r="I694" i="16"/>
  <c r="I693" i="16"/>
  <c r="I692" i="16"/>
  <c r="I691" i="16"/>
  <c r="I690" i="16"/>
  <c r="I689" i="16"/>
  <c r="I688" i="16"/>
  <c r="I687" i="16"/>
  <c r="I467" i="16"/>
  <c r="I464" i="16"/>
  <c r="B6" i="18"/>
  <c r="I21" i="16"/>
  <c r="J21" i="16" s="1"/>
  <c r="I22" i="16"/>
  <c r="I23" i="16"/>
  <c r="I24" i="16"/>
  <c r="I25" i="16"/>
  <c r="I26" i="16"/>
  <c r="I27" i="16"/>
  <c r="I28" i="16"/>
  <c r="I29" i="16"/>
  <c r="I30" i="16"/>
  <c r="I31" i="16"/>
  <c r="I32" i="16"/>
  <c r="I33" i="16"/>
  <c r="I34" i="16"/>
  <c r="I35" i="16"/>
  <c r="I36" i="16"/>
  <c r="I37" i="16"/>
  <c r="I38" i="16"/>
  <c r="I39" i="16"/>
  <c r="I40" i="16"/>
  <c r="I41" i="16"/>
  <c r="I42" i="16"/>
  <c r="I43" i="16"/>
  <c r="I44" i="16"/>
  <c r="I45" i="16"/>
  <c r="I46" i="16"/>
  <c r="I47" i="16"/>
  <c r="I48" i="16"/>
  <c r="I49" i="16"/>
  <c r="I50" i="16"/>
  <c r="I51" i="16"/>
  <c r="I52" i="16"/>
  <c r="I53" i="16"/>
  <c r="I54" i="16"/>
  <c r="I55" i="16"/>
  <c r="I56" i="16"/>
  <c r="I57" i="16"/>
  <c r="I58" i="16"/>
  <c r="I59" i="16"/>
  <c r="I60" i="16"/>
  <c r="I61" i="16"/>
  <c r="I62" i="16"/>
  <c r="I63" i="16"/>
  <c r="I64" i="16"/>
  <c r="I65" i="16"/>
  <c r="I66" i="16"/>
  <c r="I67" i="16"/>
  <c r="I68" i="16"/>
  <c r="I69" i="16"/>
  <c r="I70" i="16"/>
  <c r="I71" i="16"/>
  <c r="I72" i="16"/>
  <c r="I73" i="16"/>
  <c r="I74" i="16"/>
  <c r="I75" i="16"/>
  <c r="I76" i="16"/>
  <c r="I77" i="16"/>
  <c r="I78" i="16"/>
  <c r="I79" i="16"/>
  <c r="I80" i="16"/>
  <c r="I81" i="16"/>
  <c r="I82" i="16"/>
  <c r="I83" i="16"/>
  <c r="I84" i="16"/>
  <c r="I85" i="16"/>
  <c r="I86" i="16"/>
  <c r="I87" i="16"/>
  <c r="I88" i="16"/>
  <c r="I89" i="16"/>
  <c r="I90" i="16"/>
  <c r="I91" i="16"/>
  <c r="I92" i="16"/>
  <c r="I93" i="16"/>
  <c r="I94" i="16"/>
  <c r="I95" i="16"/>
  <c r="I96" i="16"/>
  <c r="I97" i="16"/>
  <c r="I98" i="16"/>
  <c r="I99" i="16"/>
  <c r="I100" i="16"/>
  <c r="I101" i="16"/>
  <c r="I102" i="16"/>
  <c r="I103" i="16"/>
  <c r="I104" i="16"/>
  <c r="I114" i="16"/>
  <c r="I356" i="16"/>
  <c r="I357" i="16"/>
  <c r="I358" i="16"/>
  <c r="I359" i="16"/>
  <c r="I360" i="16"/>
  <c r="I361" i="16"/>
  <c r="I362" i="16"/>
  <c r="I363" i="16"/>
  <c r="I364" i="16"/>
  <c r="I365" i="16"/>
  <c r="I366" i="16"/>
  <c r="I367" i="16"/>
  <c r="I368" i="16"/>
  <c r="I369" i="16"/>
  <c r="I370" i="16"/>
  <c r="I371" i="16"/>
  <c r="I372" i="16"/>
  <c r="I373" i="16"/>
  <c r="I374" i="16"/>
  <c r="I375" i="16"/>
  <c r="I376" i="16"/>
  <c r="I377" i="16"/>
  <c r="I378" i="16"/>
  <c r="I379" i="16"/>
  <c r="I380" i="16"/>
  <c r="I381" i="16"/>
  <c r="I382" i="16"/>
  <c r="I383" i="16"/>
  <c r="I384" i="16"/>
  <c r="I385" i="16"/>
  <c r="I386" i="16"/>
  <c r="I387" i="16"/>
  <c r="I388" i="16"/>
  <c r="I389" i="16"/>
  <c r="I390" i="16"/>
  <c r="I391" i="16"/>
  <c r="I392" i="16"/>
  <c r="I393" i="16"/>
  <c r="I394" i="16"/>
  <c r="I395" i="16"/>
  <c r="I396" i="16"/>
  <c r="I397" i="16"/>
  <c r="I398" i="16"/>
  <c r="I399" i="16"/>
  <c r="I400" i="16"/>
  <c r="I401" i="16"/>
  <c r="I402" i="16"/>
  <c r="I403" i="16"/>
  <c r="I404" i="16"/>
  <c r="I405" i="16"/>
  <c r="I406" i="16"/>
  <c r="I407" i="16"/>
  <c r="I408" i="16"/>
  <c r="I409" i="16"/>
  <c r="I410" i="16"/>
  <c r="I411" i="16"/>
  <c r="I412" i="16"/>
  <c r="I413" i="16"/>
  <c r="I414" i="16"/>
  <c r="I415" i="16"/>
  <c r="I416" i="16"/>
  <c r="I417" i="16"/>
  <c r="I418" i="16"/>
  <c r="I419" i="16"/>
  <c r="I420" i="16"/>
  <c r="I421" i="16"/>
  <c r="I422" i="16"/>
  <c r="I423" i="16"/>
  <c r="I424" i="16"/>
  <c r="I425" i="16"/>
  <c r="I426" i="16"/>
  <c r="I427" i="16"/>
  <c r="I428" i="16"/>
  <c r="I429" i="16"/>
  <c r="I430" i="16"/>
  <c r="I431" i="16"/>
  <c r="I432" i="16"/>
  <c r="I433" i="16"/>
  <c r="I434" i="16"/>
  <c r="I435" i="16"/>
  <c r="I436" i="16"/>
  <c r="I437" i="16"/>
  <c r="I438" i="16"/>
  <c r="I439" i="16"/>
  <c r="I440" i="16"/>
  <c r="I441" i="16"/>
  <c r="I442" i="16"/>
  <c r="I443" i="16"/>
  <c r="I444" i="16"/>
  <c r="I445" i="16"/>
  <c r="I446" i="16"/>
  <c r="I447" i="16"/>
  <c r="I448" i="16"/>
  <c r="I449" i="16"/>
  <c r="I450" i="16"/>
  <c r="I451" i="16"/>
  <c r="I452" i="16"/>
  <c r="I453" i="16"/>
  <c r="I454" i="16"/>
  <c r="I455" i="16"/>
  <c r="I456" i="16"/>
  <c r="I457" i="16"/>
  <c r="I458" i="16"/>
  <c r="I459" i="16"/>
  <c r="I460" i="16"/>
  <c r="I461" i="16"/>
  <c r="I462" i="16"/>
  <c r="I463" i="16"/>
  <c r="I470" i="16"/>
  <c r="I471" i="16"/>
  <c r="I472" i="16"/>
  <c r="I473" i="16"/>
  <c r="I474" i="16"/>
  <c r="I475" i="16"/>
  <c r="I476" i="16"/>
  <c r="I477" i="16"/>
  <c r="I478" i="16"/>
  <c r="I479" i="16"/>
  <c r="I480" i="16"/>
  <c r="I481" i="16"/>
  <c r="I482" i="16"/>
  <c r="I483" i="16"/>
  <c r="I484" i="16"/>
  <c r="I485" i="16"/>
  <c r="I486" i="16"/>
  <c r="I487" i="16"/>
  <c r="I488" i="16"/>
  <c r="I489" i="16"/>
  <c r="I490" i="16"/>
  <c r="I491" i="16"/>
  <c r="I492" i="16"/>
  <c r="I493" i="16"/>
  <c r="I494" i="16"/>
  <c r="I495" i="16"/>
  <c r="I496" i="16"/>
  <c r="I497" i="16"/>
  <c r="I498" i="16"/>
  <c r="I499" i="16"/>
  <c r="I500" i="16"/>
  <c r="I501" i="16"/>
  <c r="I502" i="16"/>
  <c r="I503" i="16"/>
  <c r="I504" i="16"/>
  <c r="I505" i="16"/>
  <c r="I506" i="16"/>
  <c r="I507" i="16"/>
  <c r="I508" i="16"/>
  <c r="I509" i="16"/>
  <c r="I510" i="16"/>
  <c r="I511" i="16"/>
  <c r="I512" i="16"/>
  <c r="I513" i="16"/>
  <c r="I514" i="16"/>
  <c r="I515" i="16"/>
  <c r="I516" i="16"/>
  <c r="I517" i="16"/>
  <c r="I518" i="16"/>
  <c r="I519" i="16"/>
  <c r="I520" i="16"/>
  <c r="I521" i="16"/>
  <c r="I522" i="16"/>
  <c r="I523" i="16"/>
  <c r="I524" i="16"/>
  <c r="I525" i="16"/>
  <c r="I526" i="16"/>
  <c r="I527" i="16"/>
  <c r="I528" i="16"/>
  <c r="I529" i="16"/>
  <c r="I530" i="16"/>
  <c r="I531" i="16"/>
  <c r="I532" i="16"/>
  <c r="I533" i="16"/>
  <c r="I534" i="16"/>
  <c r="I535" i="16"/>
  <c r="I536" i="16"/>
  <c r="I537" i="16"/>
  <c r="I538" i="16"/>
  <c r="I539" i="16"/>
  <c r="I540" i="16"/>
  <c r="I541" i="16"/>
  <c r="I542" i="16"/>
  <c r="I543" i="16"/>
  <c r="I544" i="16"/>
  <c r="I545" i="16"/>
  <c r="I546" i="16"/>
  <c r="I547" i="16"/>
  <c r="I548" i="16"/>
  <c r="I549" i="16"/>
  <c r="I550" i="16"/>
  <c r="I551" i="16"/>
  <c r="I552" i="16"/>
  <c r="I553" i="16"/>
  <c r="I554" i="16"/>
  <c r="I555" i="16"/>
  <c r="I556" i="16"/>
  <c r="I557" i="16"/>
  <c r="I558" i="16"/>
  <c r="I559" i="16"/>
  <c r="I560" i="16"/>
  <c r="I561" i="16"/>
  <c r="I562" i="16"/>
  <c r="I563" i="16"/>
  <c r="I564" i="16"/>
  <c r="I565" i="16"/>
  <c r="I566" i="16"/>
  <c r="I567" i="16"/>
  <c r="I568" i="16"/>
  <c r="I569" i="16"/>
  <c r="I570" i="16"/>
  <c r="I571" i="16"/>
  <c r="I572" i="16"/>
  <c r="I573" i="16"/>
  <c r="I574" i="16"/>
  <c r="I575" i="16"/>
  <c r="I576" i="16"/>
  <c r="I581" i="16"/>
  <c r="I582" i="16"/>
  <c r="I583" i="16"/>
  <c r="I584" i="16"/>
  <c r="I585" i="16"/>
  <c r="I586" i="16"/>
  <c r="I587" i="16"/>
  <c r="I588" i="16"/>
  <c r="I589" i="16"/>
  <c r="I590" i="16"/>
  <c r="I591" i="16"/>
  <c r="I592" i="16"/>
  <c r="I593" i="16"/>
  <c r="I596" i="16"/>
  <c r="I599" i="16"/>
  <c r="I600" i="16"/>
  <c r="I601" i="16"/>
  <c r="I602" i="16"/>
  <c r="I603" i="16"/>
  <c r="I604" i="16"/>
  <c r="I605" i="16"/>
  <c r="I606" i="16"/>
  <c r="I607" i="16"/>
  <c r="I608" i="16"/>
  <c r="I609" i="16"/>
  <c r="I610" i="16"/>
  <c r="I611" i="16"/>
  <c r="I699" i="16"/>
  <c r="I700" i="16"/>
  <c r="I701" i="16"/>
  <c r="I702" i="16"/>
  <c r="I703" i="16"/>
  <c r="I704" i="16"/>
  <c r="I705" i="16"/>
  <c r="I706" i="16"/>
  <c r="I707" i="16"/>
  <c r="I708" i="16"/>
  <c r="I709" i="16"/>
  <c r="I594" i="16"/>
  <c r="I577" i="16"/>
  <c r="I680" i="16"/>
  <c r="I679" i="16"/>
  <c r="I668" i="16"/>
  <c r="I667" i="16"/>
  <c r="I666" i="16"/>
  <c r="I663" i="16"/>
  <c r="I662" i="16"/>
  <c r="I661" i="16"/>
  <c r="I658" i="16"/>
  <c r="I657" i="16"/>
  <c r="I656" i="16"/>
  <c r="I653" i="16"/>
  <c r="I650" i="16"/>
  <c r="I646" i="16"/>
  <c r="I645" i="16"/>
  <c r="I644" i="16"/>
  <c r="I641" i="16"/>
  <c r="I640" i="16"/>
  <c r="I628" i="16"/>
  <c r="I597" i="16"/>
  <c r="I595" i="16"/>
  <c r="I240" i="16"/>
  <c r="I239" i="16"/>
  <c r="I238" i="16"/>
  <c r="I237" i="16"/>
  <c r="I228" i="16"/>
  <c r="I223" i="16"/>
  <c r="I598" i="16"/>
  <c r="I580" i="16"/>
  <c r="I217" i="16"/>
  <c r="I194" i="16"/>
  <c r="I193" i="16"/>
  <c r="I192" i="16"/>
  <c r="I188" i="16"/>
  <c r="I187" i="16"/>
  <c r="I186" i="16"/>
  <c r="I181" i="16"/>
  <c r="I158" i="16"/>
  <c r="I155" i="16"/>
  <c r="I151" i="16"/>
  <c r="I148" i="16"/>
  <c r="I147" i="16"/>
  <c r="I142" i="16"/>
  <c r="I141" i="16"/>
  <c r="I131" i="16"/>
  <c r="I127" i="16"/>
  <c r="I119" i="16"/>
  <c r="I115" i="16"/>
  <c r="I113" i="16"/>
  <c r="I112" i="16"/>
  <c r="I111" i="16"/>
  <c r="I105" i="16"/>
  <c r="J22" i="15"/>
  <c r="K21" i="15"/>
  <c r="I35" i="14"/>
  <c r="I26" i="14"/>
  <c r="I507" i="14"/>
  <c r="I508" i="14"/>
  <c r="I698" i="14"/>
  <c r="I699" i="14"/>
  <c r="I702" i="14"/>
  <c r="I715" i="14"/>
  <c r="I717" i="14"/>
  <c r="I718" i="14"/>
  <c r="I719" i="14"/>
  <c r="I720" i="14"/>
  <c r="I724" i="14"/>
  <c r="I725" i="14"/>
  <c r="I726" i="14"/>
  <c r="I727" i="14"/>
  <c r="I728" i="14"/>
  <c r="I730" i="14"/>
  <c r="I78" i="14"/>
  <c r="I484" i="14"/>
  <c r="I510" i="14"/>
  <c r="I511" i="14"/>
  <c r="I512" i="14"/>
  <c r="I513" i="14"/>
  <c r="I514" i="14"/>
  <c r="I515" i="14"/>
  <c r="I516" i="14"/>
  <c r="I517" i="14"/>
  <c r="I518" i="14"/>
  <c r="I519" i="14"/>
  <c r="I520" i="14"/>
  <c r="I521" i="14"/>
  <c r="I522" i="14"/>
  <c r="I523" i="14"/>
  <c r="I524" i="14"/>
  <c r="I525" i="14"/>
  <c r="I526" i="14"/>
  <c r="I527" i="14"/>
  <c r="I528" i="14"/>
  <c r="I529" i="14"/>
  <c r="I530" i="14"/>
  <c r="I531" i="14"/>
  <c r="I532" i="14"/>
  <c r="I533" i="14"/>
  <c r="I534" i="14"/>
  <c r="I535" i="14"/>
  <c r="I536" i="14"/>
  <c r="I537" i="14"/>
  <c r="I538" i="14"/>
  <c r="I539" i="14"/>
  <c r="I540" i="14"/>
  <c r="I541" i="14"/>
  <c r="I542" i="14"/>
  <c r="I543" i="14"/>
  <c r="I544" i="14"/>
  <c r="I545" i="14"/>
  <c r="I546" i="14"/>
  <c r="I547" i="14"/>
  <c r="I548" i="14"/>
  <c r="I549" i="14"/>
  <c r="I550" i="14"/>
  <c r="I551" i="14"/>
  <c r="I552" i="14"/>
  <c r="I553" i="14"/>
  <c r="I554" i="14"/>
  <c r="I555" i="14"/>
  <c r="I556" i="14"/>
  <c r="I557" i="14"/>
  <c r="I558" i="14"/>
  <c r="I559" i="14"/>
  <c r="I560" i="14"/>
  <c r="I561" i="14"/>
  <c r="I562" i="14"/>
  <c r="I563" i="14"/>
  <c r="I564" i="14"/>
  <c r="I565" i="14"/>
  <c r="I566" i="14"/>
  <c r="I567" i="14"/>
  <c r="I568" i="14"/>
  <c r="I569" i="14"/>
  <c r="I570" i="14"/>
  <c r="I571" i="14"/>
  <c r="I572" i="14"/>
  <c r="I573" i="14"/>
  <c r="I574" i="14"/>
  <c r="I575" i="14"/>
  <c r="I576" i="14"/>
  <c r="I577" i="14"/>
  <c r="I578" i="14"/>
  <c r="I410" i="14"/>
  <c r="I620" i="14"/>
  <c r="I630" i="14"/>
  <c r="I634" i="14"/>
  <c r="I641" i="14"/>
  <c r="I587" i="14"/>
  <c r="I590" i="14"/>
  <c r="I602" i="14"/>
  <c r="I611" i="14"/>
  <c r="I614" i="14"/>
  <c r="I617" i="14"/>
  <c r="I619" i="14"/>
  <c r="I621" i="14"/>
  <c r="I623" i="14"/>
  <c r="I625" i="14"/>
  <c r="I627" i="14"/>
  <c r="I628" i="14"/>
  <c r="I629" i="14"/>
  <c r="I631" i="14"/>
  <c r="I632" i="14"/>
  <c r="I633" i="14"/>
  <c r="I635" i="14"/>
  <c r="I636" i="14"/>
  <c r="I637" i="14"/>
  <c r="I638" i="14"/>
  <c r="I640" i="14"/>
  <c r="I642" i="14"/>
  <c r="I644" i="14"/>
  <c r="I646" i="14"/>
  <c r="I647" i="14"/>
  <c r="I648" i="14"/>
  <c r="I650" i="14"/>
  <c r="I651" i="14"/>
  <c r="I652" i="14"/>
  <c r="I653" i="14"/>
  <c r="I654" i="14"/>
  <c r="I655" i="14"/>
  <c r="I59" i="14"/>
  <c r="I51" i="14"/>
  <c r="I38" i="14"/>
  <c r="I29" i="14"/>
  <c r="I656" i="14"/>
  <c r="I657" i="14"/>
  <c r="I658" i="14"/>
  <c r="I659" i="14"/>
  <c r="I660" i="14"/>
  <c r="I661" i="14"/>
  <c r="I662" i="14"/>
  <c r="I663" i="14"/>
  <c r="I664" i="14"/>
  <c r="I665" i="14"/>
  <c r="I666" i="14"/>
  <c r="I667" i="14"/>
  <c r="I668" i="14"/>
  <c r="I669" i="14"/>
  <c r="I670" i="14"/>
  <c r="I671" i="14"/>
  <c r="I672" i="14"/>
  <c r="I673" i="14"/>
  <c r="I674" i="14"/>
  <c r="I675" i="14"/>
  <c r="I676" i="14"/>
  <c r="I677" i="14"/>
  <c r="I678" i="14"/>
  <c r="I679" i="14"/>
  <c r="I680" i="14"/>
  <c r="I681" i="14"/>
  <c r="I682" i="14"/>
  <c r="I683" i="14"/>
  <c r="I684" i="14"/>
  <c r="I685" i="14"/>
  <c r="I686" i="14"/>
  <c r="I687" i="14"/>
  <c r="I688" i="14"/>
  <c r="I689" i="14"/>
  <c r="I690" i="14"/>
  <c r="I691" i="14"/>
  <c r="I692" i="14"/>
  <c r="I693" i="14"/>
  <c r="I694" i="14"/>
  <c r="I695" i="14"/>
  <c r="I696" i="14"/>
  <c r="I697" i="14"/>
  <c r="I708" i="14"/>
  <c r="I709" i="14"/>
  <c r="I710" i="14"/>
  <c r="I711" i="14"/>
  <c r="I712" i="14"/>
  <c r="I713" i="14"/>
  <c r="I286" i="14"/>
  <c r="I714" i="14"/>
  <c r="I83" i="14"/>
  <c r="I723" i="14"/>
  <c r="I84" i="14"/>
  <c r="I731" i="14"/>
  <c r="I85" i="14"/>
  <c r="I86" i="14"/>
  <c r="I87" i="14"/>
  <c r="I88" i="14"/>
  <c r="I89" i="14"/>
  <c r="I90" i="14"/>
  <c r="I91" i="14"/>
  <c r="I732" i="14"/>
  <c r="I733" i="14"/>
  <c r="I734" i="14"/>
  <c r="I735" i="14"/>
  <c r="I736" i="14"/>
  <c r="I737" i="14"/>
  <c r="I738" i="14"/>
  <c r="I739" i="14"/>
  <c r="I740" i="14"/>
  <c r="I741" i="14"/>
  <c r="I742" i="14"/>
  <c r="I743" i="14"/>
  <c r="I744" i="14"/>
  <c r="I745" i="14"/>
  <c r="I746" i="14"/>
  <c r="I747" i="14"/>
  <c r="I748" i="14"/>
  <c r="I749" i="14"/>
  <c r="I750" i="14"/>
  <c r="I751" i="14"/>
  <c r="I752" i="14"/>
  <c r="I753" i="14"/>
  <c r="I754" i="14"/>
  <c r="I755" i="14"/>
  <c r="I756" i="14"/>
  <c r="I583" i="14"/>
  <c r="I588" i="14"/>
  <c r="I592" i="14"/>
  <c r="I596" i="14"/>
  <c r="I598" i="14"/>
  <c r="I599" i="14"/>
  <c r="I601" i="14"/>
  <c r="I605" i="14"/>
  <c r="I606" i="14"/>
  <c r="I613" i="14"/>
  <c r="I616" i="14"/>
  <c r="I758" i="14"/>
  <c r="I760" i="14"/>
  <c r="I765" i="14"/>
  <c r="I770" i="14"/>
  <c r="I772" i="14"/>
  <c r="I773" i="14"/>
  <c r="I774" i="14"/>
  <c r="I775" i="14"/>
  <c r="I776" i="14"/>
  <c r="I777" i="14"/>
  <c r="I778" i="14"/>
  <c r="I779" i="14"/>
  <c r="I780" i="14"/>
  <c r="I781" i="14"/>
  <c r="I782" i="14"/>
  <c r="I783" i="14"/>
  <c r="I784" i="14"/>
  <c r="I785" i="14"/>
  <c r="I786" i="14"/>
  <c r="I787" i="14"/>
  <c r="I788" i="14"/>
  <c r="I789" i="14"/>
  <c r="I790" i="14"/>
  <c r="I791" i="14"/>
  <c r="I792" i="14"/>
  <c r="I793" i="14"/>
  <c r="I794" i="14"/>
  <c r="I795" i="14"/>
  <c r="I796" i="14"/>
  <c r="I797" i="14"/>
  <c r="I798" i="14"/>
  <c r="I799" i="14"/>
  <c r="I800" i="14"/>
  <c r="I801" i="14"/>
  <c r="I802" i="14"/>
  <c r="I803" i="14"/>
  <c r="I804" i="14"/>
  <c r="I805" i="14"/>
  <c r="I806" i="14"/>
  <c r="I807" i="14"/>
  <c r="I808" i="14"/>
  <c r="I809" i="14"/>
  <c r="I810" i="14"/>
  <c r="I811" i="14"/>
  <c r="I722" i="14"/>
  <c r="I812" i="14"/>
  <c r="I721" i="14"/>
  <c r="I813" i="14"/>
  <c r="I814" i="14"/>
  <c r="I716" i="14"/>
  <c r="I815" i="14"/>
  <c r="I707" i="14"/>
  <c r="I703" i="14"/>
  <c r="I816" i="14"/>
  <c r="I700" i="14"/>
  <c r="I817" i="14"/>
  <c r="I818" i="14"/>
  <c r="I819" i="14"/>
  <c r="I820" i="14"/>
  <c r="I821" i="14"/>
  <c r="I822" i="14"/>
  <c r="I823" i="14"/>
  <c r="I824" i="14"/>
  <c r="I825" i="14"/>
  <c r="I826" i="14"/>
  <c r="I827" i="14"/>
  <c r="I828" i="14"/>
  <c r="I829" i="14"/>
  <c r="I830" i="14"/>
  <c r="I831" i="14"/>
  <c r="I832" i="14"/>
  <c r="I833" i="14"/>
  <c r="I834" i="14"/>
  <c r="I835" i="14"/>
  <c r="I836" i="14"/>
  <c r="I837" i="14"/>
  <c r="I838" i="14"/>
  <c r="I839" i="14"/>
  <c r="I840" i="14"/>
  <c r="I841" i="14"/>
  <c r="I842" i="14"/>
  <c r="I843" i="14"/>
  <c r="I844" i="14"/>
  <c r="I845" i="14"/>
  <c r="I846" i="14"/>
  <c r="I847" i="14"/>
  <c r="I848" i="14"/>
  <c r="I849" i="14"/>
  <c r="I850" i="14"/>
  <c r="I851" i="14"/>
  <c r="I852" i="14"/>
  <c r="I853" i="14"/>
  <c r="I854" i="14"/>
  <c r="I855" i="14"/>
  <c r="I248" i="14"/>
  <c r="I856" i="14"/>
  <c r="I52" i="14"/>
  <c r="I50" i="14"/>
  <c r="I39" i="14"/>
  <c r="I580" i="14"/>
  <c r="I581" i="14"/>
  <c r="I584" i="14"/>
  <c r="I586" i="14"/>
  <c r="I591" i="14"/>
  <c r="I594" i="14"/>
  <c r="I595" i="14"/>
  <c r="I607" i="14"/>
  <c r="I608" i="14"/>
  <c r="I610" i="14"/>
  <c r="I612" i="14"/>
  <c r="I759" i="14"/>
  <c r="I761" i="14"/>
  <c r="I762" i="14"/>
  <c r="I764" i="14"/>
  <c r="I766" i="14"/>
  <c r="I767" i="14"/>
  <c r="I769" i="14"/>
  <c r="I771" i="14"/>
  <c r="I858" i="14"/>
  <c r="I859" i="14"/>
  <c r="I860" i="14"/>
  <c r="I861" i="14"/>
  <c r="I862" i="14"/>
  <c r="I863" i="14"/>
  <c r="I864" i="14"/>
  <c r="I865" i="14"/>
  <c r="I866" i="14"/>
  <c r="I867" i="14"/>
  <c r="I868" i="14"/>
  <c r="I869" i="14"/>
  <c r="I870" i="14"/>
  <c r="I871" i="14"/>
  <c r="I872" i="14"/>
  <c r="I873" i="14"/>
  <c r="I874" i="14"/>
  <c r="I875" i="14"/>
  <c r="I876" i="14"/>
  <c r="I877" i="14"/>
  <c r="I878" i="14"/>
  <c r="I879" i="14"/>
  <c r="I880" i="14"/>
  <c r="I881" i="14"/>
  <c r="I882" i="14"/>
  <c r="I883" i="14"/>
  <c r="I884" i="14"/>
  <c r="I885" i="14"/>
  <c r="I886" i="14"/>
  <c r="I887" i="14"/>
  <c r="I888" i="14"/>
  <c r="I889" i="14"/>
  <c r="I890" i="14"/>
  <c r="I891" i="14"/>
  <c r="I892" i="14"/>
  <c r="I893" i="14"/>
  <c r="I894" i="14"/>
  <c r="I895" i="14"/>
  <c r="I896" i="14"/>
  <c r="I897" i="14"/>
  <c r="I898" i="14"/>
  <c r="I899" i="14"/>
  <c r="I900" i="14"/>
  <c r="I901" i="14"/>
  <c r="I902" i="14"/>
  <c r="I903" i="14"/>
  <c r="I904" i="14"/>
  <c r="I905" i="14"/>
  <c r="I906" i="14"/>
  <c r="I907" i="14"/>
  <c r="I908" i="14"/>
  <c r="I909" i="14"/>
  <c r="I910" i="14"/>
  <c r="I911" i="14"/>
  <c r="I912" i="14"/>
  <c r="I913" i="14"/>
  <c r="I914" i="14"/>
  <c r="I189" i="14"/>
  <c r="I915" i="14"/>
  <c r="I916" i="14"/>
  <c r="I93" i="14"/>
  <c r="I917" i="14"/>
  <c r="I918" i="14"/>
  <c r="I919" i="14"/>
  <c r="I920" i="14"/>
  <c r="I921" i="14"/>
  <c r="I922" i="14"/>
  <c r="I923" i="14"/>
  <c r="I924" i="14"/>
  <c r="I925" i="14"/>
  <c r="I926" i="14"/>
  <c r="I927" i="14"/>
  <c r="I928" i="14"/>
  <c r="I929" i="14"/>
  <c r="I174" i="14"/>
  <c r="I930" i="14"/>
  <c r="I959" i="14"/>
  <c r="I960" i="14"/>
  <c r="I961" i="14"/>
  <c r="I962" i="14"/>
  <c r="I963" i="14"/>
  <c r="I964" i="14"/>
  <c r="I965" i="14"/>
  <c r="I966" i="14"/>
  <c r="I967" i="14"/>
  <c r="I968" i="14"/>
  <c r="I969" i="14"/>
  <c r="I970" i="14"/>
  <c r="I971" i="14"/>
  <c r="I972" i="14"/>
  <c r="I973" i="14"/>
  <c r="I974" i="14"/>
  <c r="I975" i="14"/>
  <c r="I976" i="14"/>
  <c r="I977" i="14"/>
  <c r="I978" i="14"/>
  <c r="I979" i="14"/>
  <c r="I980" i="14"/>
  <c r="I981" i="14"/>
  <c r="I982" i="14"/>
  <c r="I983" i="14"/>
  <c r="I984" i="14"/>
  <c r="I985" i="14"/>
  <c r="I986" i="14"/>
  <c r="I987" i="14"/>
  <c r="I988" i="14"/>
  <c r="I989" i="14"/>
  <c r="I990" i="14"/>
  <c r="I991" i="14"/>
  <c r="I992" i="14"/>
  <c r="I993" i="14"/>
  <c r="I994" i="14"/>
  <c r="I995" i="14"/>
  <c r="I996" i="14"/>
  <c r="I997" i="14"/>
  <c r="I998" i="14"/>
  <c r="I999" i="14"/>
  <c r="I1000" i="14"/>
  <c r="I1001" i="14"/>
  <c r="I1002" i="14"/>
  <c r="I1003" i="14"/>
  <c r="I100" i="14"/>
  <c r="I934" i="14"/>
  <c r="I935" i="14"/>
  <c r="I939" i="14"/>
  <c r="I941" i="14"/>
  <c r="I952" i="14"/>
  <c r="I954" i="14"/>
  <c r="I956" i="14"/>
  <c r="I957" i="14"/>
  <c r="I56" i="14"/>
  <c r="I45" i="14"/>
  <c r="I36" i="14"/>
  <c r="I933" i="14"/>
  <c r="I938" i="14"/>
  <c r="I944" i="14"/>
  <c r="I947" i="14"/>
  <c r="I955" i="14"/>
  <c r="I1007" i="14"/>
  <c r="I936" i="14"/>
  <c r="I937" i="14"/>
  <c r="I945" i="14"/>
  <c r="I950" i="14"/>
  <c r="I1005" i="14"/>
  <c r="I1006" i="14"/>
  <c r="I942" i="14"/>
  <c r="I948" i="14"/>
  <c r="I57" i="14"/>
  <c r="I48" i="14"/>
  <c r="I58" i="14"/>
  <c r="I55" i="14"/>
  <c r="I43" i="14"/>
  <c r="I60" i="14"/>
  <c r="I47" i="14"/>
  <c r="I44" i="14"/>
  <c r="I54" i="14"/>
  <c r="I53" i="14"/>
  <c r="I46" i="14"/>
  <c r="I28" i="14"/>
  <c r="I61" i="14"/>
  <c r="I188" i="14"/>
  <c r="I505" i="14"/>
  <c r="I504" i="14"/>
  <c r="I503" i="14"/>
  <c r="I502" i="14"/>
  <c r="I701" i="14"/>
  <c r="I501" i="14"/>
  <c r="I500" i="14"/>
  <c r="I499" i="14"/>
  <c r="I498" i="14"/>
  <c r="I497" i="14"/>
  <c r="I496" i="14"/>
  <c r="I495" i="14"/>
  <c r="I494" i="14"/>
  <c r="I493" i="14"/>
  <c r="I492" i="14"/>
  <c r="I491" i="14"/>
  <c r="I490" i="14"/>
  <c r="I489" i="14"/>
  <c r="I82" i="14"/>
  <c r="I488" i="14"/>
  <c r="I81" i="14"/>
  <c r="I487" i="14"/>
  <c r="I80" i="14"/>
  <c r="I486" i="14"/>
  <c r="I79" i="14"/>
  <c r="I485" i="14"/>
  <c r="I62" i="14"/>
  <c r="I77" i="14"/>
  <c r="I483" i="14"/>
  <c r="I76" i="14"/>
  <c r="I482" i="14"/>
  <c r="I75" i="14"/>
  <c r="I481" i="14"/>
  <c r="I74" i="14"/>
  <c r="I480" i="14"/>
  <c r="I509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5" i="14"/>
  <c r="I464" i="14"/>
  <c r="I463" i="14"/>
  <c r="I462" i="14"/>
  <c r="I461" i="14"/>
  <c r="I460" i="14"/>
  <c r="I459" i="14"/>
  <c r="I458" i="14"/>
  <c r="I457" i="14"/>
  <c r="I456" i="14"/>
  <c r="I455" i="14"/>
  <c r="I454" i="14"/>
  <c r="I453" i="14"/>
  <c r="I452" i="14"/>
  <c r="I451" i="14"/>
  <c r="I450" i="14"/>
  <c r="I449" i="14"/>
  <c r="I448" i="14"/>
  <c r="I447" i="14"/>
  <c r="I446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07" i="14"/>
  <c r="I585" i="14"/>
  <c r="I589" i="14"/>
  <c r="I593" i="14"/>
  <c r="I597" i="14"/>
  <c r="I600" i="14"/>
  <c r="I604" i="14"/>
  <c r="I609" i="14"/>
  <c r="I375" i="14"/>
  <c r="I371" i="14"/>
  <c r="I622" i="14"/>
  <c r="I624" i="14"/>
  <c r="I626" i="14"/>
  <c r="I361" i="14"/>
  <c r="I357" i="14"/>
  <c r="I353" i="14"/>
  <c r="I639" i="14"/>
  <c r="I643" i="14"/>
  <c r="I645" i="14"/>
  <c r="I649" i="14"/>
  <c r="I582" i="14"/>
  <c r="I405" i="14"/>
  <c r="I403" i="14"/>
  <c r="I400" i="14"/>
  <c r="I397" i="14"/>
  <c r="I395" i="14"/>
  <c r="I393" i="14"/>
  <c r="I391" i="14"/>
  <c r="I389" i="14"/>
  <c r="I387" i="14"/>
  <c r="I385" i="14"/>
  <c r="I383" i="14"/>
  <c r="I380" i="14"/>
  <c r="I378" i="14"/>
  <c r="I376" i="14"/>
  <c r="I373" i="14"/>
  <c r="I370" i="14"/>
  <c r="I369" i="14"/>
  <c r="I368" i="14"/>
  <c r="I367" i="14"/>
  <c r="I366" i="14"/>
  <c r="I365" i="14"/>
  <c r="I364" i="14"/>
  <c r="I363" i="14"/>
  <c r="I362" i="14"/>
  <c r="I360" i="14"/>
  <c r="I359" i="14"/>
  <c r="I358" i="14"/>
  <c r="I356" i="14"/>
  <c r="I355" i="14"/>
  <c r="I354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5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73" i="14"/>
  <c r="I72" i="14"/>
  <c r="I71" i="14"/>
  <c r="I70" i="14"/>
  <c r="I69" i="14"/>
  <c r="I68" i="14"/>
  <c r="I67" i="14"/>
  <c r="I66" i="14"/>
  <c r="I65" i="14"/>
  <c r="I64" i="14"/>
  <c r="I579" i="14"/>
  <c r="I408" i="14"/>
  <c r="I404" i="14"/>
  <c r="I402" i="14"/>
  <c r="I398" i="14"/>
  <c r="I394" i="14"/>
  <c r="I603" i="14"/>
  <c r="I381" i="14"/>
  <c r="I379" i="14"/>
  <c r="I377" i="14"/>
  <c r="I618" i="14"/>
  <c r="I763" i="14"/>
  <c r="I768" i="14"/>
  <c r="I187" i="14"/>
  <c r="I706" i="14"/>
  <c r="I705" i="14"/>
  <c r="I704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2" i="14"/>
  <c r="I261" i="14"/>
  <c r="I260" i="14"/>
  <c r="I259" i="14"/>
  <c r="I258" i="14"/>
  <c r="I257" i="14"/>
  <c r="I256" i="14"/>
  <c r="I255" i="14"/>
  <c r="I254" i="14"/>
  <c r="I253" i="14"/>
  <c r="I252" i="14"/>
  <c r="I251" i="14"/>
  <c r="I250" i="14"/>
  <c r="I249" i="14"/>
  <c r="I409" i="14"/>
  <c r="I406" i="14"/>
  <c r="I401" i="14"/>
  <c r="I399" i="14"/>
  <c r="I396" i="14"/>
  <c r="I392" i="14"/>
  <c r="I390" i="14"/>
  <c r="I388" i="14"/>
  <c r="I386" i="14"/>
  <c r="I384" i="14"/>
  <c r="I382" i="14"/>
  <c r="I374" i="14"/>
  <c r="I372" i="14"/>
  <c r="I757" i="14"/>
  <c r="I247" i="14"/>
  <c r="I857" i="14"/>
  <c r="I246" i="14"/>
  <c r="I245" i="14"/>
  <c r="I244" i="14"/>
  <c r="I243" i="14"/>
  <c r="I242" i="14"/>
  <c r="I241" i="14"/>
  <c r="I240" i="14"/>
  <c r="I239" i="14"/>
  <c r="I238" i="14"/>
  <c r="I237" i="14"/>
  <c r="I236" i="14"/>
  <c r="I235" i="14"/>
  <c r="I234" i="14"/>
  <c r="I233" i="14"/>
  <c r="I232" i="14"/>
  <c r="I231" i="14"/>
  <c r="I230" i="14"/>
  <c r="I229" i="14"/>
  <c r="I228" i="14"/>
  <c r="I227" i="14"/>
  <c r="I226" i="14"/>
  <c r="I225" i="14"/>
  <c r="I224" i="14"/>
  <c r="I223" i="14"/>
  <c r="I222" i="14"/>
  <c r="I221" i="14"/>
  <c r="I220" i="14"/>
  <c r="I219" i="14"/>
  <c r="I218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91" i="14"/>
  <c r="I190" i="14"/>
  <c r="I92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0" i="14"/>
  <c r="I940" i="14"/>
  <c r="I161" i="14"/>
  <c r="I949" i="14"/>
  <c r="I150" i="14"/>
  <c r="I146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8" i="14"/>
  <c r="I127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932" i="14"/>
  <c r="I168" i="14"/>
  <c r="I163" i="14"/>
  <c r="I160" i="14"/>
  <c r="I155" i="14"/>
  <c r="I953" i="14"/>
  <c r="I147" i="14"/>
  <c r="I615" i="14"/>
  <c r="I931" i="14"/>
  <c r="I166" i="14"/>
  <c r="I159" i="14"/>
  <c r="I156" i="14"/>
  <c r="I153" i="14"/>
  <c r="I1004" i="14"/>
  <c r="I97" i="14"/>
  <c r="I96" i="14"/>
  <c r="I506" i="14"/>
  <c r="I173" i="14"/>
  <c r="I167" i="14"/>
  <c r="I158" i="14"/>
  <c r="I154" i="14"/>
  <c r="I151" i="14"/>
  <c r="I145" i="14"/>
  <c r="I98" i="14"/>
  <c r="I95" i="14"/>
  <c r="I729" i="14"/>
  <c r="I172" i="14"/>
  <c r="I164" i="14"/>
  <c r="I943" i="14"/>
  <c r="I157" i="14"/>
  <c r="I152" i="14"/>
  <c r="I148" i="14"/>
  <c r="I958" i="14"/>
  <c r="I99" i="14"/>
  <c r="I1008" i="14"/>
  <c r="I94" i="14"/>
  <c r="I171" i="14"/>
  <c r="I169" i="14"/>
  <c r="I165" i="14"/>
  <c r="I162" i="14"/>
  <c r="I946" i="14"/>
  <c r="I951" i="14"/>
  <c r="I149" i="14"/>
  <c r="I21" i="14"/>
  <c r="J21" i="14" s="1"/>
  <c r="I22" i="14"/>
  <c r="I23" i="14"/>
  <c r="I24" i="14"/>
  <c r="I27" i="14"/>
  <c r="I30" i="14"/>
  <c r="I31" i="14"/>
  <c r="I37" i="14"/>
  <c r="I40" i="14"/>
  <c r="B4" i="18"/>
  <c r="I42" i="14"/>
  <c r="I63" i="14"/>
  <c r="I49" i="14"/>
  <c r="I41" i="14"/>
  <c r="I34" i="14"/>
  <c r="I33" i="14"/>
  <c r="I32" i="14"/>
  <c r="I34" i="13"/>
  <c r="I79" i="13"/>
  <c r="I78" i="13"/>
  <c r="I60" i="13"/>
  <c r="I55" i="13"/>
  <c r="I54" i="13"/>
  <c r="I84" i="13"/>
  <c r="I74" i="13"/>
  <c r="I152" i="13"/>
  <c r="I163" i="13"/>
  <c r="I151" i="13"/>
  <c r="I183" i="13"/>
  <c r="I184" i="13"/>
  <c r="I182" i="13"/>
  <c r="I181" i="13"/>
  <c r="I179" i="13"/>
  <c r="I178" i="13"/>
  <c r="I177" i="13"/>
  <c r="I176" i="13"/>
  <c r="I173" i="13"/>
  <c r="I174" i="13"/>
  <c r="I170" i="13"/>
  <c r="I169" i="13"/>
  <c r="I168" i="13"/>
  <c r="I167" i="13"/>
  <c r="I166" i="13"/>
  <c r="I165" i="13"/>
  <c r="I162" i="13"/>
  <c r="I161" i="13"/>
  <c r="I159" i="13"/>
  <c r="I158" i="13"/>
  <c r="I155" i="13"/>
  <c r="I156" i="13"/>
  <c r="I149" i="13"/>
  <c r="I150" i="13"/>
  <c r="I147" i="13"/>
  <c r="I148" i="13"/>
  <c r="I146" i="13"/>
  <c r="I145" i="13"/>
  <c r="I142" i="13"/>
  <c r="I143" i="13"/>
  <c r="I141" i="13"/>
  <c r="I140" i="13"/>
  <c r="I137" i="13"/>
  <c r="I138" i="13"/>
  <c r="I133" i="13"/>
  <c r="I132" i="13"/>
  <c r="I130" i="13"/>
  <c r="I131" i="13"/>
  <c r="I127" i="13"/>
  <c r="I128" i="13"/>
  <c r="I123" i="13"/>
  <c r="I124" i="13"/>
  <c r="I118" i="13"/>
  <c r="I117" i="13"/>
  <c r="I115" i="13"/>
  <c r="I116" i="13"/>
  <c r="I112" i="13"/>
  <c r="I111" i="13"/>
  <c r="I107" i="13"/>
  <c r="I108" i="13"/>
  <c r="I101" i="13"/>
  <c r="I100" i="13"/>
  <c r="I98" i="13"/>
  <c r="I99" i="13"/>
  <c r="I95" i="13"/>
  <c r="I96" i="13"/>
  <c r="I93" i="13"/>
  <c r="I94" i="13"/>
  <c r="I91" i="13"/>
  <c r="I92" i="13"/>
  <c r="I89" i="13"/>
  <c r="I90" i="13"/>
  <c r="I86" i="13"/>
  <c r="I87" i="13"/>
  <c r="I83" i="13"/>
  <c r="I82" i="13"/>
  <c r="I76" i="13"/>
  <c r="I77" i="13"/>
  <c r="I70" i="13"/>
  <c r="I71" i="13"/>
  <c r="I67" i="13"/>
  <c r="I68" i="13"/>
  <c r="I65" i="13"/>
  <c r="I66" i="13"/>
  <c r="I63" i="13"/>
  <c r="I62" i="13"/>
  <c r="I59" i="13"/>
  <c r="I58" i="13"/>
  <c r="I53" i="13"/>
  <c r="I52" i="13"/>
  <c r="I51" i="13"/>
  <c r="I50" i="13"/>
  <c r="I45" i="13"/>
  <c r="I46" i="13"/>
  <c r="I36" i="13"/>
  <c r="I37" i="13"/>
  <c r="I33" i="13"/>
  <c r="I171" i="13"/>
  <c r="I113" i="13"/>
  <c r="I88" i="13"/>
  <c r="I80" i="13"/>
  <c r="I61" i="13"/>
  <c r="I39" i="13"/>
  <c r="I35" i="13"/>
  <c r="I103" i="13"/>
  <c r="I85" i="13"/>
  <c r="I81" i="13"/>
  <c r="I75" i="13"/>
  <c r="I73" i="13"/>
  <c r="I72" i="13"/>
  <c r="I56" i="13"/>
  <c r="I47" i="13"/>
  <c r="I42" i="13"/>
  <c r="I41" i="13"/>
  <c r="I38" i="13"/>
  <c r="I139" i="13"/>
  <c r="I119" i="13"/>
  <c r="I102" i="13"/>
  <c r="I134" i="13"/>
  <c r="I188" i="13"/>
  <c r="I164" i="13"/>
  <c r="I157" i="13"/>
  <c r="I125" i="13"/>
  <c r="I187" i="13"/>
  <c r="I172" i="13"/>
  <c r="I153" i="13"/>
  <c r="I144" i="13"/>
  <c r="I186" i="13"/>
  <c r="I180" i="13"/>
  <c r="I175" i="13"/>
  <c r="I160" i="13"/>
  <c r="I154" i="13"/>
  <c r="I136" i="13"/>
  <c r="I135" i="13"/>
  <c r="I129" i="13"/>
  <c r="I126" i="13"/>
  <c r="I122" i="13"/>
  <c r="I121" i="13"/>
  <c r="I120" i="13"/>
  <c r="I114" i="13"/>
  <c r="I110" i="13"/>
  <c r="I106" i="13"/>
  <c r="I105" i="13"/>
  <c r="I104" i="13"/>
  <c r="I97" i="13"/>
  <c r="I69" i="13"/>
  <c r="I64" i="13"/>
  <c r="I57" i="13"/>
  <c r="I49" i="13"/>
  <c r="I48" i="13"/>
  <c r="I44" i="13"/>
  <c r="I43" i="13"/>
  <c r="I40" i="13"/>
  <c r="I30" i="13"/>
  <c r="I29" i="13"/>
  <c r="B3" i="18"/>
  <c r="I409" i="13"/>
  <c r="I408" i="13"/>
  <c r="I407" i="13"/>
  <c r="I406" i="13"/>
  <c r="I405" i="13"/>
  <c r="I404" i="13"/>
  <c r="I403" i="13"/>
  <c r="I402" i="13"/>
  <c r="I401" i="13"/>
  <c r="I400" i="13"/>
  <c r="I399" i="13"/>
  <c r="I398" i="13"/>
  <c r="I397" i="13"/>
  <c r="I396" i="13"/>
  <c r="I395" i="13"/>
  <c r="I394" i="13"/>
  <c r="I393" i="13"/>
  <c r="I392" i="13"/>
  <c r="I391" i="13"/>
  <c r="I390" i="13"/>
  <c r="I389" i="13"/>
  <c r="I388" i="13"/>
  <c r="I387" i="13"/>
  <c r="I386" i="13"/>
  <c r="I385" i="13"/>
  <c r="I384" i="13"/>
  <c r="I383" i="13"/>
  <c r="I382" i="13"/>
  <c r="I381" i="13"/>
  <c r="I380" i="13"/>
  <c r="I379" i="13"/>
  <c r="I378" i="13"/>
  <c r="I377" i="13"/>
  <c r="I376" i="13"/>
  <c r="I375" i="13"/>
  <c r="I374" i="13"/>
  <c r="I373" i="13"/>
  <c r="I372" i="13"/>
  <c r="I371" i="13"/>
  <c r="I370" i="13"/>
  <c r="I369" i="13"/>
  <c r="I368" i="13"/>
  <c r="I367" i="13"/>
  <c r="I366" i="13"/>
  <c r="I365" i="13"/>
  <c r="I364" i="13"/>
  <c r="I363" i="13"/>
  <c r="I362" i="13"/>
  <c r="I361" i="13"/>
  <c r="I360" i="13"/>
  <c r="I359" i="13"/>
  <c r="I358" i="13"/>
  <c r="I357" i="13"/>
  <c r="I356" i="13"/>
  <c r="I355" i="13"/>
  <c r="I354" i="13"/>
  <c r="I353" i="13"/>
  <c r="I352" i="13"/>
  <c r="I351" i="13"/>
  <c r="I350" i="13"/>
  <c r="I349" i="13"/>
  <c r="I348" i="13"/>
  <c r="I347" i="13"/>
  <c r="I346" i="13"/>
  <c r="I345" i="13"/>
  <c r="I344" i="13"/>
  <c r="I343" i="13"/>
  <c r="I342" i="13"/>
  <c r="I341" i="13"/>
  <c r="I340" i="13"/>
  <c r="I339" i="13"/>
  <c r="I338" i="13"/>
  <c r="I337" i="13"/>
  <c r="I336" i="13"/>
  <c r="I335" i="13"/>
  <c r="I334" i="13"/>
  <c r="I333" i="13"/>
  <c r="I332" i="13"/>
  <c r="I331" i="13"/>
  <c r="I330" i="13"/>
  <c r="I329" i="13"/>
  <c r="I328" i="13"/>
  <c r="I327" i="13"/>
  <c r="I326" i="13"/>
  <c r="I325" i="13"/>
  <c r="I324" i="13"/>
  <c r="I323" i="13"/>
  <c r="I322" i="13"/>
  <c r="I321" i="13"/>
  <c r="I320" i="13"/>
  <c r="I319" i="13"/>
  <c r="I318" i="13"/>
  <c r="I317" i="13"/>
  <c r="I316" i="13"/>
  <c r="I315" i="13"/>
  <c r="I314" i="13"/>
  <c r="I313" i="13"/>
  <c r="I312" i="13"/>
  <c r="I311" i="13"/>
  <c r="I310" i="13"/>
  <c r="I309" i="13"/>
  <c r="I308" i="13"/>
  <c r="I307" i="13"/>
  <c r="I306" i="13"/>
  <c r="I305" i="13"/>
  <c r="I304" i="13"/>
  <c r="I303" i="13"/>
  <c r="I302" i="13"/>
  <c r="I301" i="13"/>
  <c r="I300" i="13"/>
  <c r="I299" i="13"/>
  <c r="I298" i="13"/>
  <c r="I297" i="13"/>
  <c r="I296" i="13"/>
  <c r="I295" i="13"/>
  <c r="I294" i="13"/>
  <c r="I293" i="13"/>
  <c r="I292" i="13"/>
  <c r="I291" i="13"/>
  <c r="I290" i="13"/>
  <c r="I289" i="13"/>
  <c r="I288" i="13"/>
  <c r="I287" i="13"/>
  <c r="I286" i="13"/>
  <c r="I285" i="13"/>
  <c r="I284" i="13"/>
  <c r="I283" i="13"/>
  <c r="I282" i="13"/>
  <c r="I281" i="13"/>
  <c r="I280" i="13"/>
  <c r="I279" i="13"/>
  <c r="I278" i="13"/>
  <c r="I277" i="13"/>
  <c r="I276" i="13"/>
  <c r="I275" i="13"/>
  <c r="I274" i="13"/>
  <c r="I273" i="13"/>
  <c r="I272" i="13"/>
  <c r="I271" i="13"/>
  <c r="I270" i="13"/>
  <c r="I269" i="13"/>
  <c r="I268" i="13"/>
  <c r="I267" i="13"/>
  <c r="I266" i="13"/>
  <c r="I265" i="13"/>
  <c r="I264" i="13"/>
  <c r="I263" i="13"/>
  <c r="I262" i="13"/>
  <c r="I261" i="13"/>
  <c r="I260" i="13"/>
  <c r="I259" i="13"/>
  <c r="I258" i="13"/>
  <c r="I257" i="13"/>
  <c r="I256" i="13"/>
  <c r="I255" i="13"/>
  <c r="I254" i="13"/>
  <c r="I253" i="13"/>
  <c r="I252" i="13"/>
  <c r="I251" i="13"/>
  <c r="I250" i="13"/>
  <c r="I249" i="13"/>
  <c r="I248" i="13"/>
  <c r="I247" i="13"/>
  <c r="I246" i="13"/>
  <c r="I245" i="13"/>
  <c r="I244" i="13"/>
  <c r="I243" i="13"/>
  <c r="I242" i="13"/>
  <c r="I241" i="13"/>
  <c r="I240" i="13"/>
  <c r="I239" i="13"/>
  <c r="I238" i="13"/>
  <c r="I237" i="13"/>
  <c r="I236" i="13"/>
  <c r="I235" i="13"/>
  <c r="I234" i="13"/>
  <c r="I233" i="13"/>
  <c r="I232" i="13"/>
  <c r="I231" i="13"/>
  <c r="I230" i="13"/>
  <c r="I229" i="13"/>
  <c r="I228" i="13"/>
  <c r="I227" i="13"/>
  <c r="I226" i="13"/>
  <c r="I225" i="13"/>
  <c r="I224" i="13"/>
  <c r="I223" i="13"/>
  <c r="I222" i="13"/>
  <c r="I221" i="13"/>
  <c r="I220" i="13"/>
  <c r="I219" i="13"/>
  <c r="I218" i="13"/>
  <c r="I217" i="13"/>
  <c r="I216" i="13"/>
  <c r="I215" i="13"/>
  <c r="I214" i="13"/>
  <c r="I213" i="13"/>
  <c r="I212" i="13"/>
  <c r="I211" i="13"/>
  <c r="I210" i="13"/>
  <c r="I209" i="13"/>
  <c r="I208" i="13"/>
  <c r="I207" i="13"/>
  <c r="I206" i="13"/>
  <c r="I205" i="13"/>
  <c r="I204" i="13"/>
  <c r="I203" i="13"/>
  <c r="I202" i="13"/>
  <c r="I201" i="13"/>
  <c r="I200" i="13"/>
  <c r="I199" i="13"/>
  <c r="I198" i="13"/>
  <c r="I197" i="13"/>
  <c r="I196" i="13"/>
  <c r="I195" i="13"/>
  <c r="I194" i="13"/>
  <c r="I193" i="13"/>
  <c r="I192" i="13"/>
  <c r="I191" i="13"/>
  <c r="I190" i="13"/>
  <c r="I189" i="13"/>
  <c r="I185" i="13"/>
  <c r="I31" i="13"/>
  <c r="I109" i="13"/>
  <c r="I28" i="13"/>
  <c r="I27" i="13"/>
  <c r="I26" i="13"/>
  <c r="I25" i="13"/>
  <c r="I24" i="13"/>
  <c r="I23" i="13"/>
  <c r="I22" i="13"/>
  <c r="I21" i="13"/>
  <c r="J21" i="13" s="1"/>
  <c r="B15" i="15"/>
  <c r="B11" i="15"/>
  <c r="B15" i="13"/>
  <c r="B11" i="13"/>
  <c r="B15" i="14"/>
  <c r="B11" i="14"/>
  <c r="J22" i="16" l="1"/>
  <c r="K21" i="16"/>
  <c r="J23" i="15"/>
  <c r="K22" i="15"/>
  <c r="J22" i="14"/>
  <c r="K21" i="14"/>
  <c r="J22" i="13"/>
  <c r="K21" i="13"/>
  <c r="J23" i="16" l="1"/>
  <c r="K22" i="16"/>
  <c r="J24" i="15"/>
  <c r="K23" i="15"/>
  <c r="J23" i="14"/>
  <c r="K22" i="14"/>
  <c r="J23" i="13"/>
  <c r="K22" i="13"/>
  <c r="J24" i="16" l="1"/>
  <c r="K23" i="16"/>
  <c r="J25" i="15"/>
  <c r="K24" i="15"/>
  <c r="J24" i="14"/>
  <c r="K23" i="14"/>
  <c r="J24" i="13"/>
  <c r="K23" i="13"/>
  <c r="J25" i="16" l="1"/>
  <c r="K24" i="16"/>
  <c r="J26" i="15"/>
  <c r="K25" i="15"/>
  <c r="J25" i="14"/>
  <c r="K24" i="14"/>
  <c r="J25" i="13"/>
  <c r="K24" i="13"/>
  <c r="J26" i="16" l="1"/>
  <c r="K25" i="16"/>
  <c r="J27" i="15"/>
  <c r="K26" i="15"/>
  <c r="J26" i="14"/>
  <c r="K25" i="14"/>
  <c r="J26" i="13"/>
  <c r="K25" i="13"/>
  <c r="J27" i="16" l="1"/>
  <c r="K26" i="16"/>
  <c r="J28" i="15"/>
  <c r="K27" i="15"/>
  <c r="J27" i="14"/>
  <c r="K26" i="14"/>
  <c r="J27" i="13"/>
  <c r="K26" i="13"/>
  <c r="J28" i="16" l="1"/>
  <c r="K27" i="16"/>
  <c r="J29" i="15"/>
  <c r="K28" i="15"/>
  <c r="J28" i="14"/>
  <c r="K27" i="14"/>
  <c r="K27" i="13"/>
  <c r="J28" i="13"/>
  <c r="J29" i="16" l="1"/>
  <c r="K28" i="16"/>
  <c r="J30" i="15"/>
  <c r="K29" i="15"/>
  <c r="J29" i="14"/>
  <c r="K28" i="14"/>
  <c r="J29" i="13"/>
  <c r="K28" i="13"/>
  <c r="J30" i="16" l="1"/>
  <c r="K29" i="16"/>
  <c r="J31" i="15"/>
  <c r="K30" i="15"/>
  <c r="J30" i="14"/>
  <c r="K29" i="14"/>
  <c r="J30" i="13"/>
  <c r="K29" i="13"/>
  <c r="J31" i="16" l="1"/>
  <c r="K30" i="16"/>
  <c r="J32" i="15"/>
  <c r="K31" i="15"/>
  <c r="J31" i="14"/>
  <c r="K30" i="14"/>
  <c r="J31" i="13"/>
  <c r="K30" i="13"/>
  <c r="J32" i="16" l="1"/>
  <c r="K31" i="16"/>
  <c r="J33" i="15"/>
  <c r="K32" i="15"/>
  <c r="J32" i="14"/>
  <c r="K31" i="14"/>
  <c r="K31" i="13"/>
  <c r="J32" i="13"/>
  <c r="J33" i="16" l="1"/>
  <c r="K32" i="16"/>
  <c r="J34" i="15"/>
  <c r="K33" i="15"/>
  <c r="J33" i="14"/>
  <c r="K32" i="14"/>
  <c r="J33" i="13"/>
  <c r="K32" i="13"/>
  <c r="J34" i="16" l="1"/>
  <c r="K33" i="16"/>
  <c r="J35" i="15"/>
  <c r="K34" i="15"/>
  <c r="J34" i="14"/>
  <c r="K33" i="14"/>
  <c r="K33" i="13"/>
  <c r="J34" i="13"/>
  <c r="J35" i="16" l="1"/>
  <c r="K34" i="16"/>
  <c r="J36" i="15"/>
  <c r="K35" i="15"/>
  <c r="J35" i="14"/>
  <c r="K34" i="14"/>
  <c r="J35" i="13"/>
  <c r="K34" i="13"/>
  <c r="J36" i="16" l="1"/>
  <c r="K35" i="16"/>
  <c r="J37" i="15"/>
  <c r="K36" i="15"/>
  <c r="J36" i="14"/>
  <c r="K35" i="14"/>
  <c r="K35" i="13"/>
  <c r="J36" i="13"/>
  <c r="J37" i="16" l="1"/>
  <c r="K36" i="16"/>
  <c r="J38" i="15"/>
  <c r="K37" i="15"/>
  <c r="J37" i="14"/>
  <c r="K36" i="14"/>
  <c r="K36" i="13"/>
  <c r="J37" i="13"/>
  <c r="J38" i="16" l="1"/>
  <c r="K37" i="16"/>
  <c r="J39" i="15"/>
  <c r="K38" i="15"/>
  <c r="J38" i="14"/>
  <c r="K37" i="14"/>
  <c r="J38" i="13"/>
  <c r="K37" i="13"/>
  <c r="J39" i="16" l="1"/>
  <c r="K38" i="16"/>
  <c r="J40" i="15"/>
  <c r="K39" i="15"/>
  <c r="J39" i="14"/>
  <c r="K38" i="14"/>
  <c r="J39" i="13"/>
  <c r="K38" i="13"/>
  <c r="J40" i="16" l="1"/>
  <c r="K39" i="16"/>
  <c r="J41" i="15"/>
  <c r="K40" i="15"/>
  <c r="J40" i="14"/>
  <c r="K39" i="14"/>
  <c r="J40" i="13"/>
  <c r="K39" i="13"/>
  <c r="J41" i="16" l="1"/>
  <c r="K40" i="16"/>
  <c r="J42" i="15"/>
  <c r="K41" i="15"/>
  <c r="J41" i="14"/>
  <c r="K40" i="14"/>
  <c r="K40" i="13"/>
  <c r="J41" i="13"/>
  <c r="J42" i="16" l="1"/>
  <c r="K41" i="16"/>
  <c r="J43" i="15"/>
  <c r="K42" i="15"/>
  <c r="J42" i="14"/>
  <c r="K41" i="14"/>
  <c r="J42" i="13"/>
  <c r="K41" i="13"/>
  <c r="J43" i="16" l="1"/>
  <c r="K42" i="16"/>
  <c r="J44" i="15"/>
  <c r="K43" i="15"/>
  <c r="J43" i="14"/>
  <c r="K42" i="14"/>
  <c r="K42" i="13"/>
  <c r="J43" i="13"/>
  <c r="J44" i="16" l="1"/>
  <c r="K43" i="16"/>
  <c r="J45" i="15"/>
  <c r="K44" i="15"/>
  <c r="K43" i="14"/>
  <c r="J44" i="14"/>
  <c r="K43" i="13"/>
  <c r="J44" i="13"/>
  <c r="J45" i="16" l="1"/>
  <c r="K44" i="16"/>
  <c r="J46" i="15"/>
  <c r="K45" i="15"/>
  <c r="K44" i="14"/>
  <c r="J45" i="14"/>
  <c r="J45" i="13"/>
  <c r="K44" i="13"/>
  <c r="J46" i="16" l="1"/>
  <c r="K45" i="16"/>
  <c r="J47" i="15"/>
  <c r="K46" i="15"/>
  <c r="K45" i="14"/>
  <c r="J46" i="14"/>
  <c r="J46" i="13"/>
  <c r="K45" i="13"/>
  <c r="J47" i="16" l="1"/>
  <c r="K46" i="16"/>
  <c r="J48" i="15"/>
  <c r="K47" i="15"/>
  <c r="J47" i="14"/>
  <c r="K46" i="14"/>
  <c r="K46" i="13"/>
  <c r="J47" i="13"/>
  <c r="J48" i="16" l="1"/>
  <c r="K47" i="16"/>
  <c r="J49" i="15"/>
  <c r="K48" i="15"/>
  <c r="K47" i="14"/>
  <c r="J48" i="14"/>
  <c r="J48" i="13"/>
  <c r="K47" i="13"/>
  <c r="J49" i="16" l="1"/>
  <c r="K48" i="16"/>
  <c r="J50" i="15"/>
  <c r="K49" i="15"/>
  <c r="J49" i="14"/>
  <c r="K48" i="14"/>
  <c r="J49" i="13"/>
  <c r="K48" i="13"/>
  <c r="J50" i="16" l="1"/>
  <c r="K49" i="16"/>
  <c r="J51" i="15"/>
  <c r="K50" i="15"/>
  <c r="J50" i="14"/>
  <c r="K49" i="14"/>
  <c r="J50" i="13"/>
  <c r="K49" i="13"/>
  <c r="J51" i="16" l="1"/>
  <c r="K50" i="16"/>
  <c r="J52" i="15"/>
  <c r="K51" i="15"/>
  <c r="J51" i="14"/>
  <c r="K50" i="14"/>
  <c r="J51" i="13"/>
  <c r="K50" i="13"/>
  <c r="J52" i="16" l="1"/>
  <c r="K51" i="16"/>
  <c r="J53" i="15"/>
  <c r="K52" i="15"/>
  <c r="K51" i="14"/>
  <c r="J52" i="14"/>
  <c r="J52" i="13"/>
  <c r="K51" i="13"/>
  <c r="J53" i="16" l="1"/>
  <c r="K52" i="16"/>
  <c r="J54" i="15"/>
  <c r="K53" i="15"/>
  <c r="K52" i="14"/>
  <c r="J53" i="14"/>
  <c r="J53" i="13"/>
  <c r="K52" i="13"/>
  <c r="J54" i="16" l="1"/>
  <c r="K53" i="16"/>
  <c r="J55" i="15"/>
  <c r="K54" i="15"/>
  <c r="J54" i="14"/>
  <c r="K53" i="14"/>
  <c r="K53" i="13"/>
  <c r="J54" i="13"/>
  <c r="J55" i="16" l="1"/>
  <c r="K54" i="16"/>
  <c r="J56" i="15"/>
  <c r="K55" i="15"/>
  <c r="J55" i="14"/>
  <c r="K54" i="14"/>
  <c r="K54" i="13"/>
  <c r="J55" i="13"/>
  <c r="J56" i="16" l="1"/>
  <c r="K55" i="16"/>
  <c r="J57" i="15"/>
  <c r="K56" i="15"/>
  <c r="J56" i="14"/>
  <c r="K55" i="14"/>
  <c r="J56" i="13"/>
  <c r="K55" i="13"/>
  <c r="J57" i="16" l="1"/>
  <c r="K56" i="16"/>
  <c r="J58" i="15"/>
  <c r="K57" i="15"/>
  <c r="K56" i="14"/>
  <c r="J57" i="14"/>
  <c r="J57" i="13"/>
  <c r="K56" i="13"/>
  <c r="J58" i="16" l="1"/>
  <c r="K57" i="16"/>
  <c r="J59" i="15"/>
  <c r="K58" i="15"/>
  <c r="J58" i="14"/>
  <c r="K57" i="14"/>
  <c r="J58" i="13"/>
  <c r="K57" i="13"/>
  <c r="J59" i="16" l="1"/>
  <c r="K58" i="16"/>
  <c r="J60" i="15"/>
  <c r="K59" i="15"/>
  <c r="J59" i="14"/>
  <c r="K58" i="14"/>
  <c r="J59" i="13"/>
  <c r="K58" i="13"/>
  <c r="J60" i="16" l="1"/>
  <c r="K59" i="16"/>
  <c r="J61" i="15"/>
  <c r="K60" i="15"/>
  <c r="J60" i="14"/>
  <c r="K59" i="14"/>
  <c r="K59" i="13"/>
  <c r="J60" i="13"/>
  <c r="J61" i="16" l="1"/>
  <c r="K60" i="16"/>
  <c r="J62" i="15"/>
  <c r="K61" i="15"/>
  <c r="J61" i="14"/>
  <c r="K60" i="14"/>
  <c r="K60" i="13"/>
  <c r="J61" i="13"/>
  <c r="J62" i="16" l="1"/>
  <c r="K61" i="16"/>
  <c r="J63" i="15"/>
  <c r="K62" i="15"/>
  <c r="K61" i="14"/>
  <c r="J62" i="14"/>
  <c r="K61" i="13"/>
  <c r="J62" i="13"/>
  <c r="J63" i="16" l="1"/>
  <c r="K62" i="16"/>
  <c r="J64" i="15"/>
  <c r="K63" i="15"/>
  <c r="J63" i="14"/>
  <c r="K62" i="14"/>
  <c r="K62" i="13"/>
  <c r="J63" i="13"/>
  <c r="J64" i="16" l="1"/>
  <c r="K63" i="16"/>
  <c r="J65" i="15"/>
  <c r="K64" i="15"/>
  <c r="J64" i="14"/>
  <c r="K63" i="14"/>
  <c r="K63" i="13"/>
  <c r="J64" i="13"/>
  <c r="J65" i="16" l="1"/>
  <c r="K64" i="16"/>
  <c r="J66" i="15"/>
  <c r="K65" i="15"/>
  <c r="J65" i="14"/>
  <c r="K64" i="14"/>
  <c r="J65" i="13"/>
  <c r="K64" i="13"/>
  <c r="J66" i="16" l="1"/>
  <c r="K65" i="16"/>
  <c r="J67" i="15"/>
  <c r="K66" i="15"/>
  <c r="J66" i="14"/>
  <c r="K65" i="14"/>
  <c r="J66" i="13"/>
  <c r="K65" i="13"/>
  <c r="J67" i="16" l="1"/>
  <c r="K66" i="16"/>
  <c r="J68" i="15"/>
  <c r="K67" i="15"/>
  <c r="J67" i="14"/>
  <c r="K66" i="14"/>
  <c r="J67" i="13"/>
  <c r="K66" i="13"/>
  <c r="J68" i="16" l="1"/>
  <c r="K67" i="16"/>
  <c r="J69" i="15"/>
  <c r="K68" i="15"/>
  <c r="J68" i="14"/>
  <c r="K67" i="14"/>
  <c r="J68" i="13"/>
  <c r="K67" i="13"/>
  <c r="J69" i="16" l="1"/>
  <c r="K68" i="16"/>
  <c r="J70" i="15"/>
  <c r="K69" i="15"/>
  <c r="J69" i="14"/>
  <c r="K68" i="14"/>
  <c r="J69" i="13"/>
  <c r="K68" i="13"/>
  <c r="J70" i="16" l="1"/>
  <c r="K69" i="16"/>
  <c r="J71" i="15"/>
  <c r="K70" i="15"/>
  <c r="J70" i="14"/>
  <c r="K69" i="14"/>
  <c r="J70" i="13"/>
  <c r="K69" i="13"/>
  <c r="J71" i="16" l="1"/>
  <c r="K70" i="16"/>
  <c r="J72" i="15"/>
  <c r="K71" i="15"/>
  <c r="J71" i="14"/>
  <c r="K70" i="14"/>
  <c r="K70" i="13"/>
  <c r="J71" i="13"/>
  <c r="J72" i="16" l="1"/>
  <c r="K71" i="16"/>
  <c r="J73" i="15"/>
  <c r="K72" i="15"/>
  <c r="J72" i="14"/>
  <c r="K71" i="14"/>
  <c r="J72" i="13"/>
  <c r="K71" i="13"/>
  <c r="J73" i="16" l="1"/>
  <c r="K72" i="16"/>
  <c r="J74" i="15"/>
  <c r="K73" i="15"/>
  <c r="J73" i="14"/>
  <c r="K72" i="14"/>
  <c r="K72" i="13"/>
  <c r="J73" i="13"/>
  <c r="J74" i="16" l="1"/>
  <c r="K73" i="16"/>
  <c r="J75" i="15"/>
  <c r="K74" i="15"/>
  <c r="J74" i="14"/>
  <c r="K73" i="14"/>
  <c r="J74" i="13"/>
  <c r="K73" i="13"/>
  <c r="J75" i="16" l="1"/>
  <c r="K74" i="16"/>
  <c r="J76" i="15"/>
  <c r="K75" i="15"/>
  <c r="J75" i="14"/>
  <c r="K74" i="14"/>
  <c r="K74" i="13"/>
  <c r="J75" i="13"/>
  <c r="J76" i="16" l="1"/>
  <c r="K75" i="16"/>
  <c r="J77" i="15"/>
  <c r="K76" i="15"/>
  <c r="J76" i="14"/>
  <c r="K75" i="14"/>
  <c r="J76" i="13"/>
  <c r="K75" i="13"/>
  <c r="J77" i="16" l="1"/>
  <c r="K76" i="16"/>
  <c r="J78" i="15"/>
  <c r="K77" i="15"/>
  <c r="J77" i="14"/>
  <c r="K76" i="14"/>
  <c r="J77" i="13"/>
  <c r="K76" i="13"/>
  <c r="J78" i="16" l="1"/>
  <c r="K77" i="16"/>
  <c r="J79" i="15"/>
  <c r="K78" i="15"/>
  <c r="J78" i="14"/>
  <c r="K77" i="14"/>
  <c r="J78" i="13"/>
  <c r="K77" i="13"/>
  <c r="J79" i="16" l="1"/>
  <c r="K78" i="16"/>
  <c r="J80" i="15"/>
  <c r="K79" i="15"/>
  <c r="J79" i="14"/>
  <c r="K78" i="14"/>
  <c r="J79" i="13"/>
  <c r="K78" i="13"/>
  <c r="J80" i="16" l="1"/>
  <c r="K79" i="16"/>
  <c r="J81" i="15"/>
  <c r="K80" i="15"/>
  <c r="J80" i="14"/>
  <c r="K79" i="14"/>
  <c r="K79" i="13"/>
  <c r="J80" i="13"/>
  <c r="J81" i="16" l="1"/>
  <c r="K80" i="16"/>
  <c r="J82" i="15"/>
  <c r="K81" i="15"/>
  <c r="J81" i="14"/>
  <c r="K80" i="14"/>
  <c r="K80" i="13"/>
  <c r="J81" i="13"/>
  <c r="J82" i="16" l="1"/>
  <c r="K81" i="16"/>
  <c r="J83" i="15"/>
  <c r="K82" i="15"/>
  <c r="J82" i="14"/>
  <c r="K81" i="14"/>
  <c r="K81" i="13"/>
  <c r="J82" i="13"/>
  <c r="J83" i="16" l="1"/>
  <c r="K82" i="16"/>
  <c r="J84" i="15"/>
  <c r="K83" i="15"/>
  <c r="J83" i="14"/>
  <c r="K82" i="14"/>
  <c r="J83" i="13"/>
  <c r="K82" i="13"/>
  <c r="J84" i="16" l="1"/>
  <c r="K83" i="16"/>
  <c r="J85" i="15"/>
  <c r="K84" i="15"/>
  <c r="J84" i="14"/>
  <c r="K83" i="14"/>
  <c r="J84" i="13"/>
  <c r="K83" i="13"/>
  <c r="J85" i="16" l="1"/>
  <c r="K84" i="16"/>
  <c r="J86" i="15"/>
  <c r="K85" i="15"/>
  <c r="J85" i="14"/>
  <c r="K84" i="14"/>
  <c r="J85" i="13"/>
  <c r="K84" i="13"/>
  <c r="J86" i="16" l="1"/>
  <c r="K85" i="16"/>
  <c r="J87" i="15"/>
  <c r="K86" i="15"/>
  <c r="J86" i="14"/>
  <c r="K85" i="14"/>
  <c r="K85" i="13"/>
  <c r="J86" i="13"/>
  <c r="J87" i="16" l="1"/>
  <c r="K86" i="16"/>
  <c r="J88" i="15"/>
  <c r="K87" i="15"/>
  <c r="J87" i="14"/>
  <c r="K86" i="14"/>
  <c r="K86" i="13"/>
  <c r="J87" i="13"/>
  <c r="J88" i="16" l="1"/>
  <c r="K87" i="16"/>
  <c r="J89" i="15"/>
  <c r="K88" i="15"/>
  <c r="J88" i="14"/>
  <c r="K87" i="14"/>
  <c r="K87" i="13"/>
  <c r="J88" i="13"/>
  <c r="J89" i="16" l="1"/>
  <c r="K88" i="16"/>
  <c r="J90" i="15"/>
  <c r="K89" i="15"/>
  <c r="J89" i="14"/>
  <c r="K88" i="14"/>
  <c r="J89" i="13"/>
  <c r="K88" i="13"/>
  <c r="J90" i="16" l="1"/>
  <c r="K89" i="16"/>
  <c r="J91" i="15"/>
  <c r="K90" i="15"/>
  <c r="J90" i="14"/>
  <c r="K89" i="14"/>
  <c r="K89" i="13"/>
  <c r="J90" i="13"/>
  <c r="J91" i="16" l="1"/>
  <c r="K90" i="16"/>
  <c r="J92" i="15"/>
  <c r="K91" i="15"/>
  <c r="J91" i="14"/>
  <c r="K90" i="14"/>
  <c r="J91" i="13"/>
  <c r="K90" i="13"/>
  <c r="J92" i="16" l="1"/>
  <c r="K91" i="16"/>
  <c r="J93" i="15"/>
  <c r="K92" i="15"/>
  <c r="J92" i="14"/>
  <c r="K91" i="14"/>
  <c r="J92" i="13"/>
  <c r="K91" i="13"/>
  <c r="J93" i="16" l="1"/>
  <c r="K92" i="16"/>
  <c r="J94" i="15"/>
  <c r="K93" i="15"/>
  <c r="J93" i="14"/>
  <c r="K92" i="14"/>
  <c r="K92" i="13"/>
  <c r="J93" i="13"/>
  <c r="J94" i="16" l="1"/>
  <c r="K93" i="16"/>
  <c r="J95" i="15"/>
  <c r="K94" i="15"/>
  <c r="J94" i="14"/>
  <c r="K93" i="14"/>
  <c r="K93" i="13"/>
  <c r="J94" i="13"/>
  <c r="J95" i="16" l="1"/>
  <c r="K94" i="16"/>
  <c r="J96" i="15"/>
  <c r="K95" i="15"/>
  <c r="J95" i="14"/>
  <c r="K94" i="14"/>
  <c r="K94" i="13"/>
  <c r="J95" i="13"/>
  <c r="J96" i="16" l="1"/>
  <c r="K95" i="16"/>
  <c r="J97" i="15"/>
  <c r="K96" i="15"/>
  <c r="J96" i="14"/>
  <c r="K95" i="14"/>
  <c r="J96" i="13"/>
  <c r="K95" i="13"/>
  <c r="J97" i="16" l="1"/>
  <c r="K96" i="16"/>
  <c r="J98" i="15"/>
  <c r="K97" i="15"/>
  <c r="J97" i="14"/>
  <c r="K96" i="14"/>
  <c r="K96" i="13"/>
  <c r="J97" i="13"/>
  <c r="J98" i="16" l="1"/>
  <c r="K97" i="16"/>
  <c r="J99" i="15"/>
  <c r="K98" i="15"/>
  <c r="J98" i="14"/>
  <c r="K97" i="14"/>
  <c r="J98" i="13"/>
  <c r="K97" i="13"/>
  <c r="J99" i="16" l="1"/>
  <c r="K98" i="16"/>
  <c r="K99" i="15"/>
  <c r="J100" i="15"/>
  <c r="J99" i="14"/>
  <c r="K98" i="14"/>
  <c r="J99" i="13"/>
  <c r="K98" i="13"/>
  <c r="J100" i="16" l="1"/>
  <c r="K99" i="16"/>
  <c r="K100" i="15"/>
  <c r="J101" i="15"/>
  <c r="J100" i="14"/>
  <c r="K99" i="14"/>
  <c r="K99" i="13"/>
  <c r="J100" i="13"/>
  <c r="J101" i="16" l="1"/>
  <c r="K100" i="16"/>
  <c r="K101" i="15"/>
  <c r="J102" i="15"/>
  <c r="J101" i="14"/>
  <c r="K100" i="14"/>
  <c r="K100" i="13"/>
  <c r="J101" i="13"/>
  <c r="J102" i="16" l="1"/>
  <c r="K101" i="16"/>
  <c r="K102" i="15"/>
  <c r="J103" i="15"/>
  <c r="J102" i="14"/>
  <c r="K101" i="14"/>
  <c r="J102" i="13"/>
  <c r="K101" i="13"/>
  <c r="J103" i="16" l="1"/>
  <c r="K102" i="16"/>
  <c r="J104" i="15"/>
  <c r="K103" i="15"/>
  <c r="J103" i="14"/>
  <c r="K102" i="14"/>
  <c r="J103" i="13"/>
  <c r="K102" i="13"/>
  <c r="J104" i="16" l="1"/>
  <c r="K103" i="16"/>
  <c r="K104" i="15"/>
  <c r="J105" i="15"/>
  <c r="J104" i="14"/>
  <c r="K103" i="14"/>
  <c r="K103" i="13"/>
  <c r="J104" i="13"/>
  <c r="J105" i="16" l="1"/>
  <c r="K104" i="16"/>
  <c r="J106" i="15"/>
  <c r="K105" i="15"/>
  <c r="J105" i="14"/>
  <c r="K104" i="14"/>
  <c r="K104" i="13"/>
  <c r="J105" i="13"/>
  <c r="J106" i="16" l="1"/>
  <c r="K105" i="16"/>
  <c r="K106" i="15"/>
  <c r="J107" i="15"/>
  <c r="J106" i="14"/>
  <c r="K105" i="14"/>
  <c r="K105" i="13"/>
  <c r="J106" i="13"/>
  <c r="J107" i="16" l="1"/>
  <c r="K106" i="16"/>
  <c r="J108" i="15"/>
  <c r="K107" i="15"/>
  <c r="J107" i="14"/>
  <c r="K106" i="14"/>
  <c r="J107" i="13"/>
  <c r="K106" i="13"/>
  <c r="J108" i="16" l="1"/>
  <c r="K107" i="16"/>
  <c r="K108" i="15"/>
  <c r="J109" i="15"/>
  <c r="J108" i="14"/>
  <c r="K107" i="14"/>
  <c r="K107" i="13"/>
  <c r="J108" i="13"/>
  <c r="K108" i="16" l="1"/>
  <c r="J109" i="16"/>
  <c r="J110" i="15"/>
  <c r="K109" i="15"/>
  <c r="J109" i="14"/>
  <c r="K108" i="14"/>
  <c r="J109" i="13"/>
  <c r="K108" i="13"/>
  <c r="K109" i="16" l="1"/>
  <c r="J110" i="16"/>
  <c r="J111" i="15"/>
  <c r="K110" i="15"/>
  <c r="J110" i="14"/>
  <c r="K109" i="14"/>
  <c r="J110" i="13"/>
  <c r="K109" i="13"/>
  <c r="K110" i="16" l="1"/>
  <c r="J111" i="16"/>
  <c r="J112" i="15"/>
  <c r="K111" i="15"/>
  <c r="J111" i="14"/>
  <c r="K110" i="14"/>
  <c r="J111" i="13"/>
  <c r="K110" i="13"/>
  <c r="J112" i="16" l="1"/>
  <c r="K111" i="16"/>
  <c r="J113" i="15"/>
  <c r="K112" i="15"/>
  <c r="J112" i="14"/>
  <c r="K111" i="14"/>
  <c r="J112" i="13"/>
  <c r="K111" i="13"/>
  <c r="J113" i="16" l="1"/>
  <c r="K112" i="16"/>
  <c r="K113" i="15"/>
  <c r="J114" i="15"/>
  <c r="J113" i="14"/>
  <c r="K112" i="14"/>
  <c r="J113" i="13"/>
  <c r="K112" i="13"/>
  <c r="K113" i="16" l="1"/>
  <c r="J114" i="16"/>
  <c r="J115" i="15"/>
  <c r="K114" i="15"/>
  <c r="J114" i="14"/>
  <c r="K113" i="14"/>
  <c r="K113" i="13"/>
  <c r="J114" i="13"/>
  <c r="J115" i="16" l="1"/>
  <c r="K114" i="16"/>
  <c r="J116" i="15"/>
  <c r="K115" i="15"/>
  <c r="J115" i="14"/>
  <c r="K114" i="14"/>
  <c r="J115" i="13"/>
  <c r="K114" i="13"/>
  <c r="K115" i="16" l="1"/>
  <c r="J116" i="16"/>
  <c r="K116" i="15"/>
  <c r="J117" i="15"/>
  <c r="J116" i="14"/>
  <c r="K115" i="14"/>
  <c r="J116" i="13"/>
  <c r="K115" i="13"/>
  <c r="J117" i="16" l="1"/>
  <c r="K116" i="16"/>
  <c r="J118" i="15"/>
  <c r="K117" i="15"/>
  <c r="J117" i="14"/>
  <c r="K116" i="14"/>
  <c r="J117" i="13"/>
  <c r="K116" i="13"/>
  <c r="J118" i="16" l="1"/>
  <c r="K117" i="16"/>
  <c r="J119" i="15"/>
  <c r="K118" i="15"/>
  <c r="J118" i="14"/>
  <c r="K117" i="14"/>
  <c r="J118" i="13"/>
  <c r="K117" i="13"/>
  <c r="K118" i="16" l="1"/>
  <c r="J119" i="16"/>
  <c r="J120" i="15"/>
  <c r="K119" i="15"/>
  <c r="J119" i="14"/>
  <c r="K118" i="14"/>
  <c r="J119" i="13"/>
  <c r="K118" i="13"/>
  <c r="J120" i="16" l="1"/>
  <c r="K119" i="16"/>
  <c r="K120" i="15"/>
  <c r="J121" i="15"/>
  <c r="J120" i="14"/>
  <c r="K119" i="14"/>
  <c r="K119" i="13"/>
  <c r="J120" i="13"/>
  <c r="J121" i="16" l="1"/>
  <c r="K120" i="16"/>
  <c r="J122" i="15"/>
  <c r="K121" i="15"/>
  <c r="J121" i="14"/>
  <c r="K120" i="14"/>
  <c r="K120" i="13"/>
  <c r="J121" i="13"/>
  <c r="K121" i="16" l="1"/>
  <c r="J122" i="16"/>
  <c r="K122" i="15"/>
  <c r="J123" i="15"/>
  <c r="J122" i="14"/>
  <c r="K121" i="14"/>
  <c r="J122" i="13"/>
  <c r="K121" i="13"/>
  <c r="K122" i="16" l="1"/>
  <c r="J123" i="16"/>
  <c r="J124" i="15"/>
  <c r="K123" i="15"/>
  <c r="J123" i="14"/>
  <c r="K122" i="14"/>
  <c r="J123" i="13"/>
  <c r="K122" i="13"/>
  <c r="J124" i="16" l="1"/>
  <c r="K123" i="16"/>
  <c r="J125" i="15"/>
  <c r="K124" i="15"/>
  <c r="J124" i="14"/>
  <c r="K123" i="14"/>
  <c r="J124" i="13"/>
  <c r="K123" i="13"/>
  <c r="K124" i="16" l="1"/>
  <c r="J125" i="16"/>
  <c r="J126" i="15"/>
  <c r="K125" i="15"/>
  <c r="J125" i="14"/>
  <c r="K124" i="14"/>
  <c r="J125" i="13"/>
  <c r="K124" i="13"/>
  <c r="K125" i="16" l="1"/>
  <c r="J126" i="16"/>
  <c r="J127" i="15"/>
  <c r="K126" i="15"/>
  <c r="J126" i="14"/>
  <c r="K125" i="14"/>
  <c r="K125" i="13"/>
  <c r="J126" i="13"/>
  <c r="J127" i="16" l="1"/>
  <c r="K126" i="16"/>
  <c r="J128" i="15"/>
  <c r="K127" i="15"/>
  <c r="J127" i="14"/>
  <c r="K126" i="14"/>
  <c r="J127" i="13"/>
  <c r="K126" i="13"/>
  <c r="K127" i="16" l="1"/>
  <c r="J128" i="16"/>
  <c r="J129" i="15"/>
  <c r="K128" i="15"/>
  <c r="J128" i="14"/>
  <c r="K127" i="14"/>
  <c r="K127" i="13"/>
  <c r="J128" i="13"/>
  <c r="K128" i="16" l="1"/>
  <c r="J129" i="16"/>
  <c r="K129" i="15"/>
  <c r="J130" i="15"/>
  <c r="J129" i="14"/>
  <c r="K128" i="14"/>
  <c r="K128" i="13"/>
  <c r="J129" i="13"/>
  <c r="K129" i="16" l="1"/>
  <c r="J130" i="16"/>
  <c r="J131" i="15"/>
  <c r="K130" i="15"/>
  <c r="J130" i="14"/>
  <c r="K129" i="14"/>
  <c r="J130" i="13"/>
  <c r="K129" i="13"/>
  <c r="J131" i="16" l="1"/>
  <c r="K130" i="16"/>
  <c r="J132" i="15"/>
  <c r="K131" i="15"/>
  <c r="J131" i="14"/>
  <c r="K130" i="14"/>
  <c r="J131" i="13"/>
  <c r="K130" i="13"/>
  <c r="J132" i="16" l="1"/>
  <c r="K131" i="16"/>
  <c r="J133" i="15"/>
  <c r="K132" i="15"/>
  <c r="J132" i="14"/>
  <c r="K131" i="14"/>
  <c r="K131" i="13"/>
  <c r="J132" i="13"/>
  <c r="K132" i="16" l="1"/>
  <c r="J133" i="16"/>
  <c r="K133" i="15"/>
  <c r="J134" i="15"/>
  <c r="J133" i="14"/>
  <c r="K132" i="14"/>
  <c r="J133" i="13"/>
  <c r="K132" i="13"/>
  <c r="J134" i="16" l="1"/>
  <c r="K133" i="16"/>
  <c r="J135" i="15"/>
  <c r="K134" i="15"/>
  <c r="J134" i="14"/>
  <c r="K133" i="14"/>
  <c r="J134" i="13"/>
  <c r="K133" i="13"/>
  <c r="J135" i="16" l="1"/>
  <c r="K134" i="16"/>
  <c r="J136" i="15"/>
  <c r="K135" i="15"/>
  <c r="J135" i="14"/>
  <c r="K134" i="14"/>
  <c r="J135" i="13"/>
  <c r="K134" i="13"/>
  <c r="J136" i="16" l="1"/>
  <c r="K135" i="16"/>
  <c r="J137" i="15"/>
  <c r="K136" i="15"/>
  <c r="J136" i="14"/>
  <c r="K135" i="14"/>
  <c r="J136" i="13"/>
  <c r="K135" i="13"/>
  <c r="J137" i="16" l="1"/>
  <c r="K136" i="16"/>
  <c r="J138" i="15"/>
  <c r="K137" i="15"/>
  <c r="J137" i="14"/>
  <c r="K136" i="14"/>
  <c r="K136" i="13"/>
  <c r="J137" i="13"/>
  <c r="K137" i="16" l="1"/>
  <c r="J138" i="16"/>
  <c r="J139" i="15"/>
  <c r="K138" i="15"/>
  <c r="J138" i="14"/>
  <c r="K137" i="14"/>
  <c r="J138" i="13"/>
  <c r="K137" i="13"/>
  <c r="J139" i="16" l="1"/>
  <c r="K138" i="16"/>
  <c r="J140" i="15"/>
  <c r="K139" i="15"/>
  <c r="J139" i="14"/>
  <c r="K138" i="14"/>
  <c r="J139" i="13"/>
  <c r="K138" i="13"/>
  <c r="J140" i="16" l="1"/>
  <c r="K139" i="16"/>
  <c r="J141" i="15"/>
  <c r="K140" i="15"/>
  <c r="J140" i="14"/>
  <c r="K139" i="14"/>
  <c r="J140" i="13"/>
  <c r="K139" i="13"/>
  <c r="J141" i="16" l="1"/>
  <c r="K140" i="16"/>
  <c r="J142" i="15"/>
  <c r="K141" i="15"/>
  <c r="J141" i="14"/>
  <c r="K140" i="14"/>
  <c r="J141" i="13"/>
  <c r="K140" i="13"/>
  <c r="K141" i="16" l="1"/>
  <c r="J142" i="16"/>
  <c r="K142" i="15"/>
  <c r="J143" i="15"/>
  <c r="J142" i="14"/>
  <c r="K141" i="14"/>
  <c r="K141" i="13"/>
  <c r="J142" i="13"/>
  <c r="J143" i="16" l="1"/>
  <c r="K142" i="16"/>
  <c r="J144" i="15"/>
  <c r="K143" i="15"/>
  <c r="J143" i="14"/>
  <c r="K142" i="14"/>
  <c r="J143" i="13"/>
  <c r="K142" i="13"/>
  <c r="J144" i="16" l="1"/>
  <c r="K143" i="16"/>
  <c r="K144" i="15"/>
  <c r="J145" i="15"/>
  <c r="J144" i="14"/>
  <c r="K143" i="14"/>
  <c r="K143" i="13"/>
  <c r="J144" i="13"/>
  <c r="K144" i="16" l="1"/>
  <c r="J145" i="16"/>
  <c r="J146" i="15"/>
  <c r="K145" i="15"/>
  <c r="J145" i="14"/>
  <c r="K144" i="14"/>
  <c r="K144" i="13"/>
  <c r="J145" i="13"/>
  <c r="J146" i="16" l="1"/>
  <c r="K145" i="16"/>
  <c r="K146" i="15"/>
  <c r="J147" i="15"/>
  <c r="J146" i="14"/>
  <c r="K145" i="14"/>
  <c r="J146" i="13"/>
  <c r="K145" i="13"/>
  <c r="J147" i="16" l="1"/>
  <c r="K146" i="16"/>
  <c r="K147" i="15"/>
  <c r="J148" i="15"/>
  <c r="J147" i="14"/>
  <c r="K146" i="14"/>
  <c r="J147" i="13"/>
  <c r="K146" i="13"/>
  <c r="J148" i="16" l="1"/>
  <c r="K147" i="16"/>
  <c r="J149" i="15"/>
  <c r="K148" i="15"/>
  <c r="J148" i="14"/>
  <c r="K147" i="14"/>
  <c r="K147" i="13"/>
  <c r="J148" i="13"/>
  <c r="J149" i="16" l="1"/>
  <c r="K148" i="16"/>
  <c r="K149" i="15"/>
  <c r="J150" i="15"/>
  <c r="J149" i="14"/>
  <c r="K148" i="14"/>
  <c r="J149" i="13"/>
  <c r="K148" i="13"/>
  <c r="J150" i="16" l="1"/>
  <c r="K149" i="16"/>
  <c r="K150" i="15"/>
  <c r="J151" i="15"/>
  <c r="J150" i="14"/>
  <c r="K149" i="14"/>
  <c r="J150" i="13"/>
  <c r="K149" i="13"/>
  <c r="K150" i="16" l="1"/>
  <c r="J151" i="16"/>
  <c r="K151" i="15"/>
  <c r="J152" i="15"/>
  <c r="J151" i="14"/>
  <c r="K150" i="14"/>
  <c r="J151" i="13"/>
  <c r="K150" i="13"/>
  <c r="J152" i="16" l="1"/>
  <c r="K151" i="16"/>
  <c r="K152" i="15"/>
  <c r="J153" i="15"/>
  <c r="J152" i="14"/>
  <c r="K151" i="14"/>
  <c r="J152" i="13"/>
  <c r="K151" i="13"/>
  <c r="K152" i="16" l="1"/>
  <c r="J153" i="16"/>
  <c r="K153" i="15"/>
  <c r="J154" i="15"/>
  <c r="J153" i="14"/>
  <c r="K152" i="14"/>
  <c r="K152" i="13"/>
  <c r="J153" i="13"/>
  <c r="K153" i="16" l="1"/>
  <c r="J154" i="16"/>
  <c r="K154" i="15"/>
  <c r="J155" i="15"/>
  <c r="J154" i="14"/>
  <c r="K153" i="14"/>
  <c r="J154" i="13"/>
  <c r="K153" i="13"/>
  <c r="K154" i="16" l="1"/>
  <c r="J155" i="16"/>
  <c r="J156" i="15"/>
  <c r="K155" i="15"/>
  <c r="J155" i="14"/>
  <c r="K154" i="14"/>
  <c r="J155" i="13"/>
  <c r="K154" i="13"/>
  <c r="J156" i="16" l="1"/>
  <c r="K155" i="16"/>
  <c r="K156" i="15"/>
  <c r="J157" i="15"/>
  <c r="J156" i="14"/>
  <c r="K155" i="14"/>
  <c r="J156" i="13"/>
  <c r="K155" i="13"/>
  <c r="J157" i="16" l="1"/>
  <c r="K156" i="16"/>
  <c r="J158" i="15"/>
  <c r="K157" i="15"/>
  <c r="J157" i="14"/>
  <c r="K156" i="14"/>
  <c r="J157" i="13"/>
  <c r="K156" i="13"/>
  <c r="J158" i="16" l="1"/>
  <c r="K157" i="16"/>
  <c r="J159" i="15"/>
  <c r="K158" i="15"/>
  <c r="J158" i="14"/>
  <c r="K157" i="14"/>
  <c r="K157" i="13"/>
  <c r="J158" i="13"/>
  <c r="K158" i="16" l="1"/>
  <c r="J159" i="16"/>
  <c r="J160" i="15"/>
  <c r="K159" i="15"/>
  <c r="J159" i="14"/>
  <c r="K158" i="14"/>
  <c r="K158" i="13"/>
  <c r="J159" i="13"/>
  <c r="K159" i="16" l="1"/>
  <c r="J160" i="16"/>
  <c r="J161" i="15"/>
  <c r="K160" i="15"/>
  <c r="J160" i="14"/>
  <c r="K159" i="14"/>
  <c r="J160" i="13"/>
  <c r="K159" i="13"/>
  <c r="K160" i="16" l="1"/>
  <c r="J161" i="16"/>
  <c r="J162" i="15"/>
  <c r="K161" i="15"/>
  <c r="J161" i="14"/>
  <c r="K160" i="14"/>
  <c r="K160" i="13"/>
  <c r="J161" i="13"/>
  <c r="K161" i="16" l="1"/>
  <c r="J162" i="16"/>
  <c r="J163" i="15"/>
  <c r="K162" i="15"/>
  <c r="J162" i="14"/>
  <c r="K161" i="14"/>
  <c r="K161" i="13"/>
  <c r="J162" i="13"/>
  <c r="K162" i="16" l="1"/>
  <c r="J163" i="16"/>
  <c r="K163" i="15"/>
  <c r="J164" i="15"/>
  <c r="J163" i="14"/>
  <c r="K162" i="14"/>
  <c r="J163" i="13"/>
  <c r="K162" i="13"/>
  <c r="J164" i="16" l="1"/>
  <c r="K163" i="16"/>
  <c r="K164" i="15"/>
  <c r="J165" i="15"/>
  <c r="J164" i="14"/>
  <c r="K163" i="14"/>
  <c r="J164" i="13"/>
  <c r="K163" i="13"/>
  <c r="J165" i="16" l="1"/>
  <c r="K164" i="16"/>
  <c r="J166" i="15"/>
  <c r="K165" i="15"/>
  <c r="J165" i="14"/>
  <c r="K164" i="14"/>
  <c r="K164" i="13"/>
  <c r="J165" i="13"/>
  <c r="J166" i="16" l="1"/>
  <c r="K165" i="16"/>
  <c r="J167" i="15"/>
  <c r="K166" i="15"/>
  <c r="J166" i="14"/>
  <c r="K165" i="14"/>
  <c r="J166" i="13"/>
  <c r="K165" i="13"/>
  <c r="J167" i="16" l="1"/>
  <c r="K166" i="16"/>
  <c r="J168" i="15"/>
  <c r="K167" i="15"/>
  <c r="J167" i="14"/>
  <c r="K166" i="14"/>
  <c r="K166" i="13"/>
  <c r="J167" i="13"/>
  <c r="J168" i="16" l="1"/>
  <c r="K167" i="16"/>
  <c r="J169" i="15"/>
  <c r="K168" i="15"/>
  <c r="J168" i="14"/>
  <c r="K167" i="14"/>
  <c r="J168" i="13"/>
  <c r="K167" i="13"/>
  <c r="J169" i="16" l="1"/>
  <c r="K168" i="16"/>
  <c r="J170" i="15"/>
  <c r="K169" i="15"/>
  <c r="J169" i="14"/>
  <c r="K168" i="14"/>
  <c r="J169" i="13"/>
  <c r="K168" i="13"/>
  <c r="K169" i="16" l="1"/>
  <c r="J170" i="16"/>
  <c r="K170" i="15"/>
  <c r="J171" i="15"/>
  <c r="J170" i="14"/>
  <c r="K169" i="14"/>
  <c r="J170" i="13"/>
  <c r="K169" i="13"/>
  <c r="J171" i="16" l="1"/>
  <c r="K170" i="16"/>
  <c r="J172" i="15"/>
  <c r="K171" i="15"/>
  <c r="J171" i="14"/>
  <c r="K170" i="14"/>
  <c r="K170" i="13"/>
  <c r="J171" i="13"/>
  <c r="K171" i="16" l="1"/>
  <c r="J172" i="16"/>
  <c r="J173" i="15"/>
  <c r="K172" i="15"/>
  <c r="J172" i="14"/>
  <c r="K171" i="14"/>
  <c r="J172" i="13"/>
  <c r="K171" i="13"/>
  <c r="J173" i="16" l="1"/>
  <c r="K172" i="16"/>
  <c r="J174" i="15"/>
  <c r="K173" i="15"/>
  <c r="J173" i="14"/>
  <c r="K172" i="14"/>
  <c r="K172" i="13"/>
  <c r="J173" i="13"/>
  <c r="K173" i="16" l="1"/>
  <c r="J174" i="16"/>
  <c r="J175" i="15"/>
  <c r="K174" i="15"/>
  <c r="J174" i="14"/>
  <c r="K173" i="14"/>
  <c r="J174" i="13"/>
  <c r="K173" i="13"/>
  <c r="K174" i="16" l="1"/>
  <c r="J175" i="16"/>
  <c r="J176" i="15"/>
  <c r="K175" i="15"/>
  <c r="J175" i="14"/>
  <c r="K174" i="14"/>
  <c r="J175" i="13"/>
  <c r="K174" i="13"/>
  <c r="K175" i="16" l="1"/>
  <c r="J176" i="16"/>
  <c r="J177" i="15"/>
  <c r="K176" i="15"/>
  <c r="J176" i="14"/>
  <c r="K175" i="14"/>
  <c r="K175" i="13"/>
  <c r="J176" i="13"/>
  <c r="J177" i="16" l="1"/>
  <c r="K176" i="16"/>
  <c r="K177" i="15"/>
  <c r="J178" i="15"/>
  <c r="J177" i="14"/>
  <c r="K176" i="14"/>
  <c r="K176" i="13"/>
  <c r="J177" i="13"/>
  <c r="K177" i="16" l="1"/>
  <c r="J178" i="16"/>
  <c r="J179" i="15"/>
  <c r="K178" i="15"/>
  <c r="J178" i="14"/>
  <c r="K177" i="14"/>
  <c r="K177" i="13"/>
  <c r="J178" i="13"/>
  <c r="J179" i="16" l="1"/>
  <c r="K178" i="16"/>
  <c r="J180" i="15"/>
  <c r="K179" i="15"/>
  <c r="J179" i="14"/>
  <c r="K178" i="14"/>
  <c r="J179" i="13"/>
  <c r="K178" i="13"/>
  <c r="J180" i="16" l="1"/>
  <c r="K179" i="16"/>
  <c r="J181" i="15"/>
  <c r="K180" i="15"/>
  <c r="J180" i="14"/>
  <c r="K179" i="14"/>
  <c r="J180" i="13"/>
  <c r="K179" i="13"/>
  <c r="K180" i="16" l="1"/>
  <c r="J181" i="16"/>
  <c r="J182" i="15"/>
  <c r="K181" i="15"/>
  <c r="J181" i="14"/>
  <c r="K180" i="14"/>
  <c r="J181" i="13"/>
  <c r="K180" i="13"/>
  <c r="J182" i="16" l="1"/>
  <c r="K181" i="16"/>
  <c r="K182" i="15"/>
  <c r="J183" i="15"/>
  <c r="J182" i="14"/>
  <c r="K181" i="14"/>
  <c r="J182" i="13"/>
  <c r="K181" i="13"/>
  <c r="J183" i="16" l="1"/>
  <c r="K182" i="16"/>
  <c r="K183" i="15"/>
  <c r="J184" i="15"/>
  <c r="J183" i="14"/>
  <c r="K182" i="14"/>
  <c r="J183" i="13"/>
  <c r="K182" i="13"/>
  <c r="J184" i="16" l="1"/>
  <c r="K183" i="16"/>
  <c r="J185" i="15"/>
  <c r="K184" i="15"/>
  <c r="J184" i="14"/>
  <c r="K183" i="14"/>
  <c r="J184" i="13"/>
  <c r="K183" i="13"/>
  <c r="K184" i="16" l="1"/>
  <c r="J185" i="16"/>
  <c r="K185" i="15"/>
  <c r="J186" i="15"/>
  <c r="J185" i="14"/>
  <c r="K184" i="14"/>
  <c r="J185" i="13"/>
  <c r="K184" i="13"/>
  <c r="J186" i="16" l="1"/>
  <c r="K185" i="16"/>
  <c r="J187" i="15"/>
  <c r="K186" i="15"/>
  <c r="J186" i="14"/>
  <c r="K185" i="14"/>
  <c r="K185" i="13"/>
  <c r="J186" i="13"/>
  <c r="J187" i="16" l="1"/>
  <c r="K186" i="16"/>
  <c r="J188" i="15"/>
  <c r="K187" i="15"/>
  <c r="J187" i="14"/>
  <c r="K186" i="14"/>
  <c r="J187" i="13"/>
  <c r="K186" i="13"/>
  <c r="J188" i="16" l="1"/>
  <c r="K187" i="16"/>
  <c r="K188" i="15"/>
  <c r="J189" i="15"/>
  <c r="J188" i="14"/>
  <c r="K187" i="14"/>
  <c r="J188" i="13"/>
  <c r="K187" i="13"/>
  <c r="K188" i="16" l="1"/>
  <c r="J189" i="16"/>
  <c r="K189" i="15"/>
  <c r="J190" i="15"/>
  <c r="J189" i="14"/>
  <c r="K188" i="14"/>
  <c r="J189" i="13"/>
  <c r="K188" i="13"/>
  <c r="J190" i="16" l="1"/>
  <c r="K189" i="16"/>
  <c r="J191" i="15"/>
  <c r="K190" i="15"/>
  <c r="J190" i="14"/>
  <c r="K189" i="14"/>
  <c r="J190" i="13"/>
  <c r="K189" i="13"/>
  <c r="K190" i="16" l="1"/>
  <c r="J191" i="16"/>
  <c r="J192" i="15"/>
  <c r="K191" i="15"/>
  <c r="J191" i="14"/>
  <c r="K190" i="14"/>
  <c r="J191" i="13"/>
  <c r="K190" i="13"/>
  <c r="K191" i="16" l="1"/>
  <c r="J192" i="16"/>
  <c r="J193" i="15"/>
  <c r="K192" i="15"/>
  <c r="J192" i="14"/>
  <c r="K191" i="14"/>
  <c r="J192" i="13"/>
  <c r="K191" i="13"/>
  <c r="J193" i="16" l="1"/>
  <c r="K192" i="16"/>
  <c r="J194" i="15"/>
  <c r="K193" i="15"/>
  <c r="J193" i="14"/>
  <c r="K192" i="14"/>
  <c r="J193" i="13"/>
  <c r="K192" i="13"/>
  <c r="J194" i="16" l="1"/>
  <c r="K193" i="16"/>
  <c r="K194" i="15"/>
  <c r="J195" i="15"/>
  <c r="J194" i="14"/>
  <c r="K193" i="14"/>
  <c r="J194" i="13"/>
  <c r="K193" i="13"/>
  <c r="J195" i="16" l="1"/>
  <c r="K194" i="16"/>
  <c r="J196" i="15"/>
  <c r="K195" i="15"/>
  <c r="J195" i="14"/>
  <c r="K194" i="14"/>
  <c r="J195" i="13"/>
  <c r="K194" i="13"/>
  <c r="J196" i="16" l="1"/>
  <c r="K195" i="16"/>
  <c r="J197" i="15"/>
  <c r="K196" i="15"/>
  <c r="J196" i="14"/>
  <c r="K195" i="14"/>
  <c r="J196" i="13"/>
  <c r="K195" i="13"/>
  <c r="J197" i="16" l="1"/>
  <c r="K196" i="16"/>
  <c r="J198" i="15"/>
  <c r="K197" i="15"/>
  <c r="J197" i="14"/>
  <c r="K196" i="14"/>
  <c r="J197" i="13"/>
  <c r="K196" i="13"/>
  <c r="J198" i="16" l="1"/>
  <c r="K197" i="16"/>
  <c r="J199" i="15"/>
  <c r="K198" i="15"/>
  <c r="J198" i="14"/>
  <c r="K197" i="14"/>
  <c r="J198" i="13"/>
  <c r="K197" i="13"/>
  <c r="K198" i="16" l="1"/>
  <c r="J199" i="16"/>
  <c r="J200" i="15"/>
  <c r="K199" i="15"/>
  <c r="J199" i="14"/>
  <c r="K198" i="14"/>
  <c r="J199" i="13"/>
  <c r="K198" i="13"/>
  <c r="K199" i="16" l="1"/>
  <c r="J200" i="16"/>
  <c r="J201" i="15"/>
  <c r="K200" i="15"/>
  <c r="J200" i="14"/>
  <c r="K199" i="14"/>
  <c r="J200" i="13"/>
  <c r="K199" i="13"/>
  <c r="J201" i="16" l="1"/>
  <c r="K200" i="16"/>
  <c r="J202" i="15"/>
  <c r="K201" i="15"/>
  <c r="J201" i="14"/>
  <c r="K200" i="14"/>
  <c r="J201" i="13"/>
  <c r="K200" i="13"/>
  <c r="J202" i="16" l="1"/>
  <c r="K201" i="16"/>
  <c r="J203" i="15"/>
  <c r="K202" i="15"/>
  <c r="J202" i="14"/>
  <c r="K201" i="14"/>
  <c r="J202" i="13"/>
  <c r="K201" i="13"/>
  <c r="J203" i="16" l="1"/>
  <c r="K202" i="16"/>
  <c r="J204" i="15"/>
  <c r="K203" i="15"/>
  <c r="J203" i="14"/>
  <c r="K202" i="14"/>
  <c r="J203" i="13"/>
  <c r="K202" i="13"/>
  <c r="J204" i="16" l="1"/>
  <c r="K203" i="16"/>
  <c r="J205" i="15"/>
  <c r="K204" i="15"/>
  <c r="J204" i="14"/>
  <c r="K203" i="14"/>
  <c r="J204" i="13"/>
  <c r="K203" i="13"/>
  <c r="K204" i="16" l="1"/>
  <c r="J205" i="16"/>
  <c r="J206" i="15"/>
  <c r="K205" i="15"/>
  <c r="J205" i="14"/>
  <c r="K204" i="14"/>
  <c r="J205" i="13"/>
  <c r="K204" i="13"/>
  <c r="K205" i="16" l="1"/>
  <c r="J206" i="16"/>
  <c r="J207" i="15"/>
  <c r="K206" i="15"/>
  <c r="J206" i="14"/>
  <c r="K205" i="14"/>
  <c r="J206" i="13"/>
  <c r="K205" i="13"/>
  <c r="J207" i="16" l="1"/>
  <c r="K206" i="16"/>
  <c r="J208" i="15"/>
  <c r="K207" i="15"/>
  <c r="J207" i="14"/>
  <c r="K206" i="14"/>
  <c r="J207" i="13"/>
  <c r="K206" i="13"/>
  <c r="J208" i="16" l="1"/>
  <c r="K207" i="16"/>
  <c r="K208" i="15"/>
  <c r="J209" i="15"/>
  <c r="J208" i="14"/>
  <c r="K207" i="14"/>
  <c r="J208" i="13"/>
  <c r="K207" i="13"/>
  <c r="J209" i="16" l="1"/>
  <c r="K208" i="16"/>
  <c r="J210" i="15"/>
  <c r="K209" i="15"/>
  <c r="J209" i="14"/>
  <c r="K208" i="14"/>
  <c r="J209" i="13"/>
  <c r="K208" i="13"/>
  <c r="J210" i="16" l="1"/>
  <c r="K209" i="16"/>
  <c r="J211" i="15"/>
  <c r="K210" i="15"/>
  <c r="J210" i="14"/>
  <c r="K209" i="14"/>
  <c r="J210" i="13"/>
  <c r="K209" i="13"/>
  <c r="K210" i="16" l="1"/>
  <c r="J211" i="16"/>
  <c r="J212" i="15"/>
  <c r="K211" i="15"/>
  <c r="J211" i="14"/>
  <c r="K210" i="14"/>
  <c r="J211" i="13"/>
  <c r="K210" i="13"/>
  <c r="J212" i="16" l="1"/>
  <c r="K211" i="16"/>
  <c r="J213" i="15"/>
  <c r="K212" i="15"/>
  <c r="J212" i="14"/>
  <c r="K211" i="14"/>
  <c r="J212" i="13"/>
  <c r="K211" i="13"/>
  <c r="K212" i="16" l="1"/>
  <c r="J213" i="16"/>
  <c r="J214" i="15"/>
  <c r="K213" i="15"/>
  <c r="J213" i="14"/>
  <c r="K212" i="14"/>
  <c r="J213" i="13"/>
  <c r="K212" i="13"/>
  <c r="J214" i="16" l="1"/>
  <c r="K213" i="16"/>
  <c r="J215" i="15"/>
  <c r="K214" i="15"/>
  <c r="J214" i="14"/>
  <c r="K213" i="14"/>
  <c r="J214" i="13"/>
  <c r="K213" i="13"/>
  <c r="J215" i="16" l="1"/>
  <c r="K214" i="16"/>
  <c r="J216" i="15"/>
  <c r="K215" i="15"/>
  <c r="J215" i="14"/>
  <c r="K214" i="14"/>
  <c r="J215" i="13"/>
  <c r="K214" i="13"/>
  <c r="K215" i="16" l="1"/>
  <c r="J216" i="16"/>
  <c r="J217" i="15"/>
  <c r="K216" i="15"/>
  <c r="J216" i="14"/>
  <c r="K215" i="14"/>
  <c r="J216" i="13"/>
  <c r="K215" i="13"/>
  <c r="J217" i="16" l="1"/>
  <c r="K216" i="16"/>
  <c r="J218" i="15"/>
  <c r="K217" i="15"/>
  <c r="J217" i="14"/>
  <c r="K216" i="14"/>
  <c r="J217" i="13"/>
  <c r="K216" i="13"/>
  <c r="J218" i="16" l="1"/>
  <c r="K217" i="16"/>
  <c r="J219" i="15"/>
  <c r="K218" i="15"/>
  <c r="J218" i="14"/>
  <c r="K217" i="14"/>
  <c r="J218" i="13"/>
  <c r="K217" i="13"/>
  <c r="J219" i="16" l="1"/>
  <c r="K218" i="16"/>
  <c r="J220" i="15"/>
  <c r="K219" i="15"/>
  <c r="J219" i="14"/>
  <c r="K218" i="14"/>
  <c r="J219" i="13"/>
  <c r="K218" i="13"/>
  <c r="K219" i="16" l="1"/>
  <c r="J220" i="16"/>
  <c r="J221" i="15"/>
  <c r="K220" i="15"/>
  <c r="J220" i="14"/>
  <c r="K219" i="14"/>
  <c r="J220" i="13"/>
  <c r="K219" i="13"/>
  <c r="J221" i="16" l="1"/>
  <c r="K220" i="16"/>
  <c r="J222" i="15"/>
  <c r="K221" i="15"/>
  <c r="J221" i="14"/>
  <c r="K220" i="14"/>
  <c r="J221" i="13"/>
  <c r="K220" i="13"/>
  <c r="J222" i="16" l="1"/>
  <c r="K221" i="16"/>
  <c r="J223" i="15"/>
  <c r="K222" i="15"/>
  <c r="J222" i="14"/>
  <c r="K221" i="14"/>
  <c r="J222" i="13"/>
  <c r="K221" i="13"/>
  <c r="J223" i="16" l="1"/>
  <c r="K222" i="16"/>
  <c r="J224" i="15"/>
  <c r="K223" i="15"/>
  <c r="J223" i="14"/>
  <c r="K222" i="14"/>
  <c r="J223" i="13"/>
  <c r="K222" i="13"/>
  <c r="K223" i="16" l="1"/>
  <c r="J224" i="16"/>
  <c r="J225" i="15"/>
  <c r="K224" i="15"/>
  <c r="J224" i="14"/>
  <c r="K223" i="14"/>
  <c r="J224" i="13"/>
  <c r="K223" i="13"/>
  <c r="K224" i="16" l="1"/>
  <c r="J225" i="16"/>
  <c r="J226" i="15"/>
  <c r="K225" i="15"/>
  <c r="J225" i="14"/>
  <c r="K224" i="14"/>
  <c r="J225" i="13"/>
  <c r="K224" i="13"/>
  <c r="K225" i="16" l="1"/>
  <c r="J226" i="16"/>
  <c r="J227" i="15"/>
  <c r="K226" i="15"/>
  <c r="J226" i="14"/>
  <c r="K225" i="14"/>
  <c r="J226" i="13"/>
  <c r="K225" i="13"/>
  <c r="J227" i="16" l="1"/>
  <c r="K226" i="16"/>
  <c r="J228" i="15"/>
  <c r="K227" i="15"/>
  <c r="J227" i="14"/>
  <c r="K226" i="14"/>
  <c r="J227" i="13"/>
  <c r="K226" i="13"/>
  <c r="K227" i="16" l="1"/>
  <c r="J228" i="16"/>
  <c r="J229" i="15"/>
  <c r="K228" i="15"/>
  <c r="J228" i="14"/>
  <c r="K227" i="14"/>
  <c r="J228" i="13"/>
  <c r="K227" i="13"/>
  <c r="J229" i="16" l="1"/>
  <c r="K228" i="16"/>
  <c r="J230" i="15"/>
  <c r="K229" i="15"/>
  <c r="J229" i="14"/>
  <c r="K228" i="14"/>
  <c r="J229" i="13"/>
  <c r="K228" i="13"/>
  <c r="J230" i="16" l="1"/>
  <c r="K229" i="16"/>
  <c r="J231" i="15"/>
  <c r="K230" i="15"/>
  <c r="J230" i="14"/>
  <c r="K229" i="14"/>
  <c r="J230" i="13"/>
  <c r="K229" i="13"/>
  <c r="K230" i="16" l="1"/>
  <c r="J231" i="16"/>
  <c r="J232" i="15"/>
  <c r="K231" i="15"/>
  <c r="J231" i="14"/>
  <c r="K230" i="14"/>
  <c r="J231" i="13"/>
  <c r="K230" i="13"/>
  <c r="J232" i="16" l="1"/>
  <c r="K231" i="16"/>
  <c r="J233" i="15"/>
  <c r="K232" i="15"/>
  <c r="J232" i="14"/>
  <c r="K231" i="14"/>
  <c r="J232" i="13"/>
  <c r="K231" i="13"/>
  <c r="J233" i="16" l="1"/>
  <c r="K232" i="16"/>
  <c r="J234" i="15"/>
  <c r="K233" i="15"/>
  <c r="J233" i="14"/>
  <c r="K232" i="14"/>
  <c r="J233" i="13"/>
  <c r="K232" i="13"/>
  <c r="J234" i="16" l="1"/>
  <c r="K233" i="16"/>
  <c r="J235" i="15"/>
  <c r="K234" i="15"/>
  <c r="J234" i="14"/>
  <c r="K233" i="14"/>
  <c r="J234" i="13"/>
  <c r="K233" i="13"/>
  <c r="K234" i="16" l="1"/>
  <c r="J235" i="16"/>
  <c r="J236" i="15"/>
  <c r="K235" i="15"/>
  <c r="J235" i="14"/>
  <c r="K234" i="14"/>
  <c r="J235" i="13"/>
  <c r="K234" i="13"/>
  <c r="J236" i="16" l="1"/>
  <c r="K235" i="16"/>
  <c r="J237" i="15"/>
  <c r="K236" i="15"/>
  <c r="J236" i="14"/>
  <c r="K235" i="14"/>
  <c r="J236" i="13"/>
  <c r="K235" i="13"/>
  <c r="K236" i="16" l="1"/>
  <c r="J237" i="16"/>
  <c r="J238" i="15"/>
  <c r="K237" i="15"/>
  <c r="J237" i="14"/>
  <c r="K236" i="14"/>
  <c r="J237" i="13"/>
  <c r="K236" i="13"/>
  <c r="J238" i="16" l="1"/>
  <c r="K237" i="16"/>
  <c r="J239" i="15"/>
  <c r="K238" i="15"/>
  <c r="J238" i="14"/>
  <c r="K237" i="14"/>
  <c r="J238" i="13"/>
  <c r="K237" i="13"/>
  <c r="K238" i="16" l="1"/>
  <c r="J239" i="16"/>
  <c r="J240" i="15"/>
  <c r="K239" i="15"/>
  <c r="J239" i="14"/>
  <c r="K238" i="14"/>
  <c r="J239" i="13"/>
  <c r="K238" i="13"/>
  <c r="J240" i="16" l="1"/>
  <c r="K239" i="16"/>
  <c r="J241" i="15"/>
  <c r="K240" i="15"/>
  <c r="J240" i="14"/>
  <c r="K239" i="14"/>
  <c r="J240" i="13"/>
  <c r="K239" i="13"/>
  <c r="J241" i="16" l="1"/>
  <c r="K240" i="16"/>
  <c r="J242" i="15"/>
  <c r="K241" i="15"/>
  <c r="J241" i="14"/>
  <c r="K240" i="14"/>
  <c r="J241" i="13"/>
  <c r="K240" i="13"/>
  <c r="J242" i="16" l="1"/>
  <c r="K241" i="16"/>
  <c r="J243" i="15"/>
  <c r="K242" i="15"/>
  <c r="J242" i="14"/>
  <c r="K241" i="14"/>
  <c r="J242" i="13"/>
  <c r="K241" i="13"/>
  <c r="J243" i="16" l="1"/>
  <c r="K242" i="16"/>
  <c r="J244" i="15"/>
  <c r="K243" i="15"/>
  <c r="J243" i="14"/>
  <c r="K242" i="14"/>
  <c r="J243" i="13"/>
  <c r="K242" i="13"/>
  <c r="J244" i="16" l="1"/>
  <c r="K243" i="16"/>
  <c r="J245" i="15"/>
  <c r="K244" i="15"/>
  <c r="J244" i="14"/>
  <c r="K243" i="14"/>
  <c r="J244" i="13"/>
  <c r="K243" i="13"/>
  <c r="J245" i="16" l="1"/>
  <c r="K244" i="16"/>
  <c r="J246" i="15"/>
  <c r="K245" i="15"/>
  <c r="J245" i="14"/>
  <c r="K244" i="14"/>
  <c r="J245" i="13"/>
  <c r="K244" i="13"/>
  <c r="J246" i="16" l="1"/>
  <c r="K245" i="16"/>
  <c r="J247" i="15"/>
  <c r="K246" i="15"/>
  <c r="J246" i="14"/>
  <c r="K245" i="14"/>
  <c r="J246" i="13"/>
  <c r="K245" i="13"/>
  <c r="J247" i="16" l="1"/>
  <c r="K246" i="16"/>
  <c r="J248" i="15"/>
  <c r="K247" i="15"/>
  <c r="J247" i="14"/>
  <c r="K246" i="14"/>
  <c r="J247" i="13"/>
  <c r="K246" i="13"/>
  <c r="J248" i="16" l="1"/>
  <c r="K247" i="16"/>
  <c r="J249" i="15"/>
  <c r="K248" i="15"/>
  <c r="J248" i="14"/>
  <c r="K247" i="14"/>
  <c r="J248" i="13"/>
  <c r="K247" i="13"/>
  <c r="J249" i="16" l="1"/>
  <c r="K248" i="16"/>
  <c r="J250" i="15"/>
  <c r="K249" i="15"/>
  <c r="J249" i="14"/>
  <c r="K248" i="14"/>
  <c r="J249" i="13"/>
  <c r="K248" i="13"/>
  <c r="J250" i="16" l="1"/>
  <c r="K249" i="16"/>
  <c r="J251" i="15"/>
  <c r="K250" i="15"/>
  <c r="J250" i="14"/>
  <c r="K249" i="14"/>
  <c r="J250" i="13"/>
  <c r="K249" i="13"/>
  <c r="J251" i="16" l="1"/>
  <c r="K250" i="16"/>
  <c r="J252" i="15"/>
  <c r="K251" i="15"/>
  <c r="J251" i="14"/>
  <c r="K250" i="14"/>
  <c r="J251" i="13"/>
  <c r="K250" i="13"/>
  <c r="J252" i="16" l="1"/>
  <c r="K251" i="16"/>
  <c r="J253" i="15"/>
  <c r="K252" i="15"/>
  <c r="J252" i="14"/>
  <c r="K251" i="14"/>
  <c r="J252" i="13"/>
  <c r="K251" i="13"/>
  <c r="J253" i="16" l="1"/>
  <c r="K252" i="16"/>
  <c r="J254" i="15"/>
  <c r="K253" i="15"/>
  <c r="J253" i="14"/>
  <c r="K252" i="14"/>
  <c r="J253" i="13"/>
  <c r="K252" i="13"/>
  <c r="J254" i="16" l="1"/>
  <c r="K253" i="16"/>
  <c r="J255" i="15"/>
  <c r="K254" i="15"/>
  <c r="J254" i="14"/>
  <c r="K253" i="14"/>
  <c r="J254" i="13"/>
  <c r="K253" i="13"/>
  <c r="J255" i="16" l="1"/>
  <c r="K254" i="16"/>
  <c r="J256" i="15"/>
  <c r="K255" i="15"/>
  <c r="J255" i="14"/>
  <c r="K254" i="14"/>
  <c r="J255" i="13"/>
  <c r="K254" i="13"/>
  <c r="J256" i="16" l="1"/>
  <c r="K255" i="16"/>
  <c r="J257" i="15"/>
  <c r="K256" i="15"/>
  <c r="J256" i="14"/>
  <c r="K255" i="14"/>
  <c r="J256" i="13"/>
  <c r="K255" i="13"/>
  <c r="J257" i="16" l="1"/>
  <c r="K256" i="16"/>
  <c r="J258" i="15"/>
  <c r="K257" i="15"/>
  <c r="J257" i="14"/>
  <c r="K256" i="14"/>
  <c r="J257" i="13"/>
  <c r="K256" i="13"/>
  <c r="J258" i="16" l="1"/>
  <c r="K257" i="16"/>
  <c r="J259" i="15"/>
  <c r="K258" i="15"/>
  <c r="J258" i="14"/>
  <c r="K257" i="14"/>
  <c r="J258" i="13"/>
  <c r="K257" i="13"/>
  <c r="J259" i="16" l="1"/>
  <c r="K258" i="16"/>
  <c r="J260" i="15"/>
  <c r="K259" i="15"/>
  <c r="J259" i="14"/>
  <c r="K258" i="14"/>
  <c r="J259" i="13"/>
  <c r="K258" i="13"/>
  <c r="J260" i="16" l="1"/>
  <c r="K259" i="16"/>
  <c r="J261" i="15"/>
  <c r="K260" i="15"/>
  <c r="J260" i="14"/>
  <c r="K259" i="14"/>
  <c r="J260" i="13"/>
  <c r="K259" i="13"/>
  <c r="J261" i="16" l="1"/>
  <c r="K260" i="16"/>
  <c r="J262" i="15"/>
  <c r="K261" i="15"/>
  <c r="J261" i="14"/>
  <c r="K260" i="14"/>
  <c r="J261" i="13"/>
  <c r="K260" i="13"/>
  <c r="J262" i="16" l="1"/>
  <c r="K261" i="16"/>
  <c r="J263" i="15"/>
  <c r="K262" i="15"/>
  <c r="J262" i="14"/>
  <c r="K261" i="14"/>
  <c r="J262" i="13"/>
  <c r="K261" i="13"/>
  <c r="J263" i="16" l="1"/>
  <c r="K262" i="16"/>
  <c r="J264" i="15"/>
  <c r="K263" i="15"/>
  <c r="J263" i="14"/>
  <c r="K262" i="14"/>
  <c r="J263" i="13"/>
  <c r="K262" i="13"/>
  <c r="J264" i="16" l="1"/>
  <c r="K263" i="16"/>
  <c r="J265" i="15"/>
  <c r="K264" i="15"/>
  <c r="J264" i="14"/>
  <c r="K263" i="14"/>
  <c r="J264" i="13"/>
  <c r="K263" i="13"/>
  <c r="J265" i="16" l="1"/>
  <c r="K264" i="16"/>
  <c r="J266" i="15"/>
  <c r="K265" i="15"/>
  <c r="J265" i="14"/>
  <c r="K264" i="14"/>
  <c r="J265" i="13"/>
  <c r="K264" i="13"/>
  <c r="J266" i="16" l="1"/>
  <c r="K265" i="16"/>
  <c r="J267" i="15"/>
  <c r="K266" i="15"/>
  <c r="J266" i="14"/>
  <c r="K265" i="14"/>
  <c r="J266" i="13"/>
  <c r="K265" i="13"/>
  <c r="J267" i="16" l="1"/>
  <c r="K266" i="16"/>
  <c r="J268" i="15"/>
  <c r="K267" i="15"/>
  <c r="J267" i="14"/>
  <c r="K266" i="14"/>
  <c r="J267" i="13"/>
  <c r="K266" i="13"/>
  <c r="J268" i="16" l="1"/>
  <c r="K267" i="16"/>
  <c r="J269" i="15"/>
  <c r="K268" i="15"/>
  <c r="J268" i="14"/>
  <c r="K267" i="14"/>
  <c r="J268" i="13"/>
  <c r="K267" i="13"/>
  <c r="J269" i="16" l="1"/>
  <c r="K268" i="16"/>
  <c r="J270" i="15"/>
  <c r="K269" i="15"/>
  <c r="J269" i="14"/>
  <c r="K268" i="14"/>
  <c r="J269" i="13"/>
  <c r="K268" i="13"/>
  <c r="J270" i="16" l="1"/>
  <c r="K269" i="16"/>
  <c r="J271" i="15"/>
  <c r="K270" i="15"/>
  <c r="J270" i="14"/>
  <c r="K269" i="14"/>
  <c r="J270" i="13"/>
  <c r="K269" i="13"/>
  <c r="J271" i="16" l="1"/>
  <c r="K270" i="16"/>
  <c r="J272" i="15"/>
  <c r="K271" i="15"/>
  <c r="J271" i="14"/>
  <c r="K270" i="14"/>
  <c r="J271" i="13"/>
  <c r="K270" i="13"/>
  <c r="J272" i="16" l="1"/>
  <c r="K271" i="16"/>
  <c r="J273" i="15"/>
  <c r="K272" i="15"/>
  <c r="J272" i="14"/>
  <c r="K271" i="14"/>
  <c r="J272" i="13"/>
  <c r="K271" i="13"/>
  <c r="J273" i="16" l="1"/>
  <c r="K272" i="16"/>
  <c r="J274" i="15"/>
  <c r="K273" i="15"/>
  <c r="J273" i="14"/>
  <c r="K272" i="14"/>
  <c r="J273" i="13"/>
  <c r="K272" i="13"/>
  <c r="J274" i="16" l="1"/>
  <c r="K273" i="16"/>
  <c r="J275" i="15"/>
  <c r="K274" i="15"/>
  <c r="J274" i="14"/>
  <c r="K273" i="14"/>
  <c r="J274" i="13"/>
  <c r="K273" i="13"/>
  <c r="J275" i="16" l="1"/>
  <c r="K274" i="16"/>
  <c r="J276" i="15"/>
  <c r="K275" i="15"/>
  <c r="J275" i="14"/>
  <c r="K274" i="14"/>
  <c r="J275" i="13"/>
  <c r="K274" i="13"/>
  <c r="J276" i="16" l="1"/>
  <c r="K275" i="16"/>
  <c r="J277" i="15"/>
  <c r="K276" i="15"/>
  <c r="J276" i="14"/>
  <c r="K275" i="14"/>
  <c r="J276" i="13"/>
  <c r="K275" i="13"/>
  <c r="J277" i="16" l="1"/>
  <c r="K276" i="16"/>
  <c r="J278" i="15"/>
  <c r="K277" i="15"/>
  <c r="J277" i="14"/>
  <c r="K276" i="14"/>
  <c r="J277" i="13"/>
  <c r="K276" i="13"/>
  <c r="J278" i="16" l="1"/>
  <c r="K277" i="16"/>
  <c r="J279" i="15"/>
  <c r="K278" i="15"/>
  <c r="J278" i="14"/>
  <c r="K277" i="14"/>
  <c r="J278" i="13"/>
  <c r="K277" i="13"/>
  <c r="J279" i="16" l="1"/>
  <c r="K278" i="16"/>
  <c r="J280" i="15"/>
  <c r="K279" i="15"/>
  <c r="J279" i="14"/>
  <c r="K278" i="14"/>
  <c r="J279" i="13"/>
  <c r="K278" i="13"/>
  <c r="J280" i="16" l="1"/>
  <c r="K279" i="16"/>
  <c r="J281" i="15"/>
  <c r="K280" i="15"/>
  <c r="J280" i="14"/>
  <c r="K279" i="14"/>
  <c r="J280" i="13"/>
  <c r="K279" i="13"/>
  <c r="J281" i="16" l="1"/>
  <c r="K280" i="16"/>
  <c r="J282" i="15"/>
  <c r="K281" i="15"/>
  <c r="J281" i="14"/>
  <c r="K280" i="14"/>
  <c r="J281" i="13"/>
  <c r="K280" i="13"/>
  <c r="J282" i="16" l="1"/>
  <c r="K281" i="16"/>
  <c r="J283" i="15"/>
  <c r="K282" i="15"/>
  <c r="J282" i="14"/>
  <c r="K281" i="14"/>
  <c r="J282" i="13"/>
  <c r="K281" i="13"/>
  <c r="J283" i="16" l="1"/>
  <c r="K282" i="16"/>
  <c r="J284" i="15"/>
  <c r="K283" i="15"/>
  <c r="J283" i="14"/>
  <c r="K282" i="14"/>
  <c r="J283" i="13"/>
  <c r="K282" i="13"/>
  <c r="J284" i="16" l="1"/>
  <c r="K283" i="16"/>
  <c r="J285" i="15"/>
  <c r="K284" i="15"/>
  <c r="J284" i="14"/>
  <c r="K283" i="14"/>
  <c r="J284" i="13"/>
  <c r="K283" i="13"/>
  <c r="J285" i="16" l="1"/>
  <c r="K284" i="16"/>
  <c r="J286" i="15"/>
  <c r="K285" i="15"/>
  <c r="J285" i="14"/>
  <c r="K284" i="14"/>
  <c r="J285" i="13"/>
  <c r="K284" i="13"/>
  <c r="J286" i="16" l="1"/>
  <c r="K285" i="16"/>
  <c r="J287" i="15"/>
  <c r="K286" i="15"/>
  <c r="J286" i="14"/>
  <c r="K285" i="14"/>
  <c r="J286" i="13"/>
  <c r="K285" i="13"/>
  <c r="J287" i="16" l="1"/>
  <c r="K286" i="16"/>
  <c r="J288" i="15"/>
  <c r="K287" i="15"/>
  <c r="J287" i="14"/>
  <c r="K286" i="14"/>
  <c r="J287" i="13"/>
  <c r="K286" i="13"/>
  <c r="J288" i="16" l="1"/>
  <c r="K287" i="16"/>
  <c r="J289" i="15"/>
  <c r="K288" i="15"/>
  <c r="J288" i="14"/>
  <c r="K287" i="14"/>
  <c r="J288" i="13"/>
  <c r="K287" i="13"/>
  <c r="J289" i="16" l="1"/>
  <c r="K288" i="16"/>
  <c r="J290" i="15"/>
  <c r="K289" i="15"/>
  <c r="J289" i="14"/>
  <c r="K288" i="14"/>
  <c r="J289" i="13"/>
  <c r="K288" i="13"/>
  <c r="J290" i="16" l="1"/>
  <c r="K289" i="16"/>
  <c r="J291" i="15"/>
  <c r="K290" i="15"/>
  <c r="J290" i="14"/>
  <c r="K289" i="14"/>
  <c r="J290" i="13"/>
  <c r="K289" i="13"/>
  <c r="J291" i="16" l="1"/>
  <c r="K290" i="16"/>
  <c r="J292" i="15"/>
  <c r="K291" i="15"/>
  <c r="J291" i="14"/>
  <c r="K290" i="14"/>
  <c r="J291" i="13"/>
  <c r="K290" i="13"/>
  <c r="J292" i="16" l="1"/>
  <c r="K291" i="16"/>
  <c r="J293" i="15"/>
  <c r="K292" i="15"/>
  <c r="J292" i="14"/>
  <c r="K291" i="14"/>
  <c r="J292" i="13"/>
  <c r="K291" i="13"/>
  <c r="J293" i="16" l="1"/>
  <c r="K292" i="16"/>
  <c r="J294" i="15"/>
  <c r="K293" i="15"/>
  <c r="J293" i="14"/>
  <c r="K292" i="14"/>
  <c r="J293" i="13"/>
  <c r="K292" i="13"/>
  <c r="J294" i="16" l="1"/>
  <c r="K293" i="16"/>
  <c r="J295" i="15"/>
  <c r="K294" i="15"/>
  <c r="J294" i="14"/>
  <c r="K293" i="14"/>
  <c r="J294" i="13"/>
  <c r="K293" i="13"/>
  <c r="J295" i="16" l="1"/>
  <c r="K294" i="16"/>
  <c r="J296" i="15"/>
  <c r="K295" i="15"/>
  <c r="J295" i="14"/>
  <c r="K294" i="14"/>
  <c r="J295" i="13"/>
  <c r="K294" i="13"/>
  <c r="J296" i="16" l="1"/>
  <c r="K295" i="16"/>
  <c r="J297" i="15"/>
  <c r="K296" i="15"/>
  <c r="J296" i="14"/>
  <c r="K295" i="14"/>
  <c r="J296" i="13"/>
  <c r="K295" i="13"/>
  <c r="J297" i="16" l="1"/>
  <c r="K296" i="16"/>
  <c r="J298" i="15"/>
  <c r="K297" i="15"/>
  <c r="J297" i="14"/>
  <c r="K296" i="14"/>
  <c r="J297" i="13"/>
  <c r="K296" i="13"/>
  <c r="J298" i="16" l="1"/>
  <c r="K297" i="16"/>
  <c r="J299" i="15"/>
  <c r="K298" i="15"/>
  <c r="J298" i="14"/>
  <c r="K297" i="14"/>
  <c r="J298" i="13"/>
  <c r="K297" i="13"/>
  <c r="J299" i="16" l="1"/>
  <c r="K298" i="16"/>
  <c r="J300" i="15"/>
  <c r="K299" i="15"/>
  <c r="J299" i="14"/>
  <c r="K298" i="14"/>
  <c r="J299" i="13"/>
  <c r="K298" i="13"/>
  <c r="J300" i="16" l="1"/>
  <c r="K299" i="16"/>
  <c r="J301" i="15"/>
  <c r="K300" i="15"/>
  <c r="J300" i="14"/>
  <c r="K299" i="14"/>
  <c r="J300" i="13"/>
  <c r="K299" i="13"/>
  <c r="J301" i="16" l="1"/>
  <c r="K300" i="16"/>
  <c r="J302" i="15"/>
  <c r="K301" i="15"/>
  <c r="J301" i="14"/>
  <c r="K300" i="14"/>
  <c r="J301" i="13"/>
  <c r="K300" i="13"/>
  <c r="J302" i="16" l="1"/>
  <c r="K301" i="16"/>
  <c r="J303" i="15"/>
  <c r="K302" i="15"/>
  <c r="J302" i="14"/>
  <c r="K301" i="14"/>
  <c r="J302" i="13"/>
  <c r="K301" i="13"/>
  <c r="J303" i="16" l="1"/>
  <c r="K302" i="16"/>
  <c r="J304" i="15"/>
  <c r="K303" i="15"/>
  <c r="J303" i="14"/>
  <c r="K302" i="14"/>
  <c r="J303" i="13"/>
  <c r="K302" i="13"/>
  <c r="J304" i="16" l="1"/>
  <c r="K303" i="16"/>
  <c r="J305" i="15"/>
  <c r="K304" i="15"/>
  <c r="J304" i="14"/>
  <c r="K303" i="14"/>
  <c r="J304" i="13"/>
  <c r="K303" i="13"/>
  <c r="J305" i="16" l="1"/>
  <c r="K304" i="16"/>
  <c r="J306" i="15"/>
  <c r="K305" i="15"/>
  <c r="J305" i="14"/>
  <c r="K304" i="14"/>
  <c r="J305" i="13"/>
  <c r="K304" i="13"/>
  <c r="J306" i="16" l="1"/>
  <c r="K305" i="16"/>
  <c r="J307" i="15"/>
  <c r="K306" i="15"/>
  <c r="J306" i="14"/>
  <c r="K305" i="14"/>
  <c r="J306" i="13"/>
  <c r="K305" i="13"/>
  <c r="J307" i="16" l="1"/>
  <c r="K306" i="16"/>
  <c r="J308" i="15"/>
  <c r="K307" i="15"/>
  <c r="J307" i="14"/>
  <c r="K306" i="14"/>
  <c r="J307" i="13"/>
  <c r="K306" i="13"/>
  <c r="J308" i="16" l="1"/>
  <c r="K307" i="16"/>
  <c r="J309" i="15"/>
  <c r="K308" i="15"/>
  <c r="J308" i="14"/>
  <c r="K307" i="14"/>
  <c r="J308" i="13"/>
  <c r="K307" i="13"/>
  <c r="J309" i="16" l="1"/>
  <c r="K308" i="16"/>
  <c r="J310" i="15"/>
  <c r="K309" i="15"/>
  <c r="J309" i="14"/>
  <c r="K308" i="14"/>
  <c r="J309" i="13"/>
  <c r="K308" i="13"/>
  <c r="J310" i="16" l="1"/>
  <c r="K309" i="16"/>
  <c r="J311" i="15"/>
  <c r="K310" i="15"/>
  <c r="J310" i="14"/>
  <c r="K309" i="14"/>
  <c r="J310" i="13"/>
  <c r="K309" i="13"/>
  <c r="J311" i="16" l="1"/>
  <c r="K310" i="16"/>
  <c r="J312" i="15"/>
  <c r="K311" i="15"/>
  <c r="J311" i="14"/>
  <c r="K310" i="14"/>
  <c r="J311" i="13"/>
  <c r="K310" i="13"/>
  <c r="J312" i="16" l="1"/>
  <c r="K311" i="16"/>
  <c r="J313" i="15"/>
  <c r="K312" i="15"/>
  <c r="J312" i="14"/>
  <c r="K311" i="14"/>
  <c r="J312" i="13"/>
  <c r="K311" i="13"/>
  <c r="J313" i="16" l="1"/>
  <c r="K312" i="16"/>
  <c r="J314" i="15"/>
  <c r="K313" i="15"/>
  <c r="J313" i="14"/>
  <c r="K312" i="14"/>
  <c r="J313" i="13"/>
  <c r="K312" i="13"/>
  <c r="J314" i="16" l="1"/>
  <c r="K313" i="16"/>
  <c r="J315" i="15"/>
  <c r="K314" i="15"/>
  <c r="J314" i="14"/>
  <c r="K313" i="14"/>
  <c r="J314" i="13"/>
  <c r="K313" i="13"/>
  <c r="J315" i="16" l="1"/>
  <c r="K314" i="16"/>
  <c r="J316" i="15"/>
  <c r="K315" i="15"/>
  <c r="J315" i="14"/>
  <c r="K314" i="14"/>
  <c r="J315" i="13"/>
  <c r="K314" i="13"/>
  <c r="J316" i="16" l="1"/>
  <c r="K315" i="16"/>
  <c r="J317" i="15"/>
  <c r="K316" i="15"/>
  <c r="J316" i="14"/>
  <c r="K315" i="14"/>
  <c r="J316" i="13"/>
  <c r="K315" i="13"/>
  <c r="J317" i="16" l="1"/>
  <c r="K316" i="16"/>
  <c r="J318" i="15"/>
  <c r="K317" i="15"/>
  <c r="J317" i="14"/>
  <c r="K316" i="14"/>
  <c r="J317" i="13"/>
  <c r="K316" i="13"/>
  <c r="J318" i="16" l="1"/>
  <c r="K317" i="16"/>
  <c r="J319" i="15"/>
  <c r="K318" i="15"/>
  <c r="J318" i="14"/>
  <c r="K317" i="14"/>
  <c r="J318" i="13"/>
  <c r="K317" i="13"/>
  <c r="J319" i="16" l="1"/>
  <c r="K318" i="16"/>
  <c r="J320" i="15"/>
  <c r="K319" i="15"/>
  <c r="J319" i="14"/>
  <c r="K318" i="14"/>
  <c r="J319" i="13"/>
  <c r="K318" i="13"/>
  <c r="J320" i="16" l="1"/>
  <c r="K319" i="16"/>
  <c r="J321" i="15"/>
  <c r="K320" i="15"/>
  <c r="J320" i="14"/>
  <c r="K319" i="14"/>
  <c r="J320" i="13"/>
  <c r="K319" i="13"/>
  <c r="J321" i="16" l="1"/>
  <c r="K320" i="16"/>
  <c r="J322" i="15"/>
  <c r="K321" i="15"/>
  <c r="J321" i="14"/>
  <c r="K320" i="14"/>
  <c r="J321" i="13"/>
  <c r="K320" i="13"/>
  <c r="J322" i="16" l="1"/>
  <c r="K321" i="16"/>
  <c r="J323" i="15"/>
  <c r="K322" i="15"/>
  <c r="J322" i="14"/>
  <c r="K321" i="14"/>
  <c r="J322" i="13"/>
  <c r="K321" i="13"/>
  <c r="J323" i="16" l="1"/>
  <c r="K322" i="16"/>
  <c r="J324" i="15"/>
  <c r="K323" i="15"/>
  <c r="J323" i="14"/>
  <c r="K322" i="14"/>
  <c r="J323" i="13"/>
  <c r="K322" i="13"/>
  <c r="J324" i="16" l="1"/>
  <c r="K323" i="16"/>
  <c r="J325" i="15"/>
  <c r="K324" i="15"/>
  <c r="J324" i="14"/>
  <c r="K323" i="14"/>
  <c r="J324" i="13"/>
  <c r="K323" i="13"/>
  <c r="J325" i="16" l="1"/>
  <c r="K324" i="16"/>
  <c r="J326" i="15"/>
  <c r="K325" i="15"/>
  <c r="J325" i="14"/>
  <c r="K324" i="14"/>
  <c r="J325" i="13"/>
  <c r="K324" i="13"/>
  <c r="J326" i="16" l="1"/>
  <c r="K325" i="16"/>
  <c r="J327" i="15"/>
  <c r="K326" i="15"/>
  <c r="J326" i="14"/>
  <c r="K325" i="14"/>
  <c r="J326" i="13"/>
  <c r="K325" i="13"/>
  <c r="J327" i="16" l="1"/>
  <c r="K326" i="16"/>
  <c r="J328" i="15"/>
  <c r="K327" i="15"/>
  <c r="J327" i="14"/>
  <c r="K326" i="14"/>
  <c r="J327" i="13"/>
  <c r="K326" i="13"/>
  <c r="J328" i="16" l="1"/>
  <c r="K327" i="16"/>
  <c r="J329" i="15"/>
  <c r="K328" i="15"/>
  <c r="J328" i="14"/>
  <c r="K327" i="14"/>
  <c r="J328" i="13"/>
  <c r="K327" i="13"/>
  <c r="J329" i="16" l="1"/>
  <c r="K328" i="16"/>
  <c r="J330" i="15"/>
  <c r="K329" i="15"/>
  <c r="J329" i="14"/>
  <c r="K328" i="14"/>
  <c r="J329" i="13"/>
  <c r="K328" i="13"/>
  <c r="J330" i="16" l="1"/>
  <c r="K329" i="16"/>
  <c r="J331" i="15"/>
  <c r="K330" i="15"/>
  <c r="J330" i="14"/>
  <c r="K329" i="14"/>
  <c r="J330" i="13"/>
  <c r="K329" i="13"/>
  <c r="J331" i="16" l="1"/>
  <c r="K330" i="16"/>
  <c r="J332" i="15"/>
  <c r="K331" i="15"/>
  <c r="J331" i="14"/>
  <c r="K330" i="14"/>
  <c r="J331" i="13"/>
  <c r="K330" i="13"/>
  <c r="J332" i="16" l="1"/>
  <c r="K331" i="16"/>
  <c r="J333" i="15"/>
  <c r="K332" i="15"/>
  <c r="J332" i="14"/>
  <c r="K331" i="14"/>
  <c r="J332" i="13"/>
  <c r="K331" i="13"/>
  <c r="J333" i="16" l="1"/>
  <c r="K332" i="16"/>
  <c r="J334" i="15"/>
  <c r="K333" i="15"/>
  <c r="J333" i="14"/>
  <c r="K332" i="14"/>
  <c r="J333" i="13"/>
  <c r="K332" i="13"/>
  <c r="J334" i="16" l="1"/>
  <c r="K333" i="16"/>
  <c r="J335" i="15"/>
  <c r="K334" i="15"/>
  <c r="J334" i="14"/>
  <c r="K333" i="14"/>
  <c r="J334" i="13"/>
  <c r="K333" i="13"/>
  <c r="J335" i="16" l="1"/>
  <c r="K334" i="16"/>
  <c r="J336" i="15"/>
  <c r="K335" i="15"/>
  <c r="J335" i="14"/>
  <c r="K334" i="14"/>
  <c r="J335" i="13"/>
  <c r="K334" i="13"/>
  <c r="J336" i="16" l="1"/>
  <c r="K335" i="16"/>
  <c r="J337" i="15"/>
  <c r="K336" i="15"/>
  <c r="J336" i="14"/>
  <c r="K335" i="14"/>
  <c r="J336" i="13"/>
  <c r="K335" i="13"/>
  <c r="J337" i="16" l="1"/>
  <c r="K336" i="16"/>
  <c r="J338" i="15"/>
  <c r="K337" i="15"/>
  <c r="J337" i="14"/>
  <c r="K336" i="14"/>
  <c r="J337" i="13"/>
  <c r="K336" i="13"/>
  <c r="J338" i="16" l="1"/>
  <c r="K337" i="16"/>
  <c r="J339" i="15"/>
  <c r="K338" i="15"/>
  <c r="J338" i="14"/>
  <c r="K337" i="14"/>
  <c r="J338" i="13"/>
  <c r="K337" i="13"/>
  <c r="J339" i="16" l="1"/>
  <c r="K338" i="16"/>
  <c r="J340" i="15"/>
  <c r="K339" i="15"/>
  <c r="J339" i="14"/>
  <c r="K338" i="14"/>
  <c r="J339" i="13"/>
  <c r="K338" i="13"/>
  <c r="J340" i="16" l="1"/>
  <c r="K339" i="16"/>
  <c r="J341" i="15"/>
  <c r="K340" i="15"/>
  <c r="J340" i="14"/>
  <c r="K339" i="14"/>
  <c r="J340" i="13"/>
  <c r="K339" i="13"/>
  <c r="J341" i="16" l="1"/>
  <c r="K340" i="16"/>
  <c r="J342" i="15"/>
  <c r="K341" i="15"/>
  <c r="J341" i="14"/>
  <c r="K340" i="14"/>
  <c r="J341" i="13"/>
  <c r="K340" i="13"/>
  <c r="J342" i="16" l="1"/>
  <c r="K341" i="16"/>
  <c r="J343" i="15"/>
  <c r="K342" i="15"/>
  <c r="J342" i="14"/>
  <c r="K341" i="14"/>
  <c r="J342" i="13"/>
  <c r="K341" i="13"/>
  <c r="J343" i="16" l="1"/>
  <c r="K342" i="16"/>
  <c r="J344" i="15"/>
  <c r="K343" i="15"/>
  <c r="J343" i="14"/>
  <c r="K342" i="14"/>
  <c r="J343" i="13"/>
  <c r="K342" i="13"/>
  <c r="J344" i="16" l="1"/>
  <c r="K343" i="16"/>
  <c r="J345" i="15"/>
  <c r="K344" i="15"/>
  <c r="J344" i="14"/>
  <c r="K343" i="14"/>
  <c r="J344" i="13"/>
  <c r="K343" i="13"/>
  <c r="J345" i="16" l="1"/>
  <c r="K344" i="16"/>
  <c r="J346" i="15"/>
  <c r="K345" i="15"/>
  <c r="J345" i="14"/>
  <c r="K344" i="14"/>
  <c r="J345" i="13"/>
  <c r="K344" i="13"/>
  <c r="J346" i="16" l="1"/>
  <c r="K345" i="16"/>
  <c r="J347" i="15"/>
  <c r="K346" i="15"/>
  <c r="J346" i="14"/>
  <c r="K345" i="14"/>
  <c r="J346" i="13"/>
  <c r="K345" i="13"/>
  <c r="J347" i="16" l="1"/>
  <c r="K346" i="16"/>
  <c r="J348" i="15"/>
  <c r="K347" i="15"/>
  <c r="J347" i="14"/>
  <c r="K346" i="14"/>
  <c r="J347" i="13"/>
  <c r="K346" i="13"/>
  <c r="J348" i="16" l="1"/>
  <c r="K347" i="16"/>
  <c r="J349" i="15"/>
  <c r="K348" i="15"/>
  <c r="J348" i="14"/>
  <c r="K347" i="14"/>
  <c r="J348" i="13"/>
  <c r="K347" i="13"/>
  <c r="J349" i="16" l="1"/>
  <c r="K348" i="16"/>
  <c r="J350" i="15"/>
  <c r="K349" i="15"/>
  <c r="J349" i="14"/>
  <c r="K348" i="14"/>
  <c r="J349" i="13"/>
  <c r="K348" i="13"/>
  <c r="J350" i="16" l="1"/>
  <c r="K349" i="16"/>
  <c r="J351" i="15"/>
  <c r="K350" i="15"/>
  <c r="J350" i="14"/>
  <c r="K349" i="14"/>
  <c r="J350" i="13"/>
  <c r="K349" i="13"/>
  <c r="J351" i="16" l="1"/>
  <c r="K350" i="16"/>
  <c r="J352" i="15"/>
  <c r="K351" i="15"/>
  <c r="J351" i="14"/>
  <c r="K350" i="14"/>
  <c r="J351" i="13"/>
  <c r="K350" i="13"/>
  <c r="J352" i="16" l="1"/>
  <c r="K351" i="16"/>
  <c r="J353" i="15"/>
  <c r="K352" i="15"/>
  <c r="J352" i="14"/>
  <c r="K351" i="14"/>
  <c r="J352" i="13"/>
  <c r="K351" i="13"/>
  <c r="J353" i="16" l="1"/>
  <c r="K352" i="16"/>
  <c r="J354" i="15"/>
  <c r="K353" i="15"/>
  <c r="J353" i="14"/>
  <c r="K352" i="14"/>
  <c r="J353" i="13"/>
  <c r="K352" i="13"/>
  <c r="J354" i="16" l="1"/>
  <c r="K353" i="16"/>
  <c r="J355" i="15"/>
  <c r="K354" i="15"/>
  <c r="J354" i="14"/>
  <c r="K353" i="14"/>
  <c r="J354" i="13"/>
  <c r="K353" i="13"/>
  <c r="J355" i="16" l="1"/>
  <c r="K354" i="16"/>
  <c r="J356" i="15"/>
  <c r="K355" i="15"/>
  <c r="J355" i="14"/>
  <c r="K354" i="14"/>
  <c r="J355" i="13"/>
  <c r="K354" i="13"/>
  <c r="J356" i="16" l="1"/>
  <c r="K355" i="16"/>
  <c r="J357" i="15"/>
  <c r="K356" i="15"/>
  <c r="J356" i="14"/>
  <c r="K355" i="14"/>
  <c r="J356" i="13"/>
  <c r="K355" i="13"/>
  <c r="J357" i="16" l="1"/>
  <c r="K356" i="16"/>
  <c r="J358" i="15"/>
  <c r="K357" i="15"/>
  <c r="J357" i="14"/>
  <c r="K356" i="14"/>
  <c r="J357" i="13"/>
  <c r="K356" i="13"/>
  <c r="J358" i="16" l="1"/>
  <c r="K357" i="16"/>
  <c r="J359" i="15"/>
  <c r="K358" i="15"/>
  <c r="J358" i="14"/>
  <c r="K357" i="14"/>
  <c r="J358" i="13"/>
  <c r="K357" i="13"/>
  <c r="J359" i="16" l="1"/>
  <c r="K358" i="16"/>
  <c r="J360" i="15"/>
  <c r="K359" i="15"/>
  <c r="J359" i="14"/>
  <c r="K358" i="14"/>
  <c r="J359" i="13"/>
  <c r="K358" i="13"/>
  <c r="J360" i="16" l="1"/>
  <c r="K359" i="16"/>
  <c r="J361" i="15"/>
  <c r="K360" i="15"/>
  <c r="J360" i="14"/>
  <c r="K359" i="14"/>
  <c r="J360" i="13"/>
  <c r="K359" i="13"/>
  <c r="J361" i="16" l="1"/>
  <c r="K360" i="16"/>
  <c r="J362" i="15"/>
  <c r="K361" i="15"/>
  <c r="J361" i="14"/>
  <c r="K360" i="14"/>
  <c r="J361" i="13"/>
  <c r="K360" i="13"/>
  <c r="J362" i="16" l="1"/>
  <c r="K361" i="16"/>
  <c r="J363" i="15"/>
  <c r="K362" i="15"/>
  <c r="J362" i="14"/>
  <c r="K361" i="14"/>
  <c r="J362" i="13"/>
  <c r="K361" i="13"/>
  <c r="J363" i="16" l="1"/>
  <c r="K362" i="16"/>
  <c r="J364" i="15"/>
  <c r="K363" i="15"/>
  <c r="J363" i="14"/>
  <c r="K362" i="14"/>
  <c r="J363" i="13"/>
  <c r="K362" i="13"/>
  <c r="J364" i="16" l="1"/>
  <c r="K363" i="16"/>
  <c r="J365" i="15"/>
  <c r="K364" i="15"/>
  <c r="J364" i="14"/>
  <c r="K363" i="14"/>
  <c r="J364" i="13"/>
  <c r="K363" i="13"/>
  <c r="J365" i="16" l="1"/>
  <c r="K364" i="16"/>
  <c r="J366" i="15"/>
  <c r="K365" i="15"/>
  <c r="J365" i="14"/>
  <c r="K364" i="14"/>
  <c r="J365" i="13"/>
  <c r="K364" i="13"/>
  <c r="J366" i="16" l="1"/>
  <c r="K365" i="16"/>
  <c r="J367" i="15"/>
  <c r="K366" i="15"/>
  <c r="J366" i="14"/>
  <c r="K365" i="14"/>
  <c r="J366" i="13"/>
  <c r="K365" i="13"/>
  <c r="J367" i="16" l="1"/>
  <c r="K366" i="16"/>
  <c r="J368" i="15"/>
  <c r="K367" i="15"/>
  <c r="J367" i="14"/>
  <c r="K366" i="14"/>
  <c r="J367" i="13"/>
  <c r="K366" i="13"/>
  <c r="J368" i="16" l="1"/>
  <c r="K367" i="16"/>
  <c r="J369" i="15"/>
  <c r="K368" i="15"/>
  <c r="J368" i="14"/>
  <c r="K367" i="14"/>
  <c r="J368" i="13"/>
  <c r="K367" i="13"/>
  <c r="J369" i="16" l="1"/>
  <c r="K368" i="16"/>
  <c r="J370" i="15"/>
  <c r="K369" i="15"/>
  <c r="J369" i="14"/>
  <c r="K368" i="14"/>
  <c r="J369" i="13"/>
  <c r="K368" i="13"/>
  <c r="J370" i="16" l="1"/>
  <c r="K369" i="16"/>
  <c r="J371" i="15"/>
  <c r="K370" i="15"/>
  <c r="J370" i="14"/>
  <c r="K369" i="14"/>
  <c r="J370" i="13"/>
  <c r="K369" i="13"/>
  <c r="J371" i="16" l="1"/>
  <c r="K370" i="16"/>
  <c r="J372" i="15"/>
  <c r="K371" i="15"/>
  <c r="J371" i="14"/>
  <c r="K370" i="14"/>
  <c r="J371" i="13"/>
  <c r="K370" i="13"/>
  <c r="J372" i="16" l="1"/>
  <c r="K371" i="16"/>
  <c r="J373" i="15"/>
  <c r="K372" i="15"/>
  <c r="J372" i="14"/>
  <c r="K371" i="14"/>
  <c r="J372" i="13"/>
  <c r="K371" i="13"/>
  <c r="J373" i="16" l="1"/>
  <c r="K372" i="16"/>
  <c r="J374" i="15"/>
  <c r="K373" i="15"/>
  <c r="J373" i="14"/>
  <c r="K372" i="14"/>
  <c r="J373" i="13"/>
  <c r="K372" i="13"/>
  <c r="J374" i="16" l="1"/>
  <c r="K373" i="16"/>
  <c r="J375" i="15"/>
  <c r="K374" i="15"/>
  <c r="J374" i="14"/>
  <c r="K373" i="14"/>
  <c r="J374" i="13"/>
  <c r="K373" i="13"/>
  <c r="J375" i="16" l="1"/>
  <c r="K374" i="16"/>
  <c r="J376" i="15"/>
  <c r="K375" i="15"/>
  <c r="J375" i="14"/>
  <c r="K374" i="14"/>
  <c r="J375" i="13"/>
  <c r="K374" i="13"/>
  <c r="J376" i="16" l="1"/>
  <c r="K375" i="16"/>
  <c r="J377" i="15"/>
  <c r="K376" i="15"/>
  <c r="J376" i="14"/>
  <c r="K375" i="14"/>
  <c r="J376" i="13"/>
  <c r="K375" i="13"/>
  <c r="J377" i="16" l="1"/>
  <c r="K376" i="16"/>
  <c r="J378" i="15"/>
  <c r="K377" i="15"/>
  <c r="J377" i="14"/>
  <c r="K376" i="14"/>
  <c r="J377" i="13"/>
  <c r="K376" i="13"/>
  <c r="J378" i="16" l="1"/>
  <c r="K377" i="16"/>
  <c r="J379" i="15"/>
  <c r="K378" i="15"/>
  <c r="J378" i="14"/>
  <c r="K377" i="14"/>
  <c r="J378" i="13"/>
  <c r="K377" i="13"/>
  <c r="J379" i="16" l="1"/>
  <c r="K378" i="16"/>
  <c r="J380" i="15"/>
  <c r="K379" i="15"/>
  <c r="J379" i="14"/>
  <c r="K378" i="14"/>
  <c r="J379" i="13"/>
  <c r="K378" i="13"/>
  <c r="J380" i="16" l="1"/>
  <c r="K379" i="16"/>
  <c r="J381" i="15"/>
  <c r="K380" i="15"/>
  <c r="J380" i="14"/>
  <c r="K379" i="14"/>
  <c r="J380" i="13"/>
  <c r="K379" i="13"/>
  <c r="J381" i="16" l="1"/>
  <c r="K380" i="16"/>
  <c r="J382" i="15"/>
  <c r="K381" i="15"/>
  <c r="J381" i="14"/>
  <c r="K380" i="14"/>
  <c r="J381" i="13"/>
  <c r="K380" i="13"/>
  <c r="J382" i="16" l="1"/>
  <c r="K381" i="16"/>
  <c r="J383" i="15"/>
  <c r="K382" i="15"/>
  <c r="J382" i="14"/>
  <c r="K381" i="14"/>
  <c r="J382" i="13"/>
  <c r="K381" i="13"/>
  <c r="J383" i="16" l="1"/>
  <c r="K382" i="16"/>
  <c r="J384" i="15"/>
  <c r="K383" i="15"/>
  <c r="J383" i="14"/>
  <c r="K382" i="14"/>
  <c r="J383" i="13"/>
  <c r="K382" i="13"/>
  <c r="J384" i="16" l="1"/>
  <c r="K383" i="16"/>
  <c r="J385" i="15"/>
  <c r="K384" i="15"/>
  <c r="J384" i="14"/>
  <c r="K383" i="14"/>
  <c r="J384" i="13"/>
  <c r="K383" i="13"/>
  <c r="J385" i="16" l="1"/>
  <c r="K384" i="16"/>
  <c r="J386" i="15"/>
  <c r="K385" i="15"/>
  <c r="J385" i="14"/>
  <c r="K384" i="14"/>
  <c r="J385" i="13"/>
  <c r="K384" i="13"/>
  <c r="J386" i="16" l="1"/>
  <c r="K385" i="16"/>
  <c r="J387" i="15"/>
  <c r="K386" i="15"/>
  <c r="J386" i="14"/>
  <c r="K385" i="14"/>
  <c r="J386" i="13"/>
  <c r="K385" i="13"/>
  <c r="J387" i="16" l="1"/>
  <c r="K386" i="16"/>
  <c r="J388" i="15"/>
  <c r="K387" i="15"/>
  <c r="J387" i="14"/>
  <c r="K386" i="14"/>
  <c r="J387" i="13"/>
  <c r="K386" i="13"/>
  <c r="J388" i="16" l="1"/>
  <c r="K387" i="16"/>
  <c r="J389" i="15"/>
  <c r="K388" i="15"/>
  <c r="J388" i="14"/>
  <c r="K387" i="14"/>
  <c r="J388" i="13"/>
  <c r="K387" i="13"/>
  <c r="J389" i="16" l="1"/>
  <c r="K388" i="16"/>
  <c r="J390" i="15"/>
  <c r="K389" i="15"/>
  <c r="J389" i="14"/>
  <c r="K388" i="14"/>
  <c r="J389" i="13"/>
  <c r="K388" i="13"/>
  <c r="J390" i="16" l="1"/>
  <c r="K389" i="16"/>
  <c r="J391" i="15"/>
  <c r="K390" i="15"/>
  <c r="J390" i="14"/>
  <c r="K389" i="14"/>
  <c r="J390" i="13"/>
  <c r="K389" i="13"/>
  <c r="J391" i="16" l="1"/>
  <c r="K390" i="16"/>
  <c r="J392" i="15"/>
  <c r="K391" i="15"/>
  <c r="J391" i="14"/>
  <c r="K390" i="14"/>
  <c r="J391" i="13"/>
  <c r="K390" i="13"/>
  <c r="J392" i="16" l="1"/>
  <c r="K391" i="16"/>
  <c r="J393" i="15"/>
  <c r="K392" i="15"/>
  <c r="J392" i="14"/>
  <c r="K391" i="14"/>
  <c r="J392" i="13"/>
  <c r="K391" i="13"/>
  <c r="J393" i="16" l="1"/>
  <c r="K392" i="16"/>
  <c r="J394" i="15"/>
  <c r="K393" i="15"/>
  <c r="J393" i="14"/>
  <c r="K392" i="14"/>
  <c r="J393" i="13"/>
  <c r="K392" i="13"/>
  <c r="J394" i="16" l="1"/>
  <c r="K393" i="16"/>
  <c r="J395" i="15"/>
  <c r="K394" i="15"/>
  <c r="J394" i="14"/>
  <c r="K393" i="14"/>
  <c r="J394" i="13"/>
  <c r="K393" i="13"/>
  <c r="J395" i="16" l="1"/>
  <c r="K394" i="16"/>
  <c r="J396" i="15"/>
  <c r="K395" i="15"/>
  <c r="J395" i="14"/>
  <c r="K394" i="14"/>
  <c r="J395" i="13"/>
  <c r="K394" i="13"/>
  <c r="J396" i="16" l="1"/>
  <c r="K395" i="16"/>
  <c r="J397" i="15"/>
  <c r="K396" i="15"/>
  <c r="J396" i="14"/>
  <c r="K395" i="14"/>
  <c r="J396" i="13"/>
  <c r="K395" i="13"/>
  <c r="J397" i="16" l="1"/>
  <c r="K396" i="16"/>
  <c r="J398" i="15"/>
  <c r="K397" i="15"/>
  <c r="J397" i="14"/>
  <c r="K396" i="14"/>
  <c r="J397" i="13"/>
  <c r="K396" i="13"/>
  <c r="J398" i="16" l="1"/>
  <c r="K397" i="16"/>
  <c r="J399" i="15"/>
  <c r="K398" i="15"/>
  <c r="J398" i="14"/>
  <c r="K397" i="14"/>
  <c r="J398" i="13"/>
  <c r="K397" i="13"/>
  <c r="J399" i="16" l="1"/>
  <c r="K398" i="16"/>
  <c r="J400" i="15"/>
  <c r="K399" i="15"/>
  <c r="J399" i="14"/>
  <c r="K398" i="14"/>
  <c r="J399" i="13"/>
  <c r="K398" i="13"/>
  <c r="J400" i="16" l="1"/>
  <c r="K399" i="16"/>
  <c r="J401" i="15"/>
  <c r="K400" i="15"/>
  <c r="J400" i="14"/>
  <c r="K399" i="14"/>
  <c r="J400" i="13"/>
  <c r="K399" i="13"/>
  <c r="J401" i="16" l="1"/>
  <c r="K400" i="16"/>
  <c r="J402" i="15"/>
  <c r="K401" i="15"/>
  <c r="J401" i="14"/>
  <c r="K400" i="14"/>
  <c r="J401" i="13"/>
  <c r="K400" i="13"/>
  <c r="J402" i="16" l="1"/>
  <c r="K401" i="16"/>
  <c r="J403" i="15"/>
  <c r="K402" i="15"/>
  <c r="J402" i="14"/>
  <c r="K401" i="14"/>
  <c r="J402" i="13"/>
  <c r="K401" i="13"/>
  <c r="J403" i="16" l="1"/>
  <c r="K402" i="16"/>
  <c r="J404" i="15"/>
  <c r="K403" i="15"/>
  <c r="J403" i="14"/>
  <c r="K402" i="14"/>
  <c r="J403" i="13"/>
  <c r="K402" i="13"/>
  <c r="J404" i="16" l="1"/>
  <c r="K403" i="16"/>
  <c r="J405" i="15"/>
  <c r="K404" i="15"/>
  <c r="J404" i="14"/>
  <c r="K403" i="14"/>
  <c r="J404" i="13"/>
  <c r="K403" i="13"/>
  <c r="J405" i="16" l="1"/>
  <c r="K404" i="16"/>
  <c r="J406" i="15"/>
  <c r="K405" i="15"/>
  <c r="J405" i="14"/>
  <c r="K404" i="14"/>
  <c r="J405" i="13"/>
  <c r="K404" i="13"/>
  <c r="J406" i="16" l="1"/>
  <c r="K405" i="16"/>
  <c r="J407" i="15"/>
  <c r="K406" i="15"/>
  <c r="J406" i="14"/>
  <c r="K405" i="14"/>
  <c r="J406" i="13"/>
  <c r="K405" i="13"/>
  <c r="J407" i="16" l="1"/>
  <c r="K406" i="16"/>
  <c r="J408" i="15"/>
  <c r="K407" i="15"/>
  <c r="J407" i="14"/>
  <c r="K406" i="14"/>
  <c r="J407" i="13"/>
  <c r="K406" i="13"/>
  <c r="J408" i="16" l="1"/>
  <c r="K407" i="16"/>
  <c r="J409" i="15"/>
  <c r="K408" i="15"/>
  <c r="J408" i="14"/>
  <c r="K407" i="14"/>
  <c r="J408" i="13"/>
  <c r="K407" i="13"/>
  <c r="J409" i="16" l="1"/>
  <c r="K408" i="16"/>
  <c r="J410" i="15"/>
  <c r="K409" i="15"/>
  <c r="J409" i="14"/>
  <c r="K408" i="14"/>
  <c r="J409" i="13"/>
  <c r="K409" i="13" s="1"/>
  <c r="K408" i="13"/>
  <c r="J410" i="16" l="1"/>
  <c r="K409" i="16"/>
  <c r="J411" i="15"/>
  <c r="K410" i="15"/>
  <c r="J410" i="14"/>
  <c r="K409" i="14"/>
  <c r="J411" i="16" l="1"/>
  <c r="K410" i="16"/>
  <c r="J412" i="15"/>
  <c r="K411" i="15"/>
  <c r="J411" i="14"/>
  <c r="K410" i="14"/>
  <c r="J412" i="16" l="1"/>
  <c r="K411" i="16"/>
  <c r="J413" i="15"/>
  <c r="K412" i="15"/>
  <c r="J412" i="14"/>
  <c r="K411" i="14"/>
  <c r="J413" i="16" l="1"/>
  <c r="K412" i="16"/>
  <c r="J414" i="15"/>
  <c r="K413" i="15"/>
  <c r="J413" i="14"/>
  <c r="K412" i="14"/>
  <c r="J414" i="16" l="1"/>
  <c r="K413" i="16"/>
  <c r="J415" i="15"/>
  <c r="K414" i="15"/>
  <c r="J414" i="14"/>
  <c r="K413" i="14"/>
  <c r="J415" i="16" l="1"/>
  <c r="K414" i="16"/>
  <c r="J416" i="15"/>
  <c r="K415" i="15"/>
  <c r="J415" i="14"/>
  <c r="K414" i="14"/>
  <c r="J416" i="16" l="1"/>
  <c r="K415" i="16"/>
  <c r="J417" i="15"/>
  <c r="K416" i="15"/>
  <c r="J416" i="14"/>
  <c r="K415" i="14"/>
  <c r="J417" i="16" l="1"/>
  <c r="K416" i="16"/>
  <c r="J418" i="15"/>
  <c r="K417" i="15"/>
  <c r="J417" i="14"/>
  <c r="K416" i="14"/>
  <c r="J418" i="16" l="1"/>
  <c r="K417" i="16"/>
  <c r="J419" i="15"/>
  <c r="K418" i="15"/>
  <c r="J418" i="14"/>
  <c r="K417" i="14"/>
  <c r="J419" i="16" l="1"/>
  <c r="K418" i="16"/>
  <c r="J420" i="15"/>
  <c r="K419" i="15"/>
  <c r="J419" i="14"/>
  <c r="K418" i="14"/>
  <c r="J420" i="16" l="1"/>
  <c r="K419" i="16"/>
  <c r="J421" i="15"/>
  <c r="K420" i="15"/>
  <c r="J420" i="14"/>
  <c r="K419" i="14"/>
  <c r="J421" i="16" l="1"/>
  <c r="K420" i="16"/>
  <c r="J422" i="15"/>
  <c r="K421" i="15"/>
  <c r="J421" i="14"/>
  <c r="K420" i="14"/>
  <c r="J422" i="16" l="1"/>
  <c r="K421" i="16"/>
  <c r="J423" i="15"/>
  <c r="K422" i="15"/>
  <c r="J422" i="14"/>
  <c r="K421" i="14"/>
  <c r="J423" i="16" l="1"/>
  <c r="K422" i="16"/>
  <c r="J424" i="15"/>
  <c r="K423" i="15"/>
  <c r="J423" i="14"/>
  <c r="K422" i="14"/>
  <c r="J424" i="16" l="1"/>
  <c r="K423" i="16"/>
  <c r="J425" i="15"/>
  <c r="K424" i="15"/>
  <c r="J424" i="14"/>
  <c r="K423" i="14"/>
  <c r="J425" i="16" l="1"/>
  <c r="K424" i="16"/>
  <c r="J426" i="15"/>
  <c r="K425" i="15"/>
  <c r="J425" i="14"/>
  <c r="K424" i="14"/>
  <c r="J426" i="16" l="1"/>
  <c r="K425" i="16"/>
  <c r="J427" i="15"/>
  <c r="K426" i="15"/>
  <c r="J426" i="14"/>
  <c r="K425" i="14"/>
  <c r="J427" i="16" l="1"/>
  <c r="K426" i="16"/>
  <c r="J428" i="15"/>
  <c r="K427" i="15"/>
  <c r="J427" i="14"/>
  <c r="K426" i="14"/>
  <c r="J428" i="16" l="1"/>
  <c r="K427" i="16"/>
  <c r="J429" i="15"/>
  <c r="K428" i="15"/>
  <c r="J428" i="14"/>
  <c r="K427" i="14"/>
  <c r="J429" i="16" l="1"/>
  <c r="K428" i="16"/>
  <c r="J430" i="15"/>
  <c r="K429" i="15"/>
  <c r="J429" i="14"/>
  <c r="K428" i="14"/>
  <c r="J430" i="16" l="1"/>
  <c r="K429" i="16"/>
  <c r="J431" i="15"/>
  <c r="K430" i="15"/>
  <c r="J430" i="14"/>
  <c r="K429" i="14"/>
  <c r="J431" i="16" l="1"/>
  <c r="K430" i="16"/>
  <c r="J432" i="15"/>
  <c r="K431" i="15"/>
  <c r="J431" i="14"/>
  <c r="K430" i="14"/>
  <c r="J432" i="16" l="1"/>
  <c r="K431" i="16"/>
  <c r="J433" i="15"/>
  <c r="K432" i="15"/>
  <c r="J432" i="14"/>
  <c r="K431" i="14"/>
  <c r="J433" i="16" l="1"/>
  <c r="K432" i="16"/>
  <c r="J434" i="15"/>
  <c r="K433" i="15"/>
  <c r="J433" i="14"/>
  <c r="K432" i="14"/>
  <c r="J434" i="16" l="1"/>
  <c r="K433" i="16"/>
  <c r="J435" i="15"/>
  <c r="K434" i="15"/>
  <c r="J434" i="14"/>
  <c r="K433" i="14"/>
  <c r="J435" i="16" l="1"/>
  <c r="K434" i="16"/>
  <c r="J436" i="15"/>
  <c r="K435" i="15"/>
  <c r="J435" i="14"/>
  <c r="K434" i="14"/>
  <c r="J436" i="16" l="1"/>
  <c r="K435" i="16"/>
  <c r="J437" i="15"/>
  <c r="K436" i="15"/>
  <c r="J436" i="14"/>
  <c r="K435" i="14"/>
  <c r="J437" i="16" l="1"/>
  <c r="K436" i="16"/>
  <c r="J438" i="15"/>
  <c r="K437" i="15"/>
  <c r="J437" i="14"/>
  <c r="K436" i="14"/>
  <c r="J438" i="16" l="1"/>
  <c r="K437" i="16"/>
  <c r="J439" i="15"/>
  <c r="K438" i="15"/>
  <c r="J438" i="14"/>
  <c r="K437" i="14"/>
  <c r="J439" i="16" l="1"/>
  <c r="K438" i="16"/>
  <c r="J440" i="15"/>
  <c r="K439" i="15"/>
  <c r="J439" i="14"/>
  <c r="K438" i="14"/>
  <c r="J440" i="16" l="1"/>
  <c r="K439" i="16"/>
  <c r="J441" i="15"/>
  <c r="K440" i="15"/>
  <c r="J440" i="14"/>
  <c r="K439" i="14"/>
  <c r="J441" i="16" l="1"/>
  <c r="K440" i="16"/>
  <c r="J442" i="15"/>
  <c r="K441" i="15"/>
  <c r="J441" i="14"/>
  <c r="K440" i="14"/>
  <c r="J442" i="16" l="1"/>
  <c r="K441" i="16"/>
  <c r="J443" i="15"/>
  <c r="K442" i="15"/>
  <c r="J442" i="14"/>
  <c r="K441" i="14"/>
  <c r="J443" i="16" l="1"/>
  <c r="K442" i="16"/>
  <c r="J444" i="15"/>
  <c r="K443" i="15"/>
  <c r="J443" i="14"/>
  <c r="K442" i="14"/>
  <c r="J444" i="16" l="1"/>
  <c r="K443" i="16"/>
  <c r="J445" i="15"/>
  <c r="K444" i="15"/>
  <c r="J444" i="14"/>
  <c r="K443" i="14"/>
  <c r="J445" i="16" l="1"/>
  <c r="K444" i="16"/>
  <c r="J446" i="15"/>
  <c r="K445" i="15"/>
  <c r="J445" i="14"/>
  <c r="K444" i="14"/>
  <c r="J446" i="16" l="1"/>
  <c r="K445" i="16"/>
  <c r="J447" i="15"/>
  <c r="K446" i="15"/>
  <c r="J446" i="14"/>
  <c r="K445" i="14"/>
  <c r="J447" i="16" l="1"/>
  <c r="K446" i="16"/>
  <c r="J448" i="15"/>
  <c r="K447" i="15"/>
  <c r="J447" i="14"/>
  <c r="K446" i="14"/>
  <c r="J448" i="16" l="1"/>
  <c r="K447" i="16"/>
  <c r="J449" i="15"/>
  <c r="K448" i="15"/>
  <c r="J448" i="14"/>
  <c r="K447" i="14"/>
  <c r="J449" i="16" l="1"/>
  <c r="K448" i="16"/>
  <c r="J450" i="15"/>
  <c r="K449" i="15"/>
  <c r="J449" i="14"/>
  <c r="K448" i="14"/>
  <c r="J450" i="16" l="1"/>
  <c r="K449" i="16"/>
  <c r="J451" i="15"/>
  <c r="K450" i="15"/>
  <c r="J450" i="14"/>
  <c r="K449" i="14"/>
  <c r="J451" i="16" l="1"/>
  <c r="K450" i="16"/>
  <c r="J452" i="15"/>
  <c r="K451" i="15"/>
  <c r="J451" i="14"/>
  <c r="K450" i="14"/>
  <c r="J452" i="16" l="1"/>
  <c r="K451" i="16"/>
  <c r="J453" i="15"/>
  <c r="K452" i="15"/>
  <c r="J452" i="14"/>
  <c r="K451" i="14"/>
  <c r="J453" i="16" l="1"/>
  <c r="K452" i="16"/>
  <c r="J454" i="15"/>
  <c r="K453" i="15"/>
  <c r="J453" i="14"/>
  <c r="K452" i="14"/>
  <c r="J454" i="16" l="1"/>
  <c r="K453" i="16"/>
  <c r="J455" i="15"/>
  <c r="K454" i="15"/>
  <c r="J454" i="14"/>
  <c r="K453" i="14"/>
  <c r="J455" i="16" l="1"/>
  <c r="K454" i="16"/>
  <c r="J456" i="15"/>
  <c r="K455" i="15"/>
  <c r="J455" i="14"/>
  <c r="K454" i="14"/>
  <c r="J456" i="16" l="1"/>
  <c r="K455" i="16"/>
  <c r="J457" i="15"/>
  <c r="K456" i="15"/>
  <c r="J456" i="14"/>
  <c r="K455" i="14"/>
  <c r="J457" i="16" l="1"/>
  <c r="K456" i="16"/>
  <c r="J458" i="15"/>
  <c r="K457" i="15"/>
  <c r="J457" i="14"/>
  <c r="K456" i="14"/>
  <c r="J458" i="16" l="1"/>
  <c r="K457" i="16"/>
  <c r="J459" i="15"/>
  <c r="K458" i="15"/>
  <c r="J458" i="14"/>
  <c r="K457" i="14"/>
  <c r="J459" i="16" l="1"/>
  <c r="K458" i="16"/>
  <c r="J460" i="15"/>
  <c r="K459" i="15"/>
  <c r="J459" i="14"/>
  <c r="K458" i="14"/>
  <c r="J460" i="16" l="1"/>
  <c r="K459" i="16"/>
  <c r="J461" i="15"/>
  <c r="K460" i="15"/>
  <c r="J460" i="14"/>
  <c r="K459" i="14"/>
  <c r="J461" i="16" l="1"/>
  <c r="K460" i="16"/>
  <c r="J462" i="15"/>
  <c r="K461" i="15"/>
  <c r="J461" i="14"/>
  <c r="K460" i="14"/>
  <c r="J462" i="16" l="1"/>
  <c r="K461" i="16"/>
  <c r="J463" i="15"/>
  <c r="K462" i="15"/>
  <c r="J462" i="14"/>
  <c r="K461" i="14"/>
  <c r="J463" i="16" l="1"/>
  <c r="K462" i="16"/>
  <c r="J464" i="15"/>
  <c r="K463" i="15"/>
  <c r="J463" i="14"/>
  <c r="K462" i="14"/>
  <c r="J464" i="16" l="1"/>
  <c r="K463" i="16"/>
  <c r="J465" i="15"/>
  <c r="K464" i="15"/>
  <c r="J464" i="14"/>
  <c r="K463" i="14"/>
  <c r="J465" i="16" l="1"/>
  <c r="K464" i="16"/>
  <c r="J466" i="15"/>
  <c r="K465" i="15"/>
  <c r="J465" i="14"/>
  <c r="K464" i="14"/>
  <c r="J466" i="16" l="1"/>
  <c r="K465" i="16"/>
  <c r="J467" i="15"/>
  <c r="K466" i="15"/>
  <c r="J466" i="14"/>
  <c r="K465" i="14"/>
  <c r="J467" i="16" l="1"/>
  <c r="K466" i="16"/>
  <c r="J468" i="15"/>
  <c r="K467" i="15"/>
  <c r="J467" i="14"/>
  <c r="K466" i="14"/>
  <c r="J468" i="16" l="1"/>
  <c r="K467" i="16"/>
  <c r="J469" i="15"/>
  <c r="K468" i="15"/>
  <c r="J468" i="14"/>
  <c r="K467" i="14"/>
  <c r="J469" i="16" l="1"/>
  <c r="K468" i="16"/>
  <c r="J470" i="15"/>
  <c r="K469" i="15"/>
  <c r="J469" i="14"/>
  <c r="K468" i="14"/>
  <c r="J470" i="16" l="1"/>
  <c r="K469" i="16"/>
  <c r="J471" i="15"/>
  <c r="K470" i="15"/>
  <c r="J470" i="14"/>
  <c r="K469" i="14"/>
  <c r="J471" i="16" l="1"/>
  <c r="K470" i="16"/>
  <c r="J472" i="15"/>
  <c r="K471" i="15"/>
  <c r="J471" i="14"/>
  <c r="K470" i="14"/>
  <c r="J472" i="16" l="1"/>
  <c r="K471" i="16"/>
  <c r="J473" i="15"/>
  <c r="K472" i="15"/>
  <c r="J472" i="14"/>
  <c r="K471" i="14"/>
  <c r="J473" i="16" l="1"/>
  <c r="K472" i="16"/>
  <c r="J474" i="15"/>
  <c r="K473" i="15"/>
  <c r="J473" i="14"/>
  <c r="K472" i="14"/>
  <c r="J474" i="16" l="1"/>
  <c r="K473" i="16"/>
  <c r="J475" i="15"/>
  <c r="K474" i="15"/>
  <c r="J474" i="14"/>
  <c r="K473" i="14"/>
  <c r="J475" i="16" l="1"/>
  <c r="K474" i="16"/>
  <c r="J476" i="15"/>
  <c r="K475" i="15"/>
  <c r="J475" i="14"/>
  <c r="K474" i="14"/>
  <c r="J476" i="16" l="1"/>
  <c r="K475" i="16"/>
  <c r="J477" i="15"/>
  <c r="K476" i="15"/>
  <c r="J476" i="14"/>
  <c r="K475" i="14"/>
  <c r="J477" i="16" l="1"/>
  <c r="K476" i="16"/>
  <c r="J478" i="15"/>
  <c r="K477" i="15"/>
  <c r="J477" i="14"/>
  <c r="K476" i="14"/>
  <c r="J478" i="16" l="1"/>
  <c r="K477" i="16"/>
  <c r="J479" i="15"/>
  <c r="K478" i="15"/>
  <c r="J478" i="14"/>
  <c r="K477" i="14"/>
  <c r="J479" i="16" l="1"/>
  <c r="K478" i="16"/>
  <c r="J480" i="15"/>
  <c r="K479" i="15"/>
  <c r="J479" i="14"/>
  <c r="K478" i="14"/>
  <c r="J480" i="16" l="1"/>
  <c r="K479" i="16"/>
  <c r="J481" i="15"/>
  <c r="K480" i="15"/>
  <c r="J480" i="14"/>
  <c r="K479" i="14"/>
  <c r="J481" i="16" l="1"/>
  <c r="K480" i="16"/>
  <c r="J482" i="15"/>
  <c r="K481" i="15"/>
  <c r="J481" i="14"/>
  <c r="K480" i="14"/>
  <c r="J482" i="16" l="1"/>
  <c r="K481" i="16"/>
  <c r="J483" i="15"/>
  <c r="K482" i="15"/>
  <c r="J482" i="14"/>
  <c r="K481" i="14"/>
  <c r="J483" i="16" l="1"/>
  <c r="K482" i="16"/>
  <c r="J484" i="15"/>
  <c r="K483" i="15"/>
  <c r="J483" i="14"/>
  <c r="K482" i="14"/>
  <c r="J484" i="16" l="1"/>
  <c r="K483" i="16"/>
  <c r="J485" i="15"/>
  <c r="K484" i="15"/>
  <c r="J484" i="14"/>
  <c r="K483" i="14"/>
  <c r="J485" i="16" l="1"/>
  <c r="K484" i="16"/>
  <c r="J486" i="15"/>
  <c r="K485" i="15"/>
  <c r="J485" i="14"/>
  <c r="K484" i="14"/>
  <c r="J486" i="16" l="1"/>
  <c r="K485" i="16"/>
  <c r="J487" i="15"/>
  <c r="K486" i="15"/>
  <c r="J486" i="14"/>
  <c r="K485" i="14"/>
  <c r="J487" i="16" l="1"/>
  <c r="K486" i="16"/>
  <c r="J488" i="15"/>
  <c r="K487" i="15"/>
  <c r="J487" i="14"/>
  <c r="K486" i="14"/>
  <c r="J488" i="16" l="1"/>
  <c r="K487" i="16"/>
  <c r="J489" i="15"/>
  <c r="K488" i="15"/>
  <c r="J488" i="14"/>
  <c r="K487" i="14"/>
  <c r="J489" i="16" l="1"/>
  <c r="K488" i="16"/>
  <c r="J490" i="15"/>
  <c r="K489" i="15"/>
  <c r="J489" i="14"/>
  <c r="K488" i="14"/>
  <c r="J490" i="16" l="1"/>
  <c r="K489" i="16"/>
  <c r="J491" i="15"/>
  <c r="K490" i="15"/>
  <c r="J490" i="14"/>
  <c r="K489" i="14"/>
  <c r="J491" i="16" l="1"/>
  <c r="K490" i="16"/>
  <c r="J492" i="15"/>
  <c r="K491" i="15"/>
  <c r="J491" i="14"/>
  <c r="K490" i="14"/>
  <c r="J492" i="16" l="1"/>
  <c r="K491" i="16"/>
  <c r="J493" i="15"/>
  <c r="K492" i="15"/>
  <c r="J492" i="14"/>
  <c r="K491" i="14"/>
  <c r="J493" i="16" l="1"/>
  <c r="K492" i="16"/>
  <c r="J494" i="15"/>
  <c r="K493" i="15"/>
  <c r="J493" i="14"/>
  <c r="K492" i="14"/>
  <c r="J494" i="16" l="1"/>
  <c r="K493" i="16"/>
  <c r="J495" i="15"/>
  <c r="K494" i="15"/>
  <c r="J494" i="14"/>
  <c r="K493" i="14"/>
  <c r="J495" i="16" l="1"/>
  <c r="K494" i="16"/>
  <c r="J496" i="15"/>
  <c r="K495" i="15"/>
  <c r="J495" i="14"/>
  <c r="K494" i="14"/>
  <c r="J496" i="16" l="1"/>
  <c r="K495" i="16"/>
  <c r="J497" i="15"/>
  <c r="K496" i="15"/>
  <c r="J496" i="14"/>
  <c r="K495" i="14"/>
  <c r="J497" i="16" l="1"/>
  <c r="K496" i="16"/>
  <c r="J498" i="15"/>
  <c r="K497" i="15"/>
  <c r="J497" i="14"/>
  <c r="K496" i="14"/>
  <c r="J498" i="16" l="1"/>
  <c r="K497" i="16"/>
  <c r="J499" i="15"/>
  <c r="K498" i="15"/>
  <c r="J498" i="14"/>
  <c r="K497" i="14"/>
  <c r="J499" i="16" l="1"/>
  <c r="K498" i="16"/>
  <c r="J500" i="15"/>
  <c r="K499" i="15"/>
  <c r="J499" i="14"/>
  <c r="K498" i="14"/>
  <c r="J500" i="16" l="1"/>
  <c r="K499" i="16"/>
  <c r="J501" i="15"/>
  <c r="K500" i="15"/>
  <c r="J500" i="14"/>
  <c r="K499" i="14"/>
  <c r="J501" i="16" l="1"/>
  <c r="K500" i="16"/>
  <c r="J502" i="15"/>
  <c r="K501" i="15"/>
  <c r="J501" i="14"/>
  <c r="K500" i="14"/>
  <c r="J502" i="16" l="1"/>
  <c r="K501" i="16"/>
  <c r="J503" i="15"/>
  <c r="K502" i="15"/>
  <c r="J502" i="14"/>
  <c r="K501" i="14"/>
  <c r="J503" i="16" l="1"/>
  <c r="K502" i="16"/>
  <c r="J504" i="15"/>
  <c r="K503" i="15"/>
  <c r="J503" i="14"/>
  <c r="K502" i="14"/>
  <c r="J504" i="16" l="1"/>
  <c r="K503" i="16"/>
  <c r="J505" i="15"/>
  <c r="K504" i="15"/>
  <c r="J504" i="14"/>
  <c r="K503" i="14"/>
  <c r="J505" i="16" l="1"/>
  <c r="K504" i="16"/>
  <c r="J506" i="15"/>
  <c r="K505" i="15"/>
  <c r="J505" i="14"/>
  <c r="K504" i="14"/>
  <c r="J506" i="16" l="1"/>
  <c r="K505" i="16"/>
  <c r="J507" i="15"/>
  <c r="K506" i="15"/>
  <c r="J506" i="14"/>
  <c r="K505" i="14"/>
  <c r="J507" i="16" l="1"/>
  <c r="K506" i="16"/>
  <c r="J508" i="15"/>
  <c r="K507" i="15"/>
  <c r="J507" i="14"/>
  <c r="K506" i="14"/>
  <c r="J508" i="16" l="1"/>
  <c r="K507" i="16"/>
  <c r="J509" i="15"/>
  <c r="K508" i="15"/>
  <c r="J508" i="14"/>
  <c r="K507" i="14"/>
  <c r="J509" i="16" l="1"/>
  <c r="K508" i="16"/>
  <c r="J510" i="15"/>
  <c r="K509" i="15"/>
  <c r="J509" i="14"/>
  <c r="K508" i="14"/>
  <c r="J510" i="16" l="1"/>
  <c r="K509" i="16"/>
  <c r="J511" i="15"/>
  <c r="K510" i="15"/>
  <c r="J510" i="14"/>
  <c r="K509" i="14"/>
  <c r="J511" i="16" l="1"/>
  <c r="K510" i="16"/>
  <c r="J512" i="15"/>
  <c r="K511" i="15"/>
  <c r="J511" i="14"/>
  <c r="K510" i="14"/>
  <c r="J512" i="16" l="1"/>
  <c r="K511" i="16"/>
  <c r="J513" i="15"/>
  <c r="K512" i="15"/>
  <c r="J512" i="14"/>
  <c r="K511" i="14"/>
  <c r="J513" i="16" l="1"/>
  <c r="K512" i="16"/>
  <c r="J514" i="15"/>
  <c r="K513" i="15"/>
  <c r="J513" i="14"/>
  <c r="K512" i="14"/>
  <c r="J514" i="16" l="1"/>
  <c r="K513" i="16"/>
  <c r="J515" i="15"/>
  <c r="K514" i="15"/>
  <c r="J514" i="14"/>
  <c r="K513" i="14"/>
  <c r="J515" i="16" l="1"/>
  <c r="K514" i="16"/>
  <c r="J516" i="15"/>
  <c r="K515" i="15"/>
  <c r="J515" i="14"/>
  <c r="K514" i="14"/>
  <c r="J516" i="16" l="1"/>
  <c r="K515" i="16"/>
  <c r="J517" i="15"/>
  <c r="K516" i="15"/>
  <c r="J516" i="14"/>
  <c r="K515" i="14"/>
  <c r="J517" i="16" l="1"/>
  <c r="K516" i="16"/>
  <c r="J518" i="15"/>
  <c r="K517" i="15"/>
  <c r="J517" i="14"/>
  <c r="K516" i="14"/>
  <c r="J518" i="16" l="1"/>
  <c r="K517" i="16"/>
  <c r="J519" i="15"/>
  <c r="K518" i="15"/>
  <c r="J518" i="14"/>
  <c r="K517" i="14"/>
  <c r="J519" i="16" l="1"/>
  <c r="K518" i="16"/>
  <c r="J520" i="15"/>
  <c r="K519" i="15"/>
  <c r="J519" i="14"/>
  <c r="K518" i="14"/>
  <c r="J520" i="16" l="1"/>
  <c r="K519" i="16"/>
  <c r="J521" i="15"/>
  <c r="K520" i="15"/>
  <c r="J520" i="14"/>
  <c r="K519" i="14"/>
  <c r="J521" i="16" l="1"/>
  <c r="K520" i="16"/>
  <c r="J522" i="15"/>
  <c r="K521" i="15"/>
  <c r="J521" i="14"/>
  <c r="K520" i="14"/>
  <c r="J522" i="16" l="1"/>
  <c r="K521" i="16"/>
  <c r="J523" i="15"/>
  <c r="K522" i="15"/>
  <c r="J522" i="14"/>
  <c r="K521" i="14"/>
  <c r="J523" i="16" l="1"/>
  <c r="K522" i="16"/>
  <c r="J524" i="15"/>
  <c r="K523" i="15"/>
  <c r="J523" i="14"/>
  <c r="K522" i="14"/>
  <c r="J524" i="16" l="1"/>
  <c r="K523" i="16"/>
  <c r="J525" i="15"/>
  <c r="K524" i="15"/>
  <c r="J524" i="14"/>
  <c r="K523" i="14"/>
  <c r="J525" i="16" l="1"/>
  <c r="K524" i="16"/>
  <c r="J526" i="15"/>
  <c r="K525" i="15"/>
  <c r="J525" i="14"/>
  <c r="K524" i="14"/>
  <c r="J526" i="16" l="1"/>
  <c r="K525" i="16"/>
  <c r="J527" i="15"/>
  <c r="K526" i="15"/>
  <c r="J526" i="14"/>
  <c r="K525" i="14"/>
  <c r="J527" i="16" l="1"/>
  <c r="K526" i="16"/>
  <c r="J528" i="15"/>
  <c r="K527" i="15"/>
  <c r="J527" i="14"/>
  <c r="K526" i="14"/>
  <c r="J528" i="16" l="1"/>
  <c r="K527" i="16"/>
  <c r="J529" i="15"/>
  <c r="K528" i="15"/>
  <c r="J528" i="14"/>
  <c r="K527" i="14"/>
  <c r="J529" i="16" l="1"/>
  <c r="K528" i="16"/>
  <c r="J530" i="15"/>
  <c r="K529" i="15"/>
  <c r="J529" i="14"/>
  <c r="K528" i="14"/>
  <c r="J530" i="16" l="1"/>
  <c r="K529" i="16"/>
  <c r="J531" i="15"/>
  <c r="K530" i="15"/>
  <c r="J530" i="14"/>
  <c r="K529" i="14"/>
  <c r="J531" i="16" l="1"/>
  <c r="K530" i="16"/>
  <c r="J532" i="15"/>
  <c r="K531" i="15"/>
  <c r="J531" i="14"/>
  <c r="K530" i="14"/>
  <c r="J532" i="16" l="1"/>
  <c r="K531" i="16"/>
  <c r="J533" i="15"/>
  <c r="K532" i="15"/>
  <c r="J532" i="14"/>
  <c r="K531" i="14"/>
  <c r="J533" i="16" l="1"/>
  <c r="K532" i="16"/>
  <c r="J534" i="15"/>
  <c r="K533" i="15"/>
  <c r="J533" i="14"/>
  <c r="K532" i="14"/>
  <c r="J534" i="16" l="1"/>
  <c r="K533" i="16"/>
  <c r="J535" i="15"/>
  <c r="K534" i="15"/>
  <c r="J534" i="14"/>
  <c r="K533" i="14"/>
  <c r="J535" i="16" l="1"/>
  <c r="K534" i="16"/>
  <c r="J536" i="15"/>
  <c r="K535" i="15"/>
  <c r="J535" i="14"/>
  <c r="K534" i="14"/>
  <c r="J536" i="16" l="1"/>
  <c r="K535" i="16"/>
  <c r="J537" i="15"/>
  <c r="K536" i="15"/>
  <c r="J536" i="14"/>
  <c r="K535" i="14"/>
  <c r="J537" i="16" l="1"/>
  <c r="K536" i="16"/>
  <c r="J538" i="15"/>
  <c r="K537" i="15"/>
  <c r="J537" i="14"/>
  <c r="K536" i="14"/>
  <c r="J538" i="16" l="1"/>
  <c r="K537" i="16"/>
  <c r="J539" i="15"/>
  <c r="K538" i="15"/>
  <c r="J538" i="14"/>
  <c r="K537" i="14"/>
  <c r="J539" i="16" l="1"/>
  <c r="K538" i="16"/>
  <c r="J540" i="15"/>
  <c r="K539" i="15"/>
  <c r="J539" i="14"/>
  <c r="K538" i="14"/>
  <c r="J540" i="16" l="1"/>
  <c r="K539" i="16"/>
  <c r="J541" i="15"/>
  <c r="K540" i="15"/>
  <c r="J540" i="14"/>
  <c r="K539" i="14"/>
  <c r="J541" i="16" l="1"/>
  <c r="K540" i="16"/>
  <c r="J542" i="15"/>
  <c r="K541" i="15"/>
  <c r="J541" i="14"/>
  <c r="K540" i="14"/>
  <c r="J542" i="16" l="1"/>
  <c r="K541" i="16"/>
  <c r="J543" i="15"/>
  <c r="K542" i="15"/>
  <c r="J542" i="14"/>
  <c r="K541" i="14"/>
  <c r="J543" i="16" l="1"/>
  <c r="K542" i="16"/>
  <c r="K543" i="15"/>
  <c r="J544" i="15"/>
  <c r="J543" i="14"/>
  <c r="K542" i="14"/>
  <c r="J544" i="16" l="1"/>
  <c r="K543" i="16"/>
  <c r="J545" i="15"/>
  <c r="K544" i="15"/>
  <c r="J544" i="14"/>
  <c r="K543" i="14"/>
  <c r="J545" i="16" l="1"/>
  <c r="K544" i="16"/>
  <c r="J546" i="15"/>
  <c r="K545" i="15"/>
  <c r="J545" i="14"/>
  <c r="K544" i="14"/>
  <c r="J546" i="16" l="1"/>
  <c r="K545" i="16"/>
  <c r="K546" i="15"/>
  <c r="J547" i="15"/>
  <c r="J546" i="14"/>
  <c r="K545" i="14"/>
  <c r="J547" i="16" l="1"/>
  <c r="K546" i="16"/>
  <c r="K547" i="15"/>
  <c r="J548" i="15"/>
  <c r="J547" i="14"/>
  <c r="K546" i="14"/>
  <c r="J548" i="16" l="1"/>
  <c r="K547" i="16"/>
  <c r="J549" i="15"/>
  <c r="K548" i="15"/>
  <c r="J548" i="14"/>
  <c r="K547" i="14"/>
  <c r="J549" i="16" l="1"/>
  <c r="K548" i="16"/>
  <c r="J550" i="15"/>
  <c r="K549" i="15"/>
  <c r="J549" i="14"/>
  <c r="K548" i="14"/>
  <c r="J550" i="16" l="1"/>
  <c r="K549" i="16"/>
  <c r="K550" i="15"/>
  <c r="J551" i="15"/>
  <c r="J550" i="14"/>
  <c r="K549" i="14"/>
  <c r="J551" i="16" l="1"/>
  <c r="K550" i="16"/>
  <c r="J552" i="15"/>
  <c r="K551" i="15"/>
  <c r="J551" i="14"/>
  <c r="K550" i="14"/>
  <c r="J552" i="16" l="1"/>
  <c r="K551" i="16"/>
  <c r="J553" i="15"/>
  <c r="K552" i="15"/>
  <c r="J552" i="14"/>
  <c r="K551" i="14"/>
  <c r="J553" i="16" l="1"/>
  <c r="K552" i="16"/>
  <c r="J554" i="15"/>
  <c r="K553" i="15"/>
  <c r="J553" i="14"/>
  <c r="K552" i="14"/>
  <c r="J554" i="16" l="1"/>
  <c r="K553" i="16"/>
  <c r="J555" i="15"/>
  <c r="K554" i="15"/>
  <c r="J554" i="14"/>
  <c r="K553" i="14"/>
  <c r="J555" i="16" l="1"/>
  <c r="K554" i="16"/>
  <c r="J556" i="15"/>
  <c r="K555" i="15"/>
  <c r="J555" i="14"/>
  <c r="K554" i="14"/>
  <c r="J556" i="16" l="1"/>
  <c r="K555" i="16"/>
  <c r="J557" i="15"/>
  <c r="K556" i="15"/>
  <c r="J556" i="14"/>
  <c r="K555" i="14"/>
  <c r="J557" i="16" l="1"/>
  <c r="K556" i="16"/>
  <c r="J558" i="15"/>
  <c r="K557" i="15"/>
  <c r="J557" i="14"/>
  <c r="K556" i="14"/>
  <c r="J558" i="16" l="1"/>
  <c r="K557" i="16"/>
  <c r="J559" i="15"/>
  <c r="K558" i="15"/>
  <c r="J558" i="14"/>
  <c r="K557" i="14"/>
  <c r="J559" i="16" l="1"/>
  <c r="K558" i="16"/>
  <c r="J560" i="15"/>
  <c r="K559" i="15"/>
  <c r="J559" i="14"/>
  <c r="K558" i="14"/>
  <c r="J560" i="16" l="1"/>
  <c r="K559" i="16"/>
  <c r="J561" i="15"/>
  <c r="K560" i="15"/>
  <c r="J560" i="14"/>
  <c r="K559" i="14"/>
  <c r="J561" i="16" l="1"/>
  <c r="K560" i="16"/>
  <c r="K561" i="15"/>
  <c r="J562" i="15"/>
  <c r="J561" i="14"/>
  <c r="K560" i="14"/>
  <c r="J562" i="16" l="1"/>
  <c r="K561" i="16"/>
  <c r="K562" i="15"/>
  <c r="J563" i="15"/>
  <c r="J562" i="14"/>
  <c r="K561" i="14"/>
  <c r="J563" i="16" l="1"/>
  <c r="K562" i="16"/>
  <c r="J564" i="15"/>
  <c r="K563" i="15"/>
  <c r="J563" i="14"/>
  <c r="K562" i="14"/>
  <c r="J564" i="16" l="1"/>
  <c r="K563" i="16"/>
  <c r="K564" i="15"/>
  <c r="J565" i="15"/>
  <c r="J564" i="14"/>
  <c r="K563" i="14"/>
  <c r="J565" i="16" l="1"/>
  <c r="K564" i="16"/>
  <c r="K565" i="15"/>
  <c r="J566" i="15"/>
  <c r="J565" i="14"/>
  <c r="K564" i="14"/>
  <c r="J566" i="16" l="1"/>
  <c r="K565" i="16"/>
  <c r="J567" i="15"/>
  <c r="K566" i="15"/>
  <c r="J566" i="14"/>
  <c r="K565" i="14"/>
  <c r="J567" i="16" l="1"/>
  <c r="K566" i="16"/>
  <c r="J568" i="15"/>
  <c r="K567" i="15"/>
  <c r="J567" i="14"/>
  <c r="K566" i="14"/>
  <c r="J568" i="16" l="1"/>
  <c r="K567" i="16"/>
  <c r="J569" i="15"/>
  <c r="K568" i="15"/>
  <c r="J568" i="14"/>
  <c r="K567" i="14"/>
  <c r="J569" i="16" l="1"/>
  <c r="K568" i="16"/>
  <c r="K569" i="15"/>
  <c r="J570" i="15"/>
  <c r="J569" i="14"/>
  <c r="K568" i="14"/>
  <c r="J570" i="16" l="1"/>
  <c r="K569" i="16"/>
  <c r="K570" i="15"/>
  <c r="J571" i="15"/>
  <c r="J570" i="14"/>
  <c r="K569" i="14"/>
  <c r="J571" i="16" l="1"/>
  <c r="K570" i="16"/>
  <c r="J572" i="15"/>
  <c r="K571" i="15"/>
  <c r="J571" i="14"/>
  <c r="K570" i="14"/>
  <c r="J572" i="16" l="1"/>
  <c r="K571" i="16"/>
  <c r="J573" i="15"/>
  <c r="K572" i="15"/>
  <c r="J572" i="14"/>
  <c r="K571" i="14"/>
  <c r="J573" i="16" l="1"/>
  <c r="K572" i="16"/>
  <c r="K573" i="15"/>
  <c r="J574" i="15"/>
  <c r="J573" i="14"/>
  <c r="K572" i="14"/>
  <c r="J574" i="16" l="1"/>
  <c r="K573" i="16"/>
  <c r="K574" i="15"/>
  <c r="J575" i="15"/>
  <c r="J574" i="14"/>
  <c r="K573" i="14"/>
  <c r="J575" i="16" l="1"/>
  <c r="K574" i="16"/>
  <c r="J576" i="15"/>
  <c r="K575" i="15"/>
  <c r="J575" i="14"/>
  <c r="K574" i="14"/>
  <c r="J576" i="16" l="1"/>
  <c r="K575" i="16"/>
  <c r="J577" i="15"/>
  <c r="K576" i="15"/>
  <c r="J576" i="14"/>
  <c r="K575" i="14"/>
  <c r="J577" i="16" l="1"/>
  <c r="K576" i="16"/>
  <c r="J578" i="15"/>
  <c r="K577" i="15"/>
  <c r="J577" i="14"/>
  <c r="K576" i="14"/>
  <c r="J578" i="16" l="1"/>
  <c r="K577" i="16"/>
  <c r="J579" i="15"/>
  <c r="K578" i="15"/>
  <c r="J578" i="14"/>
  <c r="K577" i="14"/>
  <c r="J579" i="16" l="1"/>
  <c r="K578" i="16"/>
  <c r="J580" i="15"/>
  <c r="K579" i="15"/>
  <c r="J579" i="14"/>
  <c r="K578" i="14"/>
  <c r="J580" i="16" l="1"/>
  <c r="K579" i="16"/>
  <c r="K580" i="15"/>
  <c r="J581" i="15"/>
  <c r="J580" i="14"/>
  <c r="K579" i="14"/>
  <c r="K580" i="16" l="1"/>
  <c r="J581" i="16"/>
  <c r="J582" i="15"/>
  <c r="K581" i="15"/>
  <c r="J581" i="14"/>
  <c r="K580" i="14"/>
  <c r="J582" i="16" l="1"/>
  <c r="K581" i="16"/>
  <c r="J583" i="15"/>
  <c r="K582" i="15"/>
  <c r="J582" i="14"/>
  <c r="K581" i="14"/>
  <c r="J583" i="16" l="1"/>
  <c r="K582" i="16"/>
  <c r="K583" i="15"/>
  <c r="J584" i="15"/>
  <c r="J583" i="14"/>
  <c r="K582" i="14"/>
  <c r="J584" i="16" l="1"/>
  <c r="K583" i="16"/>
  <c r="J585" i="15"/>
  <c r="K584" i="15"/>
  <c r="J584" i="14"/>
  <c r="K583" i="14"/>
  <c r="J585" i="16" l="1"/>
  <c r="K584" i="16"/>
  <c r="K585" i="15"/>
  <c r="J586" i="15"/>
  <c r="J585" i="14"/>
  <c r="K584" i="14"/>
  <c r="J586" i="16" l="1"/>
  <c r="K585" i="16"/>
  <c r="K586" i="15"/>
  <c r="J587" i="15"/>
  <c r="J586" i="14"/>
  <c r="K585" i="14"/>
  <c r="J587" i="16" l="1"/>
  <c r="K586" i="16"/>
  <c r="J588" i="15"/>
  <c r="K587" i="15"/>
  <c r="J587" i="14"/>
  <c r="K586" i="14"/>
  <c r="J588" i="16" l="1"/>
  <c r="K587" i="16"/>
  <c r="J589" i="15"/>
  <c r="K588" i="15"/>
  <c r="J588" i="14"/>
  <c r="K587" i="14"/>
  <c r="J589" i="16" l="1"/>
  <c r="K588" i="16"/>
  <c r="K589" i="15"/>
  <c r="J590" i="15"/>
  <c r="J589" i="14"/>
  <c r="K588" i="14"/>
  <c r="J590" i="16" l="1"/>
  <c r="K589" i="16"/>
  <c r="J591" i="15"/>
  <c r="K590" i="15"/>
  <c r="J590" i="14"/>
  <c r="K589" i="14"/>
  <c r="J591" i="16" l="1"/>
  <c r="K590" i="16"/>
  <c r="J592" i="15"/>
  <c r="K591" i="15"/>
  <c r="J591" i="14"/>
  <c r="K590" i="14"/>
  <c r="J592" i="16" l="1"/>
  <c r="K591" i="16"/>
  <c r="K592" i="15"/>
  <c r="J593" i="15"/>
  <c r="J592" i="14"/>
  <c r="K591" i="14"/>
  <c r="J593" i="16" l="1"/>
  <c r="K592" i="16"/>
  <c r="J594" i="15"/>
  <c r="K593" i="15"/>
  <c r="J593" i="14"/>
  <c r="K592" i="14"/>
  <c r="J594" i="16" l="1"/>
  <c r="K593" i="16"/>
  <c r="K594" i="15"/>
  <c r="J595" i="15"/>
  <c r="J594" i="14"/>
  <c r="K593" i="14"/>
  <c r="J595" i="16" l="1"/>
  <c r="K594" i="16"/>
  <c r="J596" i="15"/>
  <c r="K595" i="15"/>
  <c r="J595" i="14"/>
  <c r="K594" i="14"/>
  <c r="K595" i="16" l="1"/>
  <c r="J596" i="16"/>
  <c r="K596" i="15"/>
  <c r="J597" i="15"/>
  <c r="J596" i="14"/>
  <c r="K595" i="14"/>
  <c r="J597" i="16" l="1"/>
  <c r="K596" i="16"/>
  <c r="K597" i="15"/>
  <c r="J598" i="15"/>
  <c r="J597" i="14"/>
  <c r="K596" i="14"/>
  <c r="J598" i="16" l="1"/>
  <c r="K597" i="16"/>
  <c r="J599" i="15"/>
  <c r="K598" i="15"/>
  <c r="J598" i="14"/>
  <c r="K597" i="14"/>
  <c r="J599" i="16" l="1"/>
  <c r="K598" i="16"/>
  <c r="J600" i="15"/>
  <c r="K599" i="15"/>
  <c r="J599" i="14"/>
  <c r="K598" i="14"/>
  <c r="J600" i="16" l="1"/>
  <c r="K599" i="16"/>
  <c r="J601" i="15"/>
  <c r="K600" i="15"/>
  <c r="J600" i="14"/>
  <c r="K599" i="14"/>
  <c r="J601" i="16" l="1"/>
  <c r="K600" i="16"/>
  <c r="J602" i="15"/>
  <c r="K601" i="15"/>
  <c r="J601" i="14"/>
  <c r="K600" i="14"/>
  <c r="J602" i="16" l="1"/>
  <c r="K601" i="16"/>
  <c r="K602" i="15"/>
  <c r="J603" i="15"/>
  <c r="J602" i="14"/>
  <c r="K601" i="14"/>
  <c r="J603" i="16" l="1"/>
  <c r="K602" i="16"/>
  <c r="J604" i="15"/>
  <c r="K603" i="15"/>
  <c r="J603" i="14"/>
  <c r="K602" i="14"/>
  <c r="J604" i="16" l="1"/>
  <c r="K603" i="16"/>
  <c r="K604" i="15"/>
  <c r="J605" i="15"/>
  <c r="J604" i="14"/>
  <c r="K603" i="14"/>
  <c r="J605" i="16" l="1"/>
  <c r="K604" i="16"/>
  <c r="J606" i="15"/>
  <c r="K605" i="15"/>
  <c r="J605" i="14"/>
  <c r="K604" i="14"/>
  <c r="J606" i="16" l="1"/>
  <c r="K605" i="16"/>
  <c r="K606" i="15"/>
  <c r="J607" i="15"/>
  <c r="J606" i="14"/>
  <c r="K605" i="14"/>
  <c r="J607" i="16" l="1"/>
  <c r="K606" i="16"/>
  <c r="K607" i="15"/>
  <c r="J608" i="15"/>
  <c r="J607" i="14"/>
  <c r="K606" i="14"/>
  <c r="J608" i="16" l="1"/>
  <c r="K607" i="16"/>
  <c r="J609" i="15"/>
  <c r="K608" i="15"/>
  <c r="J608" i="14"/>
  <c r="K607" i="14"/>
  <c r="J609" i="16" l="1"/>
  <c r="K608" i="16"/>
  <c r="J610" i="15"/>
  <c r="K609" i="15"/>
  <c r="J609" i="14"/>
  <c r="K608" i="14"/>
  <c r="J610" i="16" l="1"/>
  <c r="K609" i="16"/>
  <c r="J611" i="15"/>
  <c r="K610" i="15"/>
  <c r="J610" i="14"/>
  <c r="K609" i="14"/>
  <c r="J611" i="16" l="1"/>
  <c r="K610" i="16"/>
  <c r="J612" i="15"/>
  <c r="K611" i="15"/>
  <c r="J611" i="14"/>
  <c r="K610" i="14"/>
  <c r="J612" i="16" l="1"/>
  <c r="K611" i="16"/>
  <c r="J613" i="15"/>
  <c r="K612" i="15"/>
  <c r="J612" i="14"/>
  <c r="K611" i="14"/>
  <c r="J613" i="16" l="1"/>
  <c r="K612" i="16"/>
  <c r="K613" i="15"/>
  <c r="J614" i="15"/>
  <c r="J613" i="14"/>
  <c r="K612" i="14"/>
  <c r="J614" i="16" l="1"/>
  <c r="K613" i="16"/>
  <c r="K614" i="15"/>
  <c r="J615" i="15"/>
  <c r="J614" i="14"/>
  <c r="K613" i="14"/>
  <c r="J615" i="16" l="1"/>
  <c r="K614" i="16"/>
  <c r="K615" i="15"/>
  <c r="J616" i="15"/>
  <c r="J615" i="14"/>
  <c r="K614" i="14"/>
  <c r="J616" i="16" l="1"/>
  <c r="K615" i="16"/>
  <c r="J617" i="15"/>
  <c r="K616" i="15"/>
  <c r="J616" i="14"/>
  <c r="K615" i="14"/>
  <c r="J617" i="16" l="1"/>
  <c r="K616" i="16"/>
  <c r="J618" i="15"/>
  <c r="K617" i="15"/>
  <c r="J617" i="14"/>
  <c r="K616" i="14"/>
  <c r="K617" i="16" l="1"/>
  <c r="J618" i="16"/>
  <c r="J619" i="15"/>
  <c r="K619" i="15" s="1"/>
  <c r="K618" i="15"/>
  <c r="J618" i="14"/>
  <c r="K617" i="14"/>
  <c r="J619" i="16" l="1"/>
  <c r="K618" i="16"/>
  <c r="J619" i="14"/>
  <c r="K618" i="14"/>
  <c r="J620" i="16" l="1"/>
  <c r="K619" i="16"/>
  <c r="J620" i="14"/>
  <c r="K619" i="14"/>
  <c r="J621" i="16" l="1"/>
  <c r="K620" i="16"/>
  <c r="J621" i="14"/>
  <c r="K620" i="14"/>
  <c r="J622" i="16" l="1"/>
  <c r="K621" i="16"/>
  <c r="J622" i="14"/>
  <c r="K621" i="14"/>
  <c r="J623" i="16" l="1"/>
  <c r="K622" i="16"/>
  <c r="J623" i="14"/>
  <c r="K622" i="14"/>
  <c r="J624" i="16" l="1"/>
  <c r="K623" i="16"/>
  <c r="J624" i="14"/>
  <c r="K623" i="14"/>
  <c r="J625" i="16" l="1"/>
  <c r="K624" i="16"/>
  <c r="J625" i="14"/>
  <c r="K624" i="14"/>
  <c r="K625" i="16" l="1"/>
  <c r="J626" i="16"/>
  <c r="J626" i="14"/>
  <c r="K625" i="14"/>
  <c r="J627" i="16" l="1"/>
  <c r="K626" i="16"/>
  <c r="J627" i="14"/>
  <c r="K626" i="14"/>
  <c r="J628" i="16" l="1"/>
  <c r="K627" i="16"/>
  <c r="J628" i="14"/>
  <c r="K627" i="14"/>
  <c r="J629" i="16" l="1"/>
  <c r="K628" i="16"/>
  <c r="J629" i="14"/>
  <c r="K628" i="14"/>
  <c r="J630" i="16" l="1"/>
  <c r="K629" i="16"/>
  <c r="J630" i="14"/>
  <c r="K629" i="14"/>
  <c r="K630" i="16" l="1"/>
  <c r="J631" i="16"/>
  <c r="J631" i="14"/>
  <c r="K630" i="14"/>
  <c r="K631" i="16" l="1"/>
  <c r="J632" i="16"/>
  <c r="J632" i="14"/>
  <c r="K631" i="14"/>
  <c r="J633" i="16" l="1"/>
  <c r="K632" i="16"/>
  <c r="J633" i="14"/>
  <c r="K632" i="14"/>
  <c r="K633" i="16" l="1"/>
  <c r="J634" i="16"/>
  <c r="J634" i="14"/>
  <c r="K633" i="14"/>
  <c r="K634" i="16" l="1"/>
  <c r="J635" i="16"/>
  <c r="J635" i="14"/>
  <c r="K634" i="14"/>
  <c r="K635" i="16" l="1"/>
  <c r="J636" i="16"/>
  <c r="J636" i="14"/>
  <c r="K635" i="14"/>
  <c r="J637" i="16" l="1"/>
  <c r="K636" i="16"/>
  <c r="J637" i="14"/>
  <c r="K636" i="14"/>
  <c r="J638" i="16" l="1"/>
  <c r="K637" i="16"/>
  <c r="J638" i="14"/>
  <c r="K637" i="14"/>
  <c r="J639" i="16" l="1"/>
  <c r="K638" i="16"/>
  <c r="J639" i="14"/>
  <c r="K638" i="14"/>
  <c r="J640" i="16" l="1"/>
  <c r="K639" i="16"/>
  <c r="J640" i="14"/>
  <c r="K639" i="14"/>
  <c r="J641" i="16" l="1"/>
  <c r="K640" i="16"/>
  <c r="J641" i="14"/>
  <c r="K640" i="14"/>
  <c r="J642" i="16" l="1"/>
  <c r="K641" i="16"/>
  <c r="J642" i="14"/>
  <c r="K641" i="14"/>
  <c r="J643" i="16" l="1"/>
  <c r="K642" i="16"/>
  <c r="J643" i="14"/>
  <c r="K642" i="14"/>
  <c r="K643" i="16" l="1"/>
  <c r="J644" i="16"/>
  <c r="J644" i="14"/>
  <c r="K643" i="14"/>
  <c r="J645" i="16" l="1"/>
  <c r="K644" i="16"/>
  <c r="J645" i="14"/>
  <c r="K644" i="14"/>
  <c r="J646" i="16" l="1"/>
  <c r="K645" i="16"/>
  <c r="J646" i="14"/>
  <c r="K645" i="14"/>
  <c r="J647" i="16" l="1"/>
  <c r="K646" i="16"/>
  <c r="J647" i="14"/>
  <c r="K646" i="14"/>
  <c r="J648" i="16" l="1"/>
  <c r="K647" i="16"/>
  <c r="J648" i="14"/>
  <c r="K647" i="14"/>
  <c r="J649" i="16" l="1"/>
  <c r="K648" i="16"/>
  <c r="J649" i="14"/>
  <c r="K648" i="14"/>
  <c r="J650" i="16" l="1"/>
  <c r="K649" i="16"/>
  <c r="J650" i="14"/>
  <c r="K649" i="14"/>
  <c r="J651" i="16" l="1"/>
  <c r="K650" i="16"/>
  <c r="J651" i="14"/>
  <c r="K650" i="14"/>
  <c r="J652" i="16" l="1"/>
  <c r="K651" i="16"/>
  <c r="J652" i="14"/>
  <c r="K651" i="14"/>
  <c r="J653" i="16" l="1"/>
  <c r="K652" i="16"/>
  <c r="J653" i="14"/>
  <c r="K652" i="14"/>
  <c r="K653" i="16" l="1"/>
  <c r="J654" i="16"/>
  <c r="J654" i="14"/>
  <c r="K653" i="14"/>
  <c r="J655" i="16" l="1"/>
  <c r="K654" i="16"/>
  <c r="J655" i="14"/>
  <c r="K654" i="14"/>
  <c r="K655" i="16" l="1"/>
  <c r="J656" i="16"/>
  <c r="J656" i="14"/>
  <c r="K655" i="14"/>
  <c r="K656" i="16" l="1"/>
  <c r="J657" i="16"/>
  <c r="J657" i="14"/>
  <c r="K656" i="14"/>
  <c r="J658" i="16" l="1"/>
  <c r="K657" i="16"/>
  <c r="J658" i="14"/>
  <c r="K657" i="14"/>
  <c r="J659" i="16" l="1"/>
  <c r="K658" i="16"/>
  <c r="J659" i="14"/>
  <c r="K658" i="14"/>
  <c r="K659" i="16" l="1"/>
  <c r="J660" i="16"/>
  <c r="J660" i="14"/>
  <c r="K659" i="14"/>
  <c r="J661" i="16" l="1"/>
  <c r="K660" i="16"/>
  <c r="J661" i="14"/>
  <c r="K660" i="14"/>
  <c r="K661" i="16" l="1"/>
  <c r="J662" i="16"/>
  <c r="J662" i="14"/>
  <c r="K661" i="14"/>
  <c r="J663" i="16" l="1"/>
  <c r="K662" i="16"/>
  <c r="J663" i="14"/>
  <c r="K662" i="14"/>
  <c r="K663" i="16" l="1"/>
  <c r="J664" i="16"/>
  <c r="J664" i="14"/>
  <c r="K663" i="14"/>
  <c r="J665" i="16" l="1"/>
  <c r="K664" i="16"/>
  <c r="J665" i="14"/>
  <c r="K664" i="14"/>
  <c r="K665" i="16" l="1"/>
  <c r="J666" i="16"/>
  <c r="J666" i="14"/>
  <c r="K665" i="14"/>
  <c r="J667" i="16" l="1"/>
  <c r="K666" i="16"/>
  <c r="J667" i="14"/>
  <c r="K666" i="14"/>
  <c r="J668" i="16" l="1"/>
  <c r="K667" i="16"/>
  <c r="J668" i="14"/>
  <c r="K667" i="14"/>
  <c r="J669" i="16" l="1"/>
  <c r="K668" i="16"/>
  <c r="J669" i="14"/>
  <c r="K668" i="14"/>
  <c r="K669" i="16" l="1"/>
  <c r="J670" i="16"/>
  <c r="J670" i="14"/>
  <c r="K669" i="14"/>
  <c r="J671" i="16" l="1"/>
  <c r="K670" i="16"/>
  <c r="J671" i="14"/>
  <c r="K670" i="14"/>
  <c r="J672" i="16" l="1"/>
  <c r="K671" i="16"/>
  <c r="J672" i="14"/>
  <c r="K671" i="14"/>
  <c r="J673" i="16" l="1"/>
  <c r="K672" i="16"/>
  <c r="J673" i="14"/>
  <c r="K672" i="14"/>
  <c r="K673" i="16" l="1"/>
  <c r="J674" i="16"/>
  <c r="J674" i="14"/>
  <c r="K673" i="14"/>
  <c r="K674" i="16" l="1"/>
  <c r="J675" i="16"/>
  <c r="J675" i="14"/>
  <c r="K674" i="14"/>
  <c r="J676" i="16" l="1"/>
  <c r="K675" i="16"/>
  <c r="J676" i="14"/>
  <c r="K675" i="14"/>
  <c r="J677" i="16" l="1"/>
  <c r="K676" i="16"/>
  <c r="J677" i="14"/>
  <c r="K676" i="14"/>
  <c r="J678" i="16" l="1"/>
  <c r="K677" i="16"/>
  <c r="J678" i="14"/>
  <c r="K677" i="14"/>
  <c r="J679" i="16" l="1"/>
  <c r="K678" i="16"/>
  <c r="J679" i="14"/>
  <c r="K678" i="14"/>
  <c r="J680" i="16" l="1"/>
  <c r="K679" i="16"/>
  <c r="J680" i="14"/>
  <c r="K679" i="14"/>
  <c r="K680" i="16" l="1"/>
  <c r="J681" i="16"/>
  <c r="J681" i="14"/>
  <c r="K680" i="14"/>
  <c r="K681" i="16" l="1"/>
  <c r="J682" i="16"/>
  <c r="J682" i="14"/>
  <c r="K681" i="14"/>
  <c r="J683" i="16" l="1"/>
  <c r="K682" i="16"/>
  <c r="J683" i="14"/>
  <c r="K682" i="14"/>
  <c r="J684" i="16" l="1"/>
  <c r="K683" i="16"/>
  <c r="J684" i="14"/>
  <c r="K683" i="14"/>
  <c r="J685" i="16" l="1"/>
  <c r="K684" i="16"/>
  <c r="J685" i="14"/>
  <c r="K684" i="14"/>
  <c r="J686" i="16" l="1"/>
  <c r="K685" i="16"/>
  <c r="J686" i="14"/>
  <c r="K685" i="14"/>
  <c r="J687" i="16" l="1"/>
  <c r="K686" i="16"/>
  <c r="J687" i="14"/>
  <c r="K686" i="14"/>
  <c r="J688" i="16" l="1"/>
  <c r="K687" i="16"/>
  <c r="J688" i="14"/>
  <c r="K687" i="14"/>
  <c r="J689" i="16" l="1"/>
  <c r="K688" i="16"/>
  <c r="J689" i="14"/>
  <c r="K688" i="14"/>
  <c r="J690" i="16" l="1"/>
  <c r="K689" i="16"/>
  <c r="J690" i="14"/>
  <c r="K689" i="14"/>
  <c r="J691" i="16" l="1"/>
  <c r="K690" i="16"/>
  <c r="J691" i="14"/>
  <c r="K690" i="14"/>
  <c r="J692" i="16" l="1"/>
  <c r="K691" i="16"/>
  <c r="J692" i="14"/>
  <c r="K691" i="14"/>
  <c r="J693" i="16" l="1"/>
  <c r="K692" i="16"/>
  <c r="J693" i="14"/>
  <c r="K692" i="14"/>
  <c r="J694" i="16" l="1"/>
  <c r="K693" i="16"/>
  <c r="J694" i="14"/>
  <c r="K693" i="14"/>
  <c r="J695" i="16" l="1"/>
  <c r="K694" i="16"/>
  <c r="J695" i="14"/>
  <c r="K694" i="14"/>
  <c r="J696" i="16" l="1"/>
  <c r="K695" i="16"/>
  <c r="J696" i="14"/>
  <c r="K695" i="14"/>
  <c r="J697" i="16" l="1"/>
  <c r="K696" i="16"/>
  <c r="J697" i="14"/>
  <c r="K696" i="14"/>
  <c r="J698" i="16" l="1"/>
  <c r="K697" i="16"/>
  <c r="K697" i="14"/>
  <c r="J698" i="14"/>
  <c r="J699" i="16" l="1"/>
  <c r="K698" i="16"/>
  <c r="J699" i="14"/>
  <c r="K698" i="14"/>
  <c r="J700" i="16" l="1"/>
  <c r="K699" i="16"/>
  <c r="K699" i="14"/>
  <c r="J700" i="14"/>
  <c r="J701" i="16" l="1"/>
  <c r="K700" i="16"/>
  <c r="J701" i="14"/>
  <c r="K700" i="14"/>
  <c r="J702" i="16" l="1"/>
  <c r="K701" i="16"/>
  <c r="J702" i="14"/>
  <c r="K701" i="14"/>
  <c r="J703" i="16" l="1"/>
  <c r="K702" i="16"/>
  <c r="K702" i="14"/>
  <c r="J703" i="14"/>
  <c r="J704" i="16" l="1"/>
  <c r="K703" i="16"/>
  <c r="K703" i="14"/>
  <c r="J704" i="14"/>
  <c r="J705" i="16" l="1"/>
  <c r="K704" i="16"/>
  <c r="K704" i="14"/>
  <c r="J705" i="14"/>
  <c r="J706" i="16" l="1"/>
  <c r="K705" i="16"/>
  <c r="K705" i="14"/>
  <c r="J706" i="14"/>
  <c r="J707" i="16" l="1"/>
  <c r="K706" i="16"/>
  <c r="K706" i="14"/>
  <c r="J707" i="14"/>
  <c r="J708" i="16" l="1"/>
  <c r="K707" i="16"/>
  <c r="J708" i="14"/>
  <c r="K707" i="14"/>
  <c r="J709" i="16" l="1"/>
  <c r="K709" i="16" s="1"/>
  <c r="K708" i="16"/>
  <c r="J709" i="14"/>
  <c r="K708" i="14"/>
  <c r="J710" i="14" l="1"/>
  <c r="K709" i="14"/>
  <c r="J711" i="14" l="1"/>
  <c r="K710" i="14"/>
  <c r="K711" i="14" l="1"/>
  <c r="J712" i="14"/>
  <c r="K712" i="14" l="1"/>
  <c r="J713" i="14"/>
  <c r="J714" i="14" l="1"/>
  <c r="K713" i="14"/>
  <c r="J715" i="14" l="1"/>
  <c r="K714" i="14"/>
  <c r="J716" i="14" l="1"/>
  <c r="K715" i="14"/>
  <c r="J717" i="14" l="1"/>
  <c r="K716" i="14"/>
  <c r="K717" i="14" l="1"/>
  <c r="J718" i="14"/>
  <c r="K718" i="14" l="1"/>
  <c r="J719" i="14"/>
  <c r="K719" i="14" l="1"/>
  <c r="J720" i="14"/>
  <c r="K720" i="14" l="1"/>
  <c r="J721" i="14"/>
  <c r="J722" i="14" l="1"/>
  <c r="K721" i="14"/>
  <c r="K722" i="14" l="1"/>
  <c r="J723" i="14"/>
  <c r="K723" i="14" l="1"/>
  <c r="J724" i="14"/>
  <c r="J725" i="14" l="1"/>
  <c r="K724" i="14"/>
  <c r="K725" i="14" l="1"/>
  <c r="J726" i="14"/>
  <c r="J727" i="14" l="1"/>
  <c r="K726" i="14"/>
  <c r="K727" i="14" l="1"/>
  <c r="J728" i="14"/>
  <c r="J729" i="14" l="1"/>
  <c r="K728" i="14"/>
  <c r="K729" i="14" l="1"/>
  <c r="J730" i="14"/>
  <c r="K730" i="14" l="1"/>
  <c r="J731" i="14"/>
  <c r="J732" i="14" l="1"/>
  <c r="K731" i="14"/>
  <c r="J733" i="14" l="1"/>
  <c r="K732" i="14"/>
  <c r="J734" i="14" l="1"/>
  <c r="K733" i="14"/>
  <c r="J735" i="14" l="1"/>
  <c r="K734" i="14"/>
  <c r="J736" i="14" l="1"/>
  <c r="K735" i="14"/>
  <c r="J737" i="14" l="1"/>
  <c r="K736" i="14"/>
  <c r="J738" i="14" l="1"/>
  <c r="K737" i="14"/>
  <c r="J739" i="14" l="1"/>
  <c r="K738" i="14"/>
  <c r="J740" i="14" l="1"/>
  <c r="K739" i="14"/>
  <c r="J741" i="14" l="1"/>
  <c r="K740" i="14"/>
  <c r="J742" i="14" l="1"/>
  <c r="K741" i="14"/>
  <c r="J743" i="14" l="1"/>
  <c r="K742" i="14"/>
  <c r="J744" i="14" l="1"/>
  <c r="K743" i="14"/>
  <c r="J745" i="14" l="1"/>
  <c r="K744" i="14"/>
  <c r="J746" i="14" l="1"/>
  <c r="K745" i="14"/>
  <c r="J747" i="14" l="1"/>
  <c r="K746" i="14"/>
  <c r="J748" i="14" l="1"/>
  <c r="K747" i="14"/>
  <c r="J749" i="14" l="1"/>
  <c r="K748" i="14"/>
  <c r="J750" i="14" l="1"/>
  <c r="K749" i="14"/>
  <c r="J751" i="14" l="1"/>
  <c r="K750" i="14"/>
  <c r="J752" i="14" l="1"/>
  <c r="K751" i="14"/>
  <c r="J753" i="14" l="1"/>
  <c r="K752" i="14"/>
  <c r="J754" i="14" l="1"/>
  <c r="K753" i="14"/>
  <c r="J755" i="14" l="1"/>
  <c r="K754" i="14"/>
  <c r="J756" i="14" l="1"/>
  <c r="K755" i="14"/>
  <c r="J757" i="14" l="1"/>
  <c r="K756" i="14"/>
  <c r="J758" i="14" l="1"/>
  <c r="K757" i="14"/>
  <c r="J759" i="14" l="1"/>
  <c r="K758" i="14"/>
  <c r="J760" i="14" l="1"/>
  <c r="K759" i="14"/>
  <c r="J761" i="14" l="1"/>
  <c r="K760" i="14"/>
  <c r="J762" i="14" l="1"/>
  <c r="K761" i="14"/>
  <c r="J763" i="14" l="1"/>
  <c r="K762" i="14"/>
  <c r="J764" i="14" l="1"/>
  <c r="K763" i="14"/>
  <c r="J765" i="14" l="1"/>
  <c r="K764" i="14"/>
  <c r="J766" i="14" l="1"/>
  <c r="K765" i="14"/>
  <c r="J767" i="14" l="1"/>
  <c r="K766" i="14"/>
  <c r="J768" i="14" l="1"/>
  <c r="K767" i="14"/>
  <c r="J769" i="14" l="1"/>
  <c r="K768" i="14"/>
  <c r="J770" i="14" l="1"/>
  <c r="K769" i="14"/>
  <c r="J771" i="14" l="1"/>
  <c r="K770" i="14"/>
  <c r="J772" i="14" l="1"/>
  <c r="K771" i="14"/>
  <c r="J773" i="14" l="1"/>
  <c r="K772" i="14"/>
  <c r="J774" i="14" l="1"/>
  <c r="K773" i="14"/>
  <c r="J775" i="14" l="1"/>
  <c r="K774" i="14"/>
  <c r="J776" i="14" l="1"/>
  <c r="K775" i="14"/>
  <c r="J777" i="14" l="1"/>
  <c r="K776" i="14"/>
  <c r="J778" i="14" l="1"/>
  <c r="K777" i="14"/>
  <c r="J779" i="14" l="1"/>
  <c r="K778" i="14"/>
  <c r="J780" i="14" l="1"/>
  <c r="K779" i="14"/>
  <c r="J781" i="14" l="1"/>
  <c r="K780" i="14"/>
  <c r="J782" i="14" l="1"/>
  <c r="K781" i="14"/>
  <c r="J783" i="14" l="1"/>
  <c r="K782" i="14"/>
  <c r="J784" i="14" l="1"/>
  <c r="K783" i="14"/>
  <c r="J785" i="14" l="1"/>
  <c r="K784" i="14"/>
  <c r="J786" i="14" l="1"/>
  <c r="K785" i="14"/>
  <c r="J787" i="14" l="1"/>
  <c r="K786" i="14"/>
  <c r="J788" i="14" l="1"/>
  <c r="K787" i="14"/>
  <c r="J789" i="14" l="1"/>
  <c r="K788" i="14"/>
  <c r="J790" i="14" l="1"/>
  <c r="K789" i="14"/>
  <c r="J791" i="14" l="1"/>
  <c r="K790" i="14"/>
  <c r="J792" i="14" l="1"/>
  <c r="K791" i="14"/>
  <c r="J793" i="14" l="1"/>
  <c r="K792" i="14"/>
  <c r="J794" i="14" l="1"/>
  <c r="K793" i="14"/>
  <c r="J795" i="14" l="1"/>
  <c r="K794" i="14"/>
  <c r="J796" i="14" l="1"/>
  <c r="K795" i="14"/>
  <c r="J797" i="14" l="1"/>
  <c r="K796" i="14"/>
  <c r="J798" i="14" l="1"/>
  <c r="K797" i="14"/>
  <c r="J799" i="14" l="1"/>
  <c r="K798" i="14"/>
  <c r="J800" i="14" l="1"/>
  <c r="K799" i="14"/>
  <c r="J801" i="14" l="1"/>
  <c r="K800" i="14"/>
  <c r="J802" i="14" l="1"/>
  <c r="K801" i="14"/>
  <c r="J803" i="14" l="1"/>
  <c r="K802" i="14"/>
  <c r="J804" i="14" l="1"/>
  <c r="K803" i="14"/>
  <c r="J805" i="14" l="1"/>
  <c r="K804" i="14"/>
  <c r="J806" i="14" l="1"/>
  <c r="K805" i="14"/>
  <c r="J807" i="14" l="1"/>
  <c r="K806" i="14"/>
  <c r="J808" i="14" l="1"/>
  <c r="K807" i="14"/>
  <c r="J809" i="14" l="1"/>
  <c r="K808" i="14"/>
  <c r="J810" i="14" l="1"/>
  <c r="K809" i="14"/>
  <c r="J811" i="14" l="1"/>
  <c r="K810" i="14"/>
  <c r="J812" i="14" l="1"/>
  <c r="K811" i="14"/>
  <c r="J813" i="14" l="1"/>
  <c r="K812" i="14"/>
  <c r="J814" i="14" l="1"/>
  <c r="K813" i="14"/>
  <c r="J815" i="14" l="1"/>
  <c r="K814" i="14"/>
  <c r="J816" i="14" l="1"/>
  <c r="K815" i="14"/>
  <c r="J817" i="14" l="1"/>
  <c r="K816" i="14"/>
  <c r="J818" i="14" l="1"/>
  <c r="K817" i="14"/>
  <c r="J819" i="14" l="1"/>
  <c r="K818" i="14"/>
  <c r="J820" i="14" l="1"/>
  <c r="K819" i="14"/>
  <c r="J821" i="14" l="1"/>
  <c r="K820" i="14"/>
  <c r="J822" i="14" l="1"/>
  <c r="K821" i="14"/>
  <c r="J823" i="14" l="1"/>
  <c r="K822" i="14"/>
  <c r="J824" i="14" l="1"/>
  <c r="K823" i="14"/>
  <c r="J825" i="14" l="1"/>
  <c r="K824" i="14"/>
  <c r="J826" i="14" l="1"/>
  <c r="K825" i="14"/>
  <c r="J827" i="14" l="1"/>
  <c r="K826" i="14"/>
  <c r="J828" i="14" l="1"/>
  <c r="K827" i="14"/>
  <c r="J829" i="14" l="1"/>
  <c r="K828" i="14"/>
  <c r="J830" i="14" l="1"/>
  <c r="K829" i="14"/>
  <c r="J831" i="14" l="1"/>
  <c r="K830" i="14"/>
  <c r="J832" i="14" l="1"/>
  <c r="K831" i="14"/>
  <c r="J833" i="14" l="1"/>
  <c r="K832" i="14"/>
  <c r="J834" i="14" l="1"/>
  <c r="K833" i="14"/>
  <c r="J835" i="14" l="1"/>
  <c r="K834" i="14"/>
  <c r="J836" i="14" l="1"/>
  <c r="K835" i="14"/>
  <c r="J837" i="14" l="1"/>
  <c r="K836" i="14"/>
  <c r="J838" i="14" l="1"/>
  <c r="K837" i="14"/>
  <c r="J839" i="14" l="1"/>
  <c r="K838" i="14"/>
  <c r="J840" i="14" l="1"/>
  <c r="K839" i="14"/>
  <c r="J841" i="14" l="1"/>
  <c r="K840" i="14"/>
  <c r="J842" i="14" l="1"/>
  <c r="K841" i="14"/>
  <c r="J843" i="14" l="1"/>
  <c r="K842" i="14"/>
  <c r="J844" i="14" l="1"/>
  <c r="K843" i="14"/>
  <c r="J845" i="14" l="1"/>
  <c r="K844" i="14"/>
  <c r="J846" i="14" l="1"/>
  <c r="K845" i="14"/>
  <c r="J847" i="14" l="1"/>
  <c r="K846" i="14"/>
  <c r="J848" i="14" l="1"/>
  <c r="K847" i="14"/>
  <c r="J849" i="14" l="1"/>
  <c r="K848" i="14"/>
  <c r="J850" i="14" l="1"/>
  <c r="K849" i="14"/>
  <c r="J851" i="14" l="1"/>
  <c r="K850" i="14"/>
  <c r="J852" i="14" l="1"/>
  <c r="K851" i="14"/>
  <c r="J853" i="14" l="1"/>
  <c r="K852" i="14"/>
  <c r="J854" i="14" l="1"/>
  <c r="K853" i="14"/>
  <c r="J855" i="14" l="1"/>
  <c r="K854" i="14"/>
  <c r="J856" i="14" l="1"/>
  <c r="K855" i="14"/>
  <c r="J857" i="14" l="1"/>
  <c r="K856" i="14"/>
  <c r="J858" i="14" l="1"/>
  <c r="K857" i="14"/>
  <c r="J859" i="14" l="1"/>
  <c r="K858" i="14"/>
  <c r="J860" i="14" l="1"/>
  <c r="K859" i="14"/>
  <c r="J861" i="14" l="1"/>
  <c r="K860" i="14"/>
  <c r="J862" i="14" l="1"/>
  <c r="K861" i="14"/>
  <c r="J863" i="14" l="1"/>
  <c r="K862" i="14"/>
  <c r="J864" i="14" l="1"/>
  <c r="K863" i="14"/>
  <c r="J865" i="14" l="1"/>
  <c r="K864" i="14"/>
  <c r="J866" i="14" l="1"/>
  <c r="K865" i="14"/>
  <c r="J867" i="14" l="1"/>
  <c r="K866" i="14"/>
  <c r="J868" i="14" l="1"/>
  <c r="K867" i="14"/>
  <c r="J869" i="14" l="1"/>
  <c r="K868" i="14"/>
  <c r="J870" i="14" l="1"/>
  <c r="K869" i="14"/>
  <c r="J871" i="14" l="1"/>
  <c r="K870" i="14"/>
  <c r="J872" i="14" l="1"/>
  <c r="K871" i="14"/>
  <c r="J873" i="14" l="1"/>
  <c r="K872" i="14"/>
  <c r="J874" i="14" l="1"/>
  <c r="K873" i="14"/>
  <c r="J875" i="14" l="1"/>
  <c r="K874" i="14"/>
  <c r="J876" i="14" l="1"/>
  <c r="K875" i="14"/>
  <c r="J877" i="14" l="1"/>
  <c r="K876" i="14"/>
  <c r="J878" i="14" l="1"/>
  <c r="K877" i="14"/>
  <c r="J879" i="14" l="1"/>
  <c r="K878" i="14"/>
  <c r="J880" i="14" l="1"/>
  <c r="K879" i="14"/>
  <c r="J881" i="14" l="1"/>
  <c r="K880" i="14"/>
  <c r="J882" i="14" l="1"/>
  <c r="K881" i="14"/>
  <c r="J883" i="14" l="1"/>
  <c r="K882" i="14"/>
  <c r="J884" i="14" l="1"/>
  <c r="K883" i="14"/>
  <c r="J885" i="14" l="1"/>
  <c r="K884" i="14"/>
  <c r="J886" i="14" l="1"/>
  <c r="K885" i="14"/>
  <c r="J887" i="14" l="1"/>
  <c r="K886" i="14"/>
  <c r="J888" i="14" l="1"/>
  <c r="K887" i="14"/>
  <c r="J889" i="14" l="1"/>
  <c r="K888" i="14"/>
  <c r="J890" i="14" l="1"/>
  <c r="K889" i="14"/>
  <c r="J891" i="14" l="1"/>
  <c r="K890" i="14"/>
  <c r="J892" i="14" l="1"/>
  <c r="K891" i="14"/>
  <c r="J893" i="14" l="1"/>
  <c r="K892" i="14"/>
  <c r="J894" i="14" l="1"/>
  <c r="K893" i="14"/>
  <c r="J895" i="14" l="1"/>
  <c r="K894" i="14"/>
  <c r="J896" i="14" l="1"/>
  <c r="K895" i="14"/>
  <c r="J897" i="14" l="1"/>
  <c r="K896" i="14"/>
  <c r="J898" i="14" l="1"/>
  <c r="K897" i="14"/>
  <c r="J899" i="14" l="1"/>
  <c r="K898" i="14"/>
  <c r="J900" i="14" l="1"/>
  <c r="K899" i="14"/>
  <c r="J901" i="14" l="1"/>
  <c r="K900" i="14"/>
  <c r="J902" i="14" l="1"/>
  <c r="K901" i="14"/>
  <c r="J903" i="14" l="1"/>
  <c r="K902" i="14"/>
  <c r="J904" i="14" l="1"/>
  <c r="K903" i="14"/>
  <c r="J905" i="14" l="1"/>
  <c r="K904" i="14"/>
  <c r="J906" i="14" l="1"/>
  <c r="K905" i="14"/>
  <c r="J907" i="14" l="1"/>
  <c r="K906" i="14"/>
  <c r="J908" i="14" l="1"/>
  <c r="K907" i="14"/>
  <c r="J909" i="14" l="1"/>
  <c r="K908" i="14"/>
  <c r="J910" i="14" l="1"/>
  <c r="K909" i="14"/>
  <c r="J911" i="14" l="1"/>
  <c r="K910" i="14"/>
  <c r="J912" i="14" l="1"/>
  <c r="K911" i="14"/>
  <c r="J913" i="14" l="1"/>
  <c r="K912" i="14"/>
  <c r="J914" i="14" l="1"/>
  <c r="K913" i="14"/>
  <c r="J915" i="14" l="1"/>
  <c r="K914" i="14"/>
  <c r="J916" i="14" l="1"/>
  <c r="K915" i="14"/>
  <c r="J917" i="14" l="1"/>
  <c r="K916" i="14"/>
  <c r="J918" i="14" l="1"/>
  <c r="K917" i="14"/>
  <c r="J919" i="14" l="1"/>
  <c r="K918" i="14"/>
  <c r="J920" i="14" l="1"/>
  <c r="K919" i="14"/>
  <c r="J921" i="14" l="1"/>
  <c r="K920" i="14"/>
  <c r="J922" i="14" l="1"/>
  <c r="K921" i="14"/>
  <c r="J923" i="14" l="1"/>
  <c r="K922" i="14"/>
  <c r="J924" i="14" l="1"/>
  <c r="K923" i="14"/>
  <c r="J925" i="14" l="1"/>
  <c r="K924" i="14"/>
  <c r="J926" i="14" l="1"/>
  <c r="K925" i="14"/>
  <c r="J927" i="14" l="1"/>
  <c r="K926" i="14"/>
  <c r="J928" i="14" l="1"/>
  <c r="K927" i="14"/>
  <c r="J929" i="14" l="1"/>
  <c r="K928" i="14"/>
  <c r="J930" i="14" l="1"/>
  <c r="K929" i="14"/>
  <c r="J931" i="14" l="1"/>
  <c r="K930" i="14"/>
  <c r="J932" i="14" l="1"/>
  <c r="K931" i="14"/>
  <c r="J933" i="14" l="1"/>
  <c r="K932" i="14"/>
  <c r="J934" i="14" l="1"/>
  <c r="K933" i="14"/>
  <c r="J935" i="14" l="1"/>
  <c r="K934" i="14"/>
  <c r="J936" i="14" l="1"/>
  <c r="K935" i="14"/>
  <c r="J937" i="14" l="1"/>
  <c r="K936" i="14"/>
  <c r="J938" i="14" l="1"/>
  <c r="K937" i="14"/>
  <c r="J939" i="14" l="1"/>
  <c r="K938" i="14"/>
  <c r="J940" i="14" l="1"/>
  <c r="K939" i="14"/>
  <c r="J941" i="14" l="1"/>
  <c r="K940" i="14"/>
  <c r="J942" i="14" l="1"/>
  <c r="K941" i="14"/>
  <c r="J943" i="14" l="1"/>
  <c r="K942" i="14"/>
  <c r="J944" i="14" l="1"/>
  <c r="K943" i="14"/>
  <c r="J945" i="14" l="1"/>
  <c r="K944" i="14"/>
  <c r="J946" i="14" l="1"/>
  <c r="K945" i="14"/>
  <c r="J947" i="14" l="1"/>
  <c r="K946" i="14"/>
  <c r="J948" i="14" l="1"/>
  <c r="K947" i="14"/>
  <c r="J949" i="14" l="1"/>
  <c r="K948" i="14"/>
  <c r="J950" i="14" l="1"/>
  <c r="K949" i="14"/>
  <c r="J951" i="14" l="1"/>
  <c r="K950" i="14"/>
  <c r="J952" i="14" l="1"/>
  <c r="K951" i="14"/>
  <c r="J953" i="14" l="1"/>
  <c r="K952" i="14"/>
  <c r="J954" i="14" l="1"/>
  <c r="K953" i="14"/>
  <c r="J955" i="14" l="1"/>
  <c r="K954" i="14"/>
  <c r="J956" i="14" l="1"/>
  <c r="K955" i="14"/>
  <c r="J957" i="14" l="1"/>
  <c r="K956" i="14"/>
  <c r="J958" i="14" l="1"/>
  <c r="K957" i="14"/>
  <c r="J959" i="14" l="1"/>
  <c r="K958" i="14"/>
  <c r="J960" i="14" l="1"/>
  <c r="K959" i="14"/>
  <c r="J961" i="14" l="1"/>
  <c r="K960" i="14"/>
  <c r="J962" i="14" l="1"/>
  <c r="K961" i="14"/>
  <c r="J963" i="14" l="1"/>
  <c r="K962" i="14"/>
  <c r="J964" i="14" l="1"/>
  <c r="K963" i="14"/>
  <c r="J965" i="14" l="1"/>
  <c r="K964" i="14"/>
  <c r="J966" i="14" l="1"/>
  <c r="K965" i="14"/>
  <c r="J967" i="14" l="1"/>
  <c r="K966" i="14"/>
  <c r="J968" i="14" l="1"/>
  <c r="K967" i="14"/>
  <c r="J969" i="14" l="1"/>
  <c r="K968" i="14"/>
  <c r="J970" i="14" l="1"/>
  <c r="K969" i="14"/>
  <c r="J971" i="14" l="1"/>
  <c r="K970" i="14"/>
  <c r="J972" i="14" l="1"/>
  <c r="K971" i="14"/>
  <c r="J973" i="14" l="1"/>
  <c r="K972" i="14"/>
  <c r="J974" i="14" l="1"/>
  <c r="K973" i="14"/>
  <c r="J975" i="14" l="1"/>
  <c r="K974" i="14"/>
  <c r="J976" i="14" l="1"/>
  <c r="K975" i="14"/>
  <c r="J977" i="14" l="1"/>
  <c r="K976" i="14"/>
  <c r="J978" i="14" l="1"/>
  <c r="K977" i="14"/>
  <c r="J979" i="14" l="1"/>
  <c r="K978" i="14"/>
  <c r="J980" i="14" l="1"/>
  <c r="K979" i="14"/>
  <c r="J981" i="14" l="1"/>
  <c r="K980" i="14"/>
  <c r="J982" i="14" l="1"/>
  <c r="K981" i="14"/>
  <c r="J983" i="14" l="1"/>
  <c r="K982" i="14"/>
  <c r="J984" i="14" l="1"/>
  <c r="K983" i="14"/>
  <c r="J985" i="14" l="1"/>
  <c r="K984" i="14"/>
  <c r="J986" i="14" l="1"/>
  <c r="K985" i="14"/>
  <c r="J987" i="14" l="1"/>
  <c r="K986" i="14"/>
  <c r="J988" i="14" l="1"/>
  <c r="K987" i="14"/>
  <c r="J989" i="14" l="1"/>
  <c r="K988" i="14"/>
  <c r="J990" i="14" l="1"/>
  <c r="K989" i="14"/>
  <c r="J991" i="14" l="1"/>
  <c r="K990" i="14"/>
  <c r="J992" i="14" l="1"/>
  <c r="K991" i="14"/>
  <c r="J993" i="14" l="1"/>
  <c r="K992" i="14"/>
  <c r="J994" i="14" l="1"/>
  <c r="K993" i="14"/>
  <c r="J995" i="14" l="1"/>
  <c r="K994" i="14"/>
  <c r="J996" i="14" l="1"/>
  <c r="K995" i="14"/>
  <c r="J997" i="14" l="1"/>
  <c r="K996" i="14"/>
  <c r="J998" i="14" l="1"/>
  <c r="K997" i="14"/>
  <c r="J999" i="14" l="1"/>
  <c r="K998" i="14"/>
  <c r="J1000" i="14" l="1"/>
  <c r="K999" i="14"/>
  <c r="J1001" i="14" l="1"/>
  <c r="K1000" i="14"/>
  <c r="J1002" i="14" l="1"/>
  <c r="K1001" i="14"/>
  <c r="J1003" i="14" l="1"/>
  <c r="K1002" i="14"/>
  <c r="J1004" i="14" l="1"/>
  <c r="K1003" i="14"/>
  <c r="J1005" i="14" l="1"/>
  <c r="K1004" i="14"/>
  <c r="J1006" i="14" l="1"/>
  <c r="K1005" i="14"/>
  <c r="J1007" i="14" l="1"/>
  <c r="K1006" i="14"/>
  <c r="J1008" i="14" l="1"/>
  <c r="K1008" i="14" s="1"/>
  <c r="K1007" i="14"/>
</calcChain>
</file>

<file path=xl/sharedStrings.xml><?xml version="1.0" encoding="utf-8"?>
<sst xmlns="http://schemas.openxmlformats.org/spreadsheetml/2006/main" count="211" uniqueCount="52">
  <si>
    <t>monitor point:</t>
  </si>
  <si>
    <t>m</t>
  </si>
  <si>
    <t>injection point:</t>
  </si>
  <si>
    <t>ec probe:</t>
  </si>
  <si>
    <t>slug in:</t>
  </si>
  <si>
    <t>1st arrival:</t>
  </si>
  <si>
    <t>background:</t>
  </si>
  <si>
    <t>peak time:</t>
  </si>
  <si>
    <t>peak cond:</t>
  </si>
  <si>
    <t>peak conc:</t>
  </si>
  <si>
    <t>end monitoring:</t>
  </si>
  <si>
    <t>modal v:</t>
  </si>
  <si>
    <t>slug mass:</t>
  </si>
  <si>
    <t>g</t>
  </si>
  <si>
    <t>0th moment:</t>
  </si>
  <si>
    <t>discharge:</t>
  </si>
  <si>
    <r>
      <t>L sec</t>
    </r>
    <r>
      <rPr>
        <b/>
        <vertAlign val="superscript"/>
        <sz val="10"/>
        <rFont val="Arial"/>
        <family val="2"/>
      </rPr>
      <t>-1</t>
    </r>
  </si>
  <si>
    <t>time from inj</t>
  </si>
  <si>
    <t>cond</t>
  </si>
  <si>
    <t>bkg corr. cond.</t>
  </si>
  <si>
    <t>bkg corr. conc.</t>
  </si>
  <si>
    <t>conc. dt</t>
  </si>
  <si>
    <r>
      <t>m sec</t>
    </r>
    <r>
      <rPr>
        <b/>
        <vertAlign val="superscript"/>
        <sz val="10"/>
        <rFont val="Arial"/>
        <family val="2"/>
      </rPr>
      <t>-1</t>
    </r>
  </si>
  <si>
    <t>TIMESTAMP</t>
  </si>
  <si>
    <r>
      <t>m</t>
    </r>
    <r>
      <rPr>
        <b/>
        <sz val="10"/>
        <rFont val="Arial"/>
        <family val="2"/>
      </rPr>
      <t>S cm</t>
    </r>
    <r>
      <rPr>
        <b/>
        <vertAlign val="superscript"/>
        <sz val="10"/>
        <rFont val="Arial"/>
        <family val="2"/>
      </rPr>
      <t>-1</t>
    </r>
  </si>
  <si>
    <r>
      <t>m</t>
    </r>
    <r>
      <rPr>
        <b/>
        <sz val="10"/>
        <rFont val="Arial"/>
        <family val="2"/>
      </rPr>
      <t>g L</t>
    </r>
    <r>
      <rPr>
        <b/>
        <vertAlign val="superscript"/>
        <sz val="10"/>
        <rFont val="Arial"/>
        <family val="2"/>
      </rPr>
      <t>-1</t>
    </r>
  </si>
  <si>
    <r>
      <t>m</t>
    </r>
    <r>
      <rPr>
        <b/>
        <sz val="10"/>
        <rFont val="Arial"/>
        <family val="2"/>
      </rPr>
      <t>g L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 xml:space="preserve"> sec</t>
    </r>
    <phoneticPr fontId="1" type="noConversion"/>
  </si>
  <si>
    <r>
      <t>mg L</t>
    </r>
    <r>
      <rPr>
        <b/>
        <vertAlign val="superscript"/>
        <sz val="10"/>
        <rFont val="Arial"/>
        <family val="2"/>
      </rPr>
      <t>-1</t>
    </r>
  </si>
  <si>
    <r>
      <t>mg L</t>
    </r>
    <r>
      <rPr>
        <b/>
        <vertAlign val="superscript"/>
        <sz val="10"/>
        <rFont val="Arial"/>
        <family val="2"/>
      </rPr>
      <t>-1</t>
    </r>
    <r>
      <rPr>
        <b/>
        <sz val="10"/>
        <rFont val="Arial"/>
        <family val="2"/>
      </rPr>
      <t xml:space="preserve"> sec</t>
    </r>
  </si>
  <si>
    <t>sec</t>
  </si>
  <si>
    <t>Peak time</t>
  </si>
  <si>
    <t>M/DD/YY HH:MM</t>
  </si>
  <si>
    <t>-</t>
  </si>
  <si>
    <t>t adv</t>
    <phoneticPr fontId="5" type="noConversion"/>
  </si>
  <si>
    <t>HH:MM:SS</t>
    <phoneticPr fontId="5" type="noConversion"/>
  </si>
  <si>
    <t>HH:MM:SS</t>
    <phoneticPr fontId="5" type="noConversion"/>
  </si>
  <si>
    <t>mg</t>
    <phoneticPr fontId="1" type="noConversion"/>
  </si>
  <si>
    <t>mass passing</t>
    <phoneticPr fontId="5" type="noConversion"/>
  </si>
  <si>
    <t>CUM mass passing</t>
    <phoneticPr fontId="5" type="noConversion"/>
  </si>
  <si>
    <t>mg</t>
    <phoneticPr fontId="5" type="noConversion"/>
  </si>
  <si>
    <t>norm CUM mass passing</t>
    <phoneticPr fontId="5" type="noConversion"/>
  </si>
  <si>
    <t>-</t>
    <phoneticPr fontId="5" type="noConversion"/>
  </si>
  <si>
    <t>EC_04</t>
    <phoneticPr fontId="5" type="noConversion"/>
  </si>
  <si>
    <t>Arrival Time</t>
    <phoneticPr fontId="5" type="noConversion"/>
  </si>
  <si>
    <t>-</t>
    <phoneticPr fontId="5" type="noConversion"/>
  </si>
  <si>
    <t>EC_05</t>
    <phoneticPr fontId="5" type="noConversion"/>
  </si>
  <si>
    <t>EC_06</t>
    <phoneticPr fontId="5" type="noConversion"/>
  </si>
  <si>
    <t>EC_07</t>
    <phoneticPr fontId="5" type="noConversion"/>
  </si>
  <si>
    <t>USER INPUT</t>
    <phoneticPr fontId="5" type="noConversion"/>
  </si>
  <si>
    <t>TIMESTAMP</t>
    <phoneticPr fontId="5" type="noConversion"/>
  </si>
  <si>
    <t>Flow Rate( L/s)</t>
    <phoneticPr fontId="5" type="noConversion"/>
  </si>
  <si>
    <t>Dist DS (m)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</si>
</sst>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h:mm:ss;@"/>
    <numFmt numFmtId="165" formatCode="0.0"/>
    <numFmt numFmtId="166" formatCode="0.000"/>
  </numFmts>
  <fonts count="6" x14ac:knownFonts="1">
    <font>
      <sz val="10"/>
      <name val="Arial"/>
    </font>
    <font>
      <sz val="8"/>
      <name val="Arial"/>
      <family val="2"/>
    </font>
    <font>
      <b/>
      <sz val="10"/>
      <name val="Arial"/>
      <family val="2"/>
    </font>
    <font>
      <b/>
      <vertAlign val="superscript"/>
      <sz val="10"/>
      <name val="Arial"/>
      <family val="2"/>
    </font>
    <font>
      <b/>
      <sz val="10"/>
      <name val="Symbol"/>
      <family val="1"/>
    </font>
    <font>
      <sz val="8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3"/>
        <bgColor indexed="64"/>
      </patternFill>
    </fill>
  </fills>
  <borders count="6">
    <border>
      <left/>
      <right/>
      <top/>
      <bottom/>
      <diagonal/>
    </border>
    <border>
      <left/>
      <right style="slantDashDot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2" fontId="0" fillId="0" borderId="0" xfId="0" applyNumberFormat="1" applyFill="1" applyAlignment="1">
      <alignment horizontal="center" vertical="center"/>
    </xf>
    <xf numFmtId="22" fontId="0" fillId="0" borderId="0" xfId="0" applyNumberFormat="1"/>
    <xf numFmtId="0" fontId="2" fillId="0" borderId="0" xfId="0" applyFont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22" fontId="2" fillId="0" borderId="0" xfId="0" applyNumberFormat="1" applyFont="1" applyAlignment="1">
      <alignment horizontal="center" vertical="center"/>
    </xf>
    <xf numFmtId="0" fontId="0" fillId="2" borderId="0" xfId="0" applyFill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166" fontId="0" fillId="0" borderId="0" xfId="0" applyNumberFormat="1"/>
    <xf numFmtId="2" fontId="0" fillId="0" borderId="0" xfId="0" applyNumberFormat="1"/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/>
    </xf>
    <xf numFmtId="0" fontId="0" fillId="0" borderId="0" xfId="0" applyNumberFormat="1"/>
    <xf numFmtId="164" fontId="2" fillId="0" borderId="2" xfId="0" applyNumberFormat="1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0" fillId="0" borderId="2" xfId="0" applyBorder="1"/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/>
    </xf>
    <xf numFmtId="0" fontId="0" fillId="3" borderId="0" xfId="0" applyFill="1"/>
    <xf numFmtId="164" fontId="2" fillId="0" borderId="2" xfId="0" applyNumberFormat="1" applyFont="1" applyBorder="1" applyAlignment="1">
      <alignment horizontal="right" vertical="center"/>
    </xf>
    <xf numFmtId="0" fontId="2" fillId="4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/>
    </xf>
    <xf numFmtId="2" fontId="2" fillId="3" borderId="2" xfId="0" applyNumberFormat="1" applyFont="1" applyFill="1" applyBorder="1" applyAlignment="1">
      <alignment horizontal="center" vertical="center"/>
    </xf>
    <xf numFmtId="2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164" fontId="2" fillId="0" borderId="3" xfId="0" applyNumberFormat="1" applyFont="1" applyBorder="1" applyAlignment="1">
      <alignment horizontal="right" vertical="center"/>
    </xf>
    <xf numFmtId="166" fontId="2" fillId="0" borderId="3" xfId="0" applyNumberFormat="1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right" vertical="center"/>
    </xf>
    <xf numFmtId="21" fontId="2" fillId="0" borderId="4" xfId="0" applyNumberFormat="1" applyFont="1" applyBorder="1" applyAlignment="1">
      <alignment horizontal="center" vertical="center"/>
    </xf>
    <xf numFmtId="164" fontId="2" fillId="4" borderId="5" xfId="0" applyNumberFormat="1" applyFont="1" applyFill="1" applyBorder="1" applyAlignment="1">
      <alignment horizontal="right" vertical="center"/>
    </xf>
    <xf numFmtId="166" fontId="2" fillId="4" borderId="5" xfId="0" applyNumberFormat="1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right" vertical="center" wrapText="1"/>
    </xf>
    <xf numFmtId="0" fontId="2" fillId="3" borderId="2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4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'INJ Q1'!$C$20:$C$409</c:f>
              <c:numCache>
                <c:formatCode>0.00</c:formatCode>
                <c:ptCount val="390"/>
                <c:pt idx="0">
                  <c:v>0</c:v>
                </c:pt>
                <c:pt idx="1">
                  <c:v>1.9999998388811946</c:v>
                </c:pt>
                <c:pt idx="2">
                  <c:v>4.000000306405127</c:v>
                </c:pt>
                <c:pt idx="3">
                  <c:v>6.0000001452863216</c:v>
                </c:pt>
                <c:pt idx="4">
                  <c:v>7.9999999841675162</c:v>
                </c:pt>
                <c:pt idx="5">
                  <c:v>10.000000451691449</c:v>
                </c:pt>
                <c:pt idx="6">
                  <c:v>12.000000290572643</c:v>
                </c:pt>
                <c:pt idx="7">
                  <c:v>14.000000129453838</c:v>
                </c:pt>
                <c:pt idx="8">
                  <c:v>15.999999968335032</c:v>
                </c:pt>
                <c:pt idx="9">
                  <c:v>18.000000435858965</c:v>
                </c:pt>
                <c:pt idx="10">
                  <c:v>20.00000027474016</c:v>
                </c:pt>
                <c:pt idx="11">
                  <c:v>22.000000113621354</c:v>
                </c:pt>
                <c:pt idx="12">
                  <c:v>23.999999952502549</c:v>
                </c:pt>
                <c:pt idx="13">
                  <c:v>26.000000420026481</c:v>
                </c:pt>
                <c:pt idx="14">
                  <c:v>28.000000258907676</c:v>
                </c:pt>
                <c:pt idx="15">
                  <c:v>30.00000009778887</c:v>
                </c:pt>
                <c:pt idx="16">
                  <c:v>31.999999936670065</c:v>
                </c:pt>
                <c:pt idx="17">
                  <c:v>34.000000404193997</c:v>
                </c:pt>
                <c:pt idx="18">
                  <c:v>36.000000243075192</c:v>
                </c:pt>
                <c:pt idx="19">
                  <c:v>38.000000081956387</c:v>
                </c:pt>
                <c:pt idx="20">
                  <c:v>39.999999920837581</c:v>
                </c:pt>
                <c:pt idx="21">
                  <c:v>42.000000388361514</c:v>
                </c:pt>
                <c:pt idx="22">
                  <c:v>44.000000227242708</c:v>
                </c:pt>
                <c:pt idx="23">
                  <c:v>46.000000066123903</c:v>
                </c:pt>
                <c:pt idx="24">
                  <c:v>47.999999905005097</c:v>
                </c:pt>
                <c:pt idx="25">
                  <c:v>50.00000037252903</c:v>
                </c:pt>
                <c:pt idx="26">
                  <c:v>52.000000211410224</c:v>
                </c:pt>
                <c:pt idx="27">
                  <c:v>54.000000050291419</c:v>
                </c:pt>
                <c:pt idx="28">
                  <c:v>55.999999889172614</c:v>
                </c:pt>
                <c:pt idx="29">
                  <c:v>58.000000356696546</c:v>
                </c:pt>
                <c:pt idx="30">
                  <c:v>60.000000195577741</c:v>
                </c:pt>
                <c:pt idx="31">
                  <c:v>62.000000034458935</c:v>
                </c:pt>
                <c:pt idx="32">
                  <c:v>63.99999987334013</c:v>
                </c:pt>
                <c:pt idx="33">
                  <c:v>66.000000340864062</c:v>
                </c:pt>
                <c:pt idx="34">
                  <c:v>68.000000179745257</c:v>
                </c:pt>
                <c:pt idx="35">
                  <c:v>70.000000018626451</c:v>
                </c:pt>
                <c:pt idx="36">
                  <c:v>71.999999857507646</c:v>
                </c:pt>
                <c:pt idx="37">
                  <c:v>74.000000325031579</c:v>
                </c:pt>
                <c:pt idx="38">
                  <c:v>76.000000163912773</c:v>
                </c:pt>
                <c:pt idx="39">
                  <c:v>78.000000002793968</c:v>
                </c:pt>
                <c:pt idx="40">
                  <c:v>79.999999841675162</c:v>
                </c:pt>
                <c:pt idx="41">
                  <c:v>82.000000309199095</c:v>
                </c:pt>
                <c:pt idx="42">
                  <c:v>84.000000148080289</c:v>
                </c:pt>
                <c:pt idx="43">
                  <c:v>85.999999986961484</c:v>
                </c:pt>
                <c:pt idx="44">
                  <c:v>87.999999825842679</c:v>
                </c:pt>
                <c:pt idx="45">
                  <c:v>90.000000293366611</c:v>
                </c:pt>
                <c:pt idx="46">
                  <c:v>92.000000132247806</c:v>
                </c:pt>
                <c:pt idx="47">
                  <c:v>93.999999971129</c:v>
                </c:pt>
                <c:pt idx="48">
                  <c:v>96.000000438652933</c:v>
                </c:pt>
                <c:pt idx="49">
                  <c:v>98.000000277534127</c:v>
                </c:pt>
                <c:pt idx="50">
                  <c:v>100.00000011641532</c:v>
                </c:pt>
                <c:pt idx="51">
                  <c:v>101.99999995529652</c:v>
                </c:pt>
                <c:pt idx="52">
                  <c:v>104.00000042282045</c:v>
                </c:pt>
                <c:pt idx="53">
                  <c:v>106.00000026170164</c:v>
                </c:pt>
                <c:pt idx="54">
                  <c:v>108.00000010058284</c:v>
                </c:pt>
                <c:pt idx="55">
                  <c:v>109.99999993946403</c:v>
                </c:pt>
                <c:pt idx="56">
                  <c:v>112.00000040698797</c:v>
                </c:pt>
                <c:pt idx="57">
                  <c:v>114.00000024586916</c:v>
                </c:pt>
                <c:pt idx="58">
                  <c:v>116.00000008475035</c:v>
                </c:pt>
                <c:pt idx="59">
                  <c:v>117.99999992363155</c:v>
                </c:pt>
                <c:pt idx="60">
                  <c:v>120.00000039115548</c:v>
                </c:pt>
                <c:pt idx="61">
                  <c:v>122.00000023003668</c:v>
                </c:pt>
                <c:pt idx="62">
                  <c:v>124.00000006891787</c:v>
                </c:pt>
                <c:pt idx="63">
                  <c:v>125.99999990779907</c:v>
                </c:pt>
                <c:pt idx="64">
                  <c:v>128.000000375323</c:v>
                </c:pt>
                <c:pt idx="65">
                  <c:v>130.00000021420419</c:v>
                </c:pt>
                <c:pt idx="66">
                  <c:v>132.00000005308539</c:v>
                </c:pt>
                <c:pt idx="67">
                  <c:v>133.99999989196658</c:v>
                </c:pt>
                <c:pt idx="68">
                  <c:v>136.00000035949051</c:v>
                </c:pt>
                <c:pt idx="69">
                  <c:v>138.00000019837171</c:v>
                </c:pt>
                <c:pt idx="70">
                  <c:v>140.0000000372529</c:v>
                </c:pt>
                <c:pt idx="71">
                  <c:v>141.9999998761341</c:v>
                </c:pt>
                <c:pt idx="72">
                  <c:v>144.00000034365803</c:v>
                </c:pt>
                <c:pt idx="73">
                  <c:v>146.00000018253922</c:v>
                </c:pt>
                <c:pt idx="74">
                  <c:v>148.00000002142042</c:v>
                </c:pt>
                <c:pt idx="75">
                  <c:v>149.99999986030161</c:v>
                </c:pt>
                <c:pt idx="76">
                  <c:v>152.00000032782555</c:v>
                </c:pt>
                <c:pt idx="77">
                  <c:v>154.00000016670674</c:v>
                </c:pt>
                <c:pt idx="78">
                  <c:v>156.00000000558794</c:v>
                </c:pt>
                <c:pt idx="79">
                  <c:v>157.99999984446913</c:v>
                </c:pt>
                <c:pt idx="80">
                  <c:v>160.00000031199306</c:v>
                </c:pt>
                <c:pt idx="81">
                  <c:v>162.00000015087426</c:v>
                </c:pt>
                <c:pt idx="82">
                  <c:v>163.99999998975545</c:v>
                </c:pt>
                <c:pt idx="83">
                  <c:v>165.99999982863665</c:v>
                </c:pt>
                <c:pt idx="84">
                  <c:v>168.00000029616058</c:v>
                </c:pt>
                <c:pt idx="85">
                  <c:v>170.00000013504177</c:v>
                </c:pt>
                <c:pt idx="86">
                  <c:v>171.99999997392297</c:v>
                </c:pt>
                <c:pt idx="87">
                  <c:v>174.0000004414469</c:v>
                </c:pt>
                <c:pt idx="88">
                  <c:v>176.00000028032809</c:v>
                </c:pt>
                <c:pt idx="89">
                  <c:v>178.00000011920929</c:v>
                </c:pt>
                <c:pt idx="90">
                  <c:v>179.99999995809048</c:v>
                </c:pt>
                <c:pt idx="91">
                  <c:v>182.00000042561442</c:v>
                </c:pt>
                <c:pt idx="92">
                  <c:v>184.00000026449561</c:v>
                </c:pt>
                <c:pt idx="93">
                  <c:v>186.00000010337681</c:v>
                </c:pt>
                <c:pt idx="94">
                  <c:v>187.999999942258</c:v>
                </c:pt>
                <c:pt idx="95">
                  <c:v>190.00000040978193</c:v>
                </c:pt>
                <c:pt idx="96">
                  <c:v>192.00000024866313</c:v>
                </c:pt>
                <c:pt idx="97">
                  <c:v>194.00000008754432</c:v>
                </c:pt>
                <c:pt idx="98">
                  <c:v>195.99999992642552</c:v>
                </c:pt>
                <c:pt idx="99">
                  <c:v>198.00000039394945</c:v>
                </c:pt>
                <c:pt idx="100">
                  <c:v>200.00000023283064</c:v>
                </c:pt>
                <c:pt idx="101">
                  <c:v>202.00000007171184</c:v>
                </c:pt>
                <c:pt idx="102">
                  <c:v>203.99999991059303</c:v>
                </c:pt>
                <c:pt idx="103">
                  <c:v>206.00000037811697</c:v>
                </c:pt>
                <c:pt idx="104">
                  <c:v>208.00000021699816</c:v>
                </c:pt>
                <c:pt idx="105">
                  <c:v>210.00000005587935</c:v>
                </c:pt>
                <c:pt idx="106">
                  <c:v>211.99999989476055</c:v>
                </c:pt>
                <c:pt idx="107">
                  <c:v>214.00000036228448</c:v>
                </c:pt>
                <c:pt idx="108">
                  <c:v>216.00000020116568</c:v>
                </c:pt>
                <c:pt idx="109">
                  <c:v>218.00000004004687</c:v>
                </c:pt>
                <c:pt idx="110">
                  <c:v>219.99999987892807</c:v>
                </c:pt>
                <c:pt idx="111">
                  <c:v>222.000000346452</c:v>
                </c:pt>
                <c:pt idx="112">
                  <c:v>224.00000018533319</c:v>
                </c:pt>
                <c:pt idx="113">
                  <c:v>226.00000002421439</c:v>
                </c:pt>
                <c:pt idx="114">
                  <c:v>227.99999986309558</c:v>
                </c:pt>
                <c:pt idx="115">
                  <c:v>230.00000033061951</c:v>
                </c:pt>
                <c:pt idx="116">
                  <c:v>232.00000016950071</c:v>
                </c:pt>
                <c:pt idx="117">
                  <c:v>234.0000000083819</c:v>
                </c:pt>
                <c:pt idx="118">
                  <c:v>235.9999998472631</c:v>
                </c:pt>
                <c:pt idx="119">
                  <c:v>238.00000031478703</c:v>
                </c:pt>
                <c:pt idx="120">
                  <c:v>240.00000015366822</c:v>
                </c:pt>
                <c:pt idx="121">
                  <c:v>241.99999999254942</c:v>
                </c:pt>
                <c:pt idx="122">
                  <c:v>243.99999983143061</c:v>
                </c:pt>
                <c:pt idx="123">
                  <c:v>246.00000029895455</c:v>
                </c:pt>
                <c:pt idx="124">
                  <c:v>248.00000013783574</c:v>
                </c:pt>
                <c:pt idx="125">
                  <c:v>249.99999997671694</c:v>
                </c:pt>
                <c:pt idx="126">
                  <c:v>252.00000044424087</c:v>
                </c:pt>
                <c:pt idx="127">
                  <c:v>254.00000028312206</c:v>
                </c:pt>
                <c:pt idx="128">
                  <c:v>256.00000012200326</c:v>
                </c:pt>
                <c:pt idx="129">
                  <c:v>257.99999996088445</c:v>
                </c:pt>
                <c:pt idx="130">
                  <c:v>260.00000042840838</c:v>
                </c:pt>
                <c:pt idx="131">
                  <c:v>262.00000026728958</c:v>
                </c:pt>
                <c:pt idx="132">
                  <c:v>264.00000010617077</c:v>
                </c:pt>
                <c:pt idx="133">
                  <c:v>265.99999994505197</c:v>
                </c:pt>
                <c:pt idx="134">
                  <c:v>268.0000004125759</c:v>
                </c:pt>
                <c:pt idx="135">
                  <c:v>270.0000002514571</c:v>
                </c:pt>
                <c:pt idx="136">
                  <c:v>272.00000009033829</c:v>
                </c:pt>
                <c:pt idx="137">
                  <c:v>273.99999992921948</c:v>
                </c:pt>
                <c:pt idx="138">
                  <c:v>276.00000039674342</c:v>
                </c:pt>
                <c:pt idx="139">
                  <c:v>278.00000023562461</c:v>
                </c:pt>
                <c:pt idx="140">
                  <c:v>280.00000007450581</c:v>
                </c:pt>
                <c:pt idx="141">
                  <c:v>281.999999913387</c:v>
                </c:pt>
                <c:pt idx="142">
                  <c:v>284.00000038091093</c:v>
                </c:pt>
                <c:pt idx="143">
                  <c:v>286.00000021979213</c:v>
                </c:pt>
                <c:pt idx="144">
                  <c:v>288.00000005867332</c:v>
                </c:pt>
                <c:pt idx="145">
                  <c:v>289.99999989755452</c:v>
                </c:pt>
                <c:pt idx="146">
                  <c:v>292.00000036507845</c:v>
                </c:pt>
                <c:pt idx="147">
                  <c:v>294.00000020395964</c:v>
                </c:pt>
                <c:pt idx="148">
                  <c:v>296.00000004284084</c:v>
                </c:pt>
                <c:pt idx="149">
                  <c:v>297.99999988172203</c:v>
                </c:pt>
                <c:pt idx="150">
                  <c:v>300.00000034924597</c:v>
                </c:pt>
                <c:pt idx="151">
                  <c:v>302.00000018812716</c:v>
                </c:pt>
                <c:pt idx="152">
                  <c:v>304.00000002700835</c:v>
                </c:pt>
                <c:pt idx="153">
                  <c:v>305.99999986588955</c:v>
                </c:pt>
                <c:pt idx="154">
                  <c:v>308.00000033341348</c:v>
                </c:pt>
                <c:pt idx="155">
                  <c:v>310.00000017229468</c:v>
                </c:pt>
                <c:pt idx="156">
                  <c:v>312.00000001117587</c:v>
                </c:pt>
                <c:pt idx="157">
                  <c:v>313.99999985005707</c:v>
                </c:pt>
                <c:pt idx="158">
                  <c:v>316.000000317581</c:v>
                </c:pt>
                <c:pt idx="159">
                  <c:v>318.00000015646219</c:v>
                </c:pt>
                <c:pt idx="160">
                  <c:v>319.99999999534339</c:v>
                </c:pt>
                <c:pt idx="161">
                  <c:v>321.99999983422458</c:v>
                </c:pt>
                <c:pt idx="162">
                  <c:v>324.00000030174851</c:v>
                </c:pt>
                <c:pt idx="163">
                  <c:v>326.00000014062971</c:v>
                </c:pt>
                <c:pt idx="164">
                  <c:v>327.9999999795109</c:v>
                </c:pt>
                <c:pt idx="165">
                  <c:v>330.00000044703484</c:v>
                </c:pt>
                <c:pt idx="166">
                  <c:v>332.00000028591603</c:v>
                </c:pt>
                <c:pt idx="167">
                  <c:v>334.00000012479722</c:v>
                </c:pt>
                <c:pt idx="168">
                  <c:v>335.99999996367842</c:v>
                </c:pt>
                <c:pt idx="169">
                  <c:v>338.00000043120235</c:v>
                </c:pt>
                <c:pt idx="170">
                  <c:v>340.00000027008355</c:v>
                </c:pt>
                <c:pt idx="171">
                  <c:v>342.00000010896474</c:v>
                </c:pt>
                <c:pt idx="172">
                  <c:v>343.99999994784594</c:v>
                </c:pt>
                <c:pt idx="173">
                  <c:v>346.00000041536987</c:v>
                </c:pt>
                <c:pt idx="174">
                  <c:v>348.00000025425106</c:v>
                </c:pt>
                <c:pt idx="175">
                  <c:v>350.00000009313226</c:v>
                </c:pt>
                <c:pt idx="176">
                  <c:v>351.99999993201345</c:v>
                </c:pt>
                <c:pt idx="177">
                  <c:v>354.00000039953738</c:v>
                </c:pt>
                <c:pt idx="178">
                  <c:v>356.00000023841858</c:v>
                </c:pt>
                <c:pt idx="179">
                  <c:v>358.00000007729977</c:v>
                </c:pt>
                <c:pt idx="180">
                  <c:v>359.99999991618097</c:v>
                </c:pt>
                <c:pt idx="181">
                  <c:v>362.0000003837049</c:v>
                </c:pt>
                <c:pt idx="182">
                  <c:v>364.0000002225861</c:v>
                </c:pt>
                <c:pt idx="183">
                  <c:v>366.00000006146729</c:v>
                </c:pt>
                <c:pt idx="184">
                  <c:v>367.99999990034848</c:v>
                </c:pt>
                <c:pt idx="185">
                  <c:v>370.00000036787242</c:v>
                </c:pt>
                <c:pt idx="186">
                  <c:v>372.00000020675361</c:v>
                </c:pt>
                <c:pt idx="187">
                  <c:v>374.00000004563481</c:v>
                </c:pt>
                <c:pt idx="188">
                  <c:v>375.999999884516</c:v>
                </c:pt>
                <c:pt idx="189">
                  <c:v>378.00000035203993</c:v>
                </c:pt>
                <c:pt idx="190">
                  <c:v>380.00000019092113</c:v>
                </c:pt>
                <c:pt idx="191">
                  <c:v>382.00000002980232</c:v>
                </c:pt>
                <c:pt idx="192">
                  <c:v>383.99999986868352</c:v>
                </c:pt>
                <c:pt idx="193">
                  <c:v>386.00000033620745</c:v>
                </c:pt>
                <c:pt idx="194">
                  <c:v>388.00000017508864</c:v>
                </c:pt>
                <c:pt idx="195">
                  <c:v>390.00000001396984</c:v>
                </c:pt>
                <c:pt idx="196">
                  <c:v>391.99999985285103</c:v>
                </c:pt>
                <c:pt idx="197">
                  <c:v>394.00000032037497</c:v>
                </c:pt>
                <c:pt idx="198">
                  <c:v>396.00000015925616</c:v>
                </c:pt>
                <c:pt idx="199">
                  <c:v>397.99999999813735</c:v>
                </c:pt>
                <c:pt idx="200">
                  <c:v>399.99999983701855</c:v>
                </c:pt>
                <c:pt idx="201">
                  <c:v>402.00000030454248</c:v>
                </c:pt>
                <c:pt idx="202">
                  <c:v>404.00000014342368</c:v>
                </c:pt>
                <c:pt idx="203">
                  <c:v>405.99999998230487</c:v>
                </c:pt>
                <c:pt idx="204">
                  <c:v>408.0000004498288</c:v>
                </c:pt>
                <c:pt idx="205">
                  <c:v>410.00000028871</c:v>
                </c:pt>
                <c:pt idx="206">
                  <c:v>412.00000012759119</c:v>
                </c:pt>
                <c:pt idx="207">
                  <c:v>413.99999996647239</c:v>
                </c:pt>
                <c:pt idx="208">
                  <c:v>416.00000043399632</c:v>
                </c:pt>
                <c:pt idx="209">
                  <c:v>418.00000027287751</c:v>
                </c:pt>
                <c:pt idx="210">
                  <c:v>420.00000011175871</c:v>
                </c:pt>
                <c:pt idx="211">
                  <c:v>421.9999999506399</c:v>
                </c:pt>
                <c:pt idx="212">
                  <c:v>424.00000041816384</c:v>
                </c:pt>
                <c:pt idx="213">
                  <c:v>426.00000025704503</c:v>
                </c:pt>
                <c:pt idx="214">
                  <c:v>428.00000009592623</c:v>
                </c:pt>
                <c:pt idx="215">
                  <c:v>429.99999993480742</c:v>
                </c:pt>
                <c:pt idx="216">
                  <c:v>432.00000040233135</c:v>
                </c:pt>
                <c:pt idx="217">
                  <c:v>434.00000024121255</c:v>
                </c:pt>
                <c:pt idx="218">
                  <c:v>436.00000008009374</c:v>
                </c:pt>
                <c:pt idx="219">
                  <c:v>437.99999991897494</c:v>
                </c:pt>
                <c:pt idx="220">
                  <c:v>440.00000038649887</c:v>
                </c:pt>
                <c:pt idx="221">
                  <c:v>442.00000022538006</c:v>
                </c:pt>
                <c:pt idx="222">
                  <c:v>444.00000006426126</c:v>
                </c:pt>
                <c:pt idx="223">
                  <c:v>445.99999990314245</c:v>
                </c:pt>
                <c:pt idx="224">
                  <c:v>448.00000037066638</c:v>
                </c:pt>
                <c:pt idx="225">
                  <c:v>450.00000020954758</c:v>
                </c:pt>
                <c:pt idx="226">
                  <c:v>452.00000004842877</c:v>
                </c:pt>
                <c:pt idx="227">
                  <c:v>453.99999988730997</c:v>
                </c:pt>
                <c:pt idx="228">
                  <c:v>456.0000003548339</c:v>
                </c:pt>
                <c:pt idx="229">
                  <c:v>458.0000001937151</c:v>
                </c:pt>
                <c:pt idx="230">
                  <c:v>460.00000003259629</c:v>
                </c:pt>
                <c:pt idx="231">
                  <c:v>461.99999987147748</c:v>
                </c:pt>
                <c:pt idx="232">
                  <c:v>464.00000033900142</c:v>
                </c:pt>
                <c:pt idx="233">
                  <c:v>466.00000017788261</c:v>
                </c:pt>
                <c:pt idx="234">
                  <c:v>468.00000001676381</c:v>
                </c:pt>
                <c:pt idx="235">
                  <c:v>469.999999855645</c:v>
                </c:pt>
                <c:pt idx="236">
                  <c:v>472.00000032316893</c:v>
                </c:pt>
                <c:pt idx="237">
                  <c:v>474.00000016205013</c:v>
                </c:pt>
                <c:pt idx="238">
                  <c:v>476.00000000093132</c:v>
                </c:pt>
                <c:pt idx="239">
                  <c:v>477.99999983981252</c:v>
                </c:pt>
                <c:pt idx="240">
                  <c:v>480.00000030733645</c:v>
                </c:pt>
                <c:pt idx="241">
                  <c:v>482.00000014621764</c:v>
                </c:pt>
                <c:pt idx="242">
                  <c:v>483.99999998509884</c:v>
                </c:pt>
                <c:pt idx="243">
                  <c:v>486.00000045262277</c:v>
                </c:pt>
                <c:pt idx="244">
                  <c:v>488.00000029150397</c:v>
                </c:pt>
                <c:pt idx="245">
                  <c:v>490.00000013038516</c:v>
                </c:pt>
                <c:pt idx="246">
                  <c:v>491.99999996926636</c:v>
                </c:pt>
                <c:pt idx="247">
                  <c:v>494.00000043679029</c:v>
                </c:pt>
                <c:pt idx="248">
                  <c:v>496.00000027567148</c:v>
                </c:pt>
                <c:pt idx="249">
                  <c:v>498.00000011455268</c:v>
                </c:pt>
                <c:pt idx="250">
                  <c:v>499.99999995343387</c:v>
                </c:pt>
                <c:pt idx="251">
                  <c:v>502.0000004209578</c:v>
                </c:pt>
                <c:pt idx="252">
                  <c:v>504.000000259839</c:v>
                </c:pt>
                <c:pt idx="253">
                  <c:v>506.00000009872019</c:v>
                </c:pt>
                <c:pt idx="254">
                  <c:v>507.99999993760139</c:v>
                </c:pt>
                <c:pt idx="255">
                  <c:v>510.00000040512532</c:v>
                </c:pt>
                <c:pt idx="256">
                  <c:v>512.00000024400651</c:v>
                </c:pt>
                <c:pt idx="257">
                  <c:v>514.00000008288771</c:v>
                </c:pt>
                <c:pt idx="258">
                  <c:v>515.9999999217689</c:v>
                </c:pt>
                <c:pt idx="259">
                  <c:v>518.00000038929284</c:v>
                </c:pt>
                <c:pt idx="260">
                  <c:v>520.00000022817403</c:v>
                </c:pt>
                <c:pt idx="261">
                  <c:v>522.00000006705523</c:v>
                </c:pt>
                <c:pt idx="262">
                  <c:v>523.99999990593642</c:v>
                </c:pt>
                <c:pt idx="263">
                  <c:v>526.00000037346035</c:v>
                </c:pt>
                <c:pt idx="264">
                  <c:v>528.00000021234155</c:v>
                </c:pt>
                <c:pt idx="265">
                  <c:v>530.00000005122274</c:v>
                </c:pt>
                <c:pt idx="266">
                  <c:v>531.99999989010394</c:v>
                </c:pt>
                <c:pt idx="267">
                  <c:v>534.00000035762787</c:v>
                </c:pt>
                <c:pt idx="268">
                  <c:v>536.00000019650906</c:v>
                </c:pt>
                <c:pt idx="269">
                  <c:v>538.00000003539026</c:v>
                </c:pt>
                <c:pt idx="270">
                  <c:v>539.99999987427145</c:v>
                </c:pt>
                <c:pt idx="271">
                  <c:v>542.00000034179538</c:v>
                </c:pt>
                <c:pt idx="272">
                  <c:v>544.00000018067658</c:v>
                </c:pt>
                <c:pt idx="273">
                  <c:v>546.00000001955777</c:v>
                </c:pt>
                <c:pt idx="274">
                  <c:v>547.99999985843897</c:v>
                </c:pt>
                <c:pt idx="275">
                  <c:v>550.0000003259629</c:v>
                </c:pt>
                <c:pt idx="276">
                  <c:v>552.0000001648441</c:v>
                </c:pt>
                <c:pt idx="277">
                  <c:v>554.00000000372529</c:v>
                </c:pt>
                <c:pt idx="278">
                  <c:v>555.99999984260648</c:v>
                </c:pt>
                <c:pt idx="279">
                  <c:v>558.00000031013042</c:v>
                </c:pt>
                <c:pt idx="280">
                  <c:v>560.00000014901161</c:v>
                </c:pt>
                <c:pt idx="281">
                  <c:v>561.99999998789281</c:v>
                </c:pt>
                <c:pt idx="282">
                  <c:v>563.999999826774</c:v>
                </c:pt>
                <c:pt idx="283">
                  <c:v>566.00000029429793</c:v>
                </c:pt>
                <c:pt idx="284">
                  <c:v>568.00000013317913</c:v>
                </c:pt>
                <c:pt idx="285">
                  <c:v>569.99999997206032</c:v>
                </c:pt>
                <c:pt idx="286">
                  <c:v>572.00000043958426</c:v>
                </c:pt>
                <c:pt idx="287">
                  <c:v>574.00000027846545</c:v>
                </c:pt>
                <c:pt idx="288">
                  <c:v>576.00000011734664</c:v>
                </c:pt>
                <c:pt idx="289">
                  <c:v>577.99999995622784</c:v>
                </c:pt>
                <c:pt idx="290">
                  <c:v>580.00000042375177</c:v>
                </c:pt>
                <c:pt idx="291">
                  <c:v>582.00000026263297</c:v>
                </c:pt>
                <c:pt idx="292">
                  <c:v>584.00000010151416</c:v>
                </c:pt>
                <c:pt idx="293">
                  <c:v>585.99999994039536</c:v>
                </c:pt>
                <c:pt idx="294">
                  <c:v>588.00000040791929</c:v>
                </c:pt>
                <c:pt idx="295">
                  <c:v>590.00000024680048</c:v>
                </c:pt>
                <c:pt idx="296">
                  <c:v>592.00000008568168</c:v>
                </c:pt>
                <c:pt idx="297">
                  <c:v>593.99999992456287</c:v>
                </c:pt>
                <c:pt idx="298">
                  <c:v>596.0000003920868</c:v>
                </c:pt>
                <c:pt idx="299">
                  <c:v>598.000000230968</c:v>
                </c:pt>
                <c:pt idx="300">
                  <c:v>600.00000006984919</c:v>
                </c:pt>
                <c:pt idx="301">
                  <c:v>601.99999990873039</c:v>
                </c:pt>
                <c:pt idx="302">
                  <c:v>604.00000037625432</c:v>
                </c:pt>
                <c:pt idx="303">
                  <c:v>606.00000021513551</c:v>
                </c:pt>
                <c:pt idx="304">
                  <c:v>608.00000005401671</c:v>
                </c:pt>
                <c:pt idx="305">
                  <c:v>609.9999998928979</c:v>
                </c:pt>
                <c:pt idx="306">
                  <c:v>612.00000036042184</c:v>
                </c:pt>
                <c:pt idx="307">
                  <c:v>614.00000019930303</c:v>
                </c:pt>
                <c:pt idx="308">
                  <c:v>616.00000003818423</c:v>
                </c:pt>
                <c:pt idx="309">
                  <c:v>617.99999987706542</c:v>
                </c:pt>
                <c:pt idx="310">
                  <c:v>620.00000034458935</c:v>
                </c:pt>
                <c:pt idx="311">
                  <c:v>622.00000018347055</c:v>
                </c:pt>
                <c:pt idx="312">
                  <c:v>624.00000002235174</c:v>
                </c:pt>
                <c:pt idx="313">
                  <c:v>625.99999986123294</c:v>
                </c:pt>
                <c:pt idx="314">
                  <c:v>628.00000032875687</c:v>
                </c:pt>
                <c:pt idx="315">
                  <c:v>630.00000016763806</c:v>
                </c:pt>
                <c:pt idx="316">
                  <c:v>632.00000000651926</c:v>
                </c:pt>
                <c:pt idx="317">
                  <c:v>633.99999984540045</c:v>
                </c:pt>
                <c:pt idx="318">
                  <c:v>636.00000031292439</c:v>
                </c:pt>
                <c:pt idx="319">
                  <c:v>638.00000015180558</c:v>
                </c:pt>
                <c:pt idx="320">
                  <c:v>639.99999999068677</c:v>
                </c:pt>
                <c:pt idx="321">
                  <c:v>641.99999982956797</c:v>
                </c:pt>
                <c:pt idx="322">
                  <c:v>644.0000002970919</c:v>
                </c:pt>
                <c:pt idx="323">
                  <c:v>646.0000001359731</c:v>
                </c:pt>
                <c:pt idx="324">
                  <c:v>647.99999997485429</c:v>
                </c:pt>
                <c:pt idx="325">
                  <c:v>650.00000044237822</c:v>
                </c:pt>
                <c:pt idx="326">
                  <c:v>652.00000028125942</c:v>
                </c:pt>
                <c:pt idx="327">
                  <c:v>654.00000012014061</c:v>
                </c:pt>
                <c:pt idx="328">
                  <c:v>655.99999995902181</c:v>
                </c:pt>
                <c:pt idx="329">
                  <c:v>658.00000042654574</c:v>
                </c:pt>
                <c:pt idx="330">
                  <c:v>660.00000026542693</c:v>
                </c:pt>
                <c:pt idx="331">
                  <c:v>662.00000010430813</c:v>
                </c:pt>
                <c:pt idx="332">
                  <c:v>663.99999994318932</c:v>
                </c:pt>
                <c:pt idx="333">
                  <c:v>666.00000041071326</c:v>
                </c:pt>
                <c:pt idx="334">
                  <c:v>668.00000024959445</c:v>
                </c:pt>
                <c:pt idx="335">
                  <c:v>670.00000008847564</c:v>
                </c:pt>
                <c:pt idx="336">
                  <c:v>671.99999992735684</c:v>
                </c:pt>
                <c:pt idx="337">
                  <c:v>674.00000039488077</c:v>
                </c:pt>
                <c:pt idx="338">
                  <c:v>676.00000023376197</c:v>
                </c:pt>
                <c:pt idx="339">
                  <c:v>678.00000007264316</c:v>
                </c:pt>
                <c:pt idx="340">
                  <c:v>679.99999991152436</c:v>
                </c:pt>
                <c:pt idx="341">
                  <c:v>682.00000037904829</c:v>
                </c:pt>
                <c:pt idx="342">
                  <c:v>684.00000021792948</c:v>
                </c:pt>
                <c:pt idx="343">
                  <c:v>686.00000005681068</c:v>
                </c:pt>
                <c:pt idx="344">
                  <c:v>687.99999989569187</c:v>
                </c:pt>
                <c:pt idx="345">
                  <c:v>690.0000003632158</c:v>
                </c:pt>
                <c:pt idx="346">
                  <c:v>692.000000202097</c:v>
                </c:pt>
                <c:pt idx="347">
                  <c:v>694.00000004097819</c:v>
                </c:pt>
                <c:pt idx="348">
                  <c:v>695.99999987985939</c:v>
                </c:pt>
                <c:pt idx="349">
                  <c:v>698.00000034738332</c:v>
                </c:pt>
                <c:pt idx="350">
                  <c:v>700.00000018626451</c:v>
                </c:pt>
                <c:pt idx="351">
                  <c:v>702.00000002514571</c:v>
                </c:pt>
                <c:pt idx="352">
                  <c:v>703.9999998640269</c:v>
                </c:pt>
                <c:pt idx="353">
                  <c:v>706.00000033155084</c:v>
                </c:pt>
                <c:pt idx="354">
                  <c:v>708.00000017043203</c:v>
                </c:pt>
                <c:pt idx="355">
                  <c:v>710.00000000931323</c:v>
                </c:pt>
                <c:pt idx="356">
                  <c:v>711.99999984819442</c:v>
                </c:pt>
                <c:pt idx="357">
                  <c:v>714.00000031571835</c:v>
                </c:pt>
                <c:pt idx="358">
                  <c:v>716.00000015459955</c:v>
                </c:pt>
                <c:pt idx="359">
                  <c:v>717.99999999348074</c:v>
                </c:pt>
                <c:pt idx="360">
                  <c:v>719.99999983236194</c:v>
                </c:pt>
                <c:pt idx="361">
                  <c:v>722.00000029988587</c:v>
                </c:pt>
                <c:pt idx="362">
                  <c:v>724.00000013876706</c:v>
                </c:pt>
                <c:pt idx="363">
                  <c:v>725.99999997764826</c:v>
                </c:pt>
                <c:pt idx="364">
                  <c:v>728.00000044517219</c:v>
                </c:pt>
                <c:pt idx="365">
                  <c:v>730.00000028405339</c:v>
                </c:pt>
                <c:pt idx="366">
                  <c:v>732.00000012293458</c:v>
                </c:pt>
                <c:pt idx="367">
                  <c:v>733.99999996181577</c:v>
                </c:pt>
                <c:pt idx="368">
                  <c:v>736.00000042933971</c:v>
                </c:pt>
                <c:pt idx="369">
                  <c:v>738.0000002682209</c:v>
                </c:pt>
                <c:pt idx="370">
                  <c:v>740.0000001071021</c:v>
                </c:pt>
                <c:pt idx="371">
                  <c:v>741.99999994598329</c:v>
                </c:pt>
                <c:pt idx="372">
                  <c:v>744.00000041350722</c:v>
                </c:pt>
                <c:pt idx="373">
                  <c:v>746.00000025238842</c:v>
                </c:pt>
                <c:pt idx="374">
                  <c:v>748.00000009126961</c:v>
                </c:pt>
                <c:pt idx="375">
                  <c:v>749.99999993015081</c:v>
                </c:pt>
                <c:pt idx="376">
                  <c:v>752.00000039767474</c:v>
                </c:pt>
                <c:pt idx="377">
                  <c:v>754.00000023655593</c:v>
                </c:pt>
                <c:pt idx="378">
                  <c:v>756.00000007543713</c:v>
                </c:pt>
                <c:pt idx="379">
                  <c:v>757.99999991431832</c:v>
                </c:pt>
                <c:pt idx="380">
                  <c:v>760.00000038184226</c:v>
                </c:pt>
                <c:pt idx="381">
                  <c:v>762.00000022072345</c:v>
                </c:pt>
                <c:pt idx="382">
                  <c:v>764.00000005960464</c:v>
                </c:pt>
                <c:pt idx="383">
                  <c:v>765.99999989848584</c:v>
                </c:pt>
                <c:pt idx="384">
                  <c:v>768.00000036600977</c:v>
                </c:pt>
                <c:pt idx="385">
                  <c:v>770.00000020489097</c:v>
                </c:pt>
                <c:pt idx="386">
                  <c:v>772.00000004377216</c:v>
                </c:pt>
                <c:pt idx="387">
                  <c:v>773.99999988265336</c:v>
                </c:pt>
                <c:pt idx="388">
                  <c:v>776.00000035017729</c:v>
                </c:pt>
                <c:pt idx="389">
                  <c:v>778.00000018905848</c:v>
                </c:pt>
              </c:numCache>
            </c:numRef>
          </c:xVal>
          <c:yVal>
            <c:numRef>
              <c:f>'INJ Q1'!$G$20:$G$409</c:f>
              <c:numCache>
                <c:formatCode>0.00</c:formatCode>
                <c:ptCount val="39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0.14999999999999858</c:v>
                </c:pt>
                <c:pt idx="29">
                  <c:v>1.0500000000000007</c:v>
                </c:pt>
                <c:pt idx="30">
                  <c:v>2</c:v>
                </c:pt>
                <c:pt idx="31">
                  <c:v>4.1000000000000014</c:v>
                </c:pt>
                <c:pt idx="32">
                  <c:v>6.8999999999999986</c:v>
                </c:pt>
                <c:pt idx="33">
                  <c:v>12.7</c:v>
                </c:pt>
                <c:pt idx="34">
                  <c:v>17.950000000000003</c:v>
                </c:pt>
                <c:pt idx="35">
                  <c:v>23.200000000000003</c:v>
                </c:pt>
                <c:pt idx="36">
                  <c:v>24.799999999999997</c:v>
                </c:pt>
                <c:pt idx="37">
                  <c:v>32.5</c:v>
                </c:pt>
                <c:pt idx="38">
                  <c:v>39.15</c:v>
                </c:pt>
                <c:pt idx="39">
                  <c:v>39.9</c:v>
                </c:pt>
                <c:pt idx="40">
                  <c:v>42.85</c:v>
                </c:pt>
                <c:pt idx="41">
                  <c:v>49.5</c:v>
                </c:pt>
                <c:pt idx="42">
                  <c:v>50.3</c:v>
                </c:pt>
                <c:pt idx="43">
                  <c:v>50.05</c:v>
                </c:pt>
                <c:pt idx="44">
                  <c:v>53.599999999999994</c:v>
                </c:pt>
                <c:pt idx="45">
                  <c:v>50.95</c:v>
                </c:pt>
                <c:pt idx="46">
                  <c:v>52.599999999999994</c:v>
                </c:pt>
                <c:pt idx="47">
                  <c:v>53.05</c:v>
                </c:pt>
                <c:pt idx="48">
                  <c:v>52.150000000000006</c:v>
                </c:pt>
                <c:pt idx="49">
                  <c:v>49.150000000000006</c:v>
                </c:pt>
                <c:pt idx="50">
                  <c:v>50.3</c:v>
                </c:pt>
                <c:pt idx="51">
                  <c:v>51.099999999999994</c:v>
                </c:pt>
                <c:pt idx="52">
                  <c:v>50.150000000000006</c:v>
                </c:pt>
                <c:pt idx="53">
                  <c:v>50.3</c:v>
                </c:pt>
                <c:pt idx="54">
                  <c:v>48.2</c:v>
                </c:pt>
                <c:pt idx="55">
                  <c:v>48.2</c:v>
                </c:pt>
                <c:pt idx="56">
                  <c:v>47.2</c:v>
                </c:pt>
                <c:pt idx="57">
                  <c:v>46.05</c:v>
                </c:pt>
                <c:pt idx="58">
                  <c:v>45.349999999999994</c:v>
                </c:pt>
                <c:pt idx="59">
                  <c:v>43.8</c:v>
                </c:pt>
                <c:pt idx="60">
                  <c:v>43.45</c:v>
                </c:pt>
                <c:pt idx="61">
                  <c:v>42.5</c:v>
                </c:pt>
                <c:pt idx="62">
                  <c:v>41.15</c:v>
                </c:pt>
                <c:pt idx="63">
                  <c:v>39.6</c:v>
                </c:pt>
                <c:pt idx="64">
                  <c:v>39.35</c:v>
                </c:pt>
                <c:pt idx="65">
                  <c:v>37.700000000000003</c:v>
                </c:pt>
                <c:pt idx="66">
                  <c:v>37.049999999999997</c:v>
                </c:pt>
                <c:pt idx="67">
                  <c:v>36.049999999999997</c:v>
                </c:pt>
                <c:pt idx="68">
                  <c:v>35.15</c:v>
                </c:pt>
                <c:pt idx="69">
                  <c:v>33.950000000000003</c:v>
                </c:pt>
                <c:pt idx="70">
                  <c:v>32.950000000000003</c:v>
                </c:pt>
                <c:pt idx="71">
                  <c:v>32.299999999999997</c:v>
                </c:pt>
                <c:pt idx="72">
                  <c:v>31.200000000000003</c:v>
                </c:pt>
                <c:pt idx="73">
                  <c:v>30.15</c:v>
                </c:pt>
                <c:pt idx="74">
                  <c:v>29.299999999999997</c:v>
                </c:pt>
                <c:pt idx="75">
                  <c:v>28.4</c:v>
                </c:pt>
                <c:pt idx="76">
                  <c:v>27.5</c:v>
                </c:pt>
                <c:pt idx="77">
                  <c:v>27.35</c:v>
                </c:pt>
                <c:pt idx="78">
                  <c:v>25.75</c:v>
                </c:pt>
                <c:pt idx="79">
                  <c:v>25.4</c:v>
                </c:pt>
                <c:pt idx="80">
                  <c:v>24.700000000000003</c:v>
                </c:pt>
                <c:pt idx="81">
                  <c:v>23.799999999999997</c:v>
                </c:pt>
                <c:pt idx="82">
                  <c:v>23.1</c:v>
                </c:pt>
                <c:pt idx="83">
                  <c:v>21.799999999999997</c:v>
                </c:pt>
                <c:pt idx="84">
                  <c:v>20.85</c:v>
                </c:pt>
                <c:pt idx="85">
                  <c:v>20.75</c:v>
                </c:pt>
                <c:pt idx="86">
                  <c:v>19.649999999999999</c:v>
                </c:pt>
                <c:pt idx="87">
                  <c:v>19.549999999999997</c:v>
                </c:pt>
                <c:pt idx="88">
                  <c:v>18.899999999999999</c:v>
                </c:pt>
                <c:pt idx="89">
                  <c:v>19.049999999999997</c:v>
                </c:pt>
                <c:pt idx="90">
                  <c:v>18.200000000000003</c:v>
                </c:pt>
                <c:pt idx="91">
                  <c:v>17.850000000000001</c:v>
                </c:pt>
                <c:pt idx="92">
                  <c:v>16.899999999999999</c:v>
                </c:pt>
                <c:pt idx="93">
                  <c:v>16.600000000000001</c:v>
                </c:pt>
                <c:pt idx="94">
                  <c:v>16.049999999999997</c:v>
                </c:pt>
                <c:pt idx="95">
                  <c:v>15.75</c:v>
                </c:pt>
                <c:pt idx="96">
                  <c:v>15.100000000000001</c:v>
                </c:pt>
                <c:pt idx="97">
                  <c:v>14.200000000000003</c:v>
                </c:pt>
                <c:pt idx="98">
                  <c:v>14.299999999999997</c:v>
                </c:pt>
                <c:pt idx="99">
                  <c:v>14.25</c:v>
                </c:pt>
                <c:pt idx="100">
                  <c:v>13.450000000000003</c:v>
                </c:pt>
                <c:pt idx="101">
                  <c:v>12.8</c:v>
                </c:pt>
                <c:pt idx="102">
                  <c:v>12.8</c:v>
                </c:pt>
                <c:pt idx="103">
                  <c:v>12.45</c:v>
                </c:pt>
                <c:pt idx="104">
                  <c:v>11.95</c:v>
                </c:pt>
                <c:pt idx="105">
                  <c:v>11.75</c:v>
                </c:pt>
                <c:pt idx="106">
                  <c:v>12.100000000000001</c:v>
                </c:pt>
                <c:pt idx="107">
                  <c:v>11.75</c:v>
                </c:pt>
                <c:pt idx="108">
                  <c:v>11.25</c:v>
                </c:pt>
                <c:pt idx="109">
                  <c:v>10.5</c:v>
                </c:pt>
                <c:pt idx="110">
                  <c:v>10.600000000000001</c:v>
                </c:pt>
                <c:pt idx="111">
                  <c:v>10.149999999999999</c:v>
                </c:pt>
                <c:pt idx="112">
                  <c:v>10</c:v>
                </c:pt>
                <c:pt idx="113">
                  <c:v>9.5</c:v>
                </c:pt>
                <c:pt idx="114">
                  <c:v>9.4499999999999993</c:v>
                </c:pt>
                <c:pt idx="115">
                  <c:v>9.0500000000000007</c:v>
                </c:pt>
                <c:pt idx="116">
                  <c:v>8.6499999999999986</c:v>
                </c:pt>
                <c:pt idx="117">
                  <c:v>8.5</c:v>
                </c:pt>
                <c:pt idx="118">
                  <c:v>8.4499999999999993</c:v>
                </c:pt>
                <c:pt idx="119">
                  <c:v>8.3500000000000014</c:v>
                </c:pt>
                <c:pt idx="120">
                  <c:v>8.3000000000000007</c:v>
                </c:pt>
                <c:pt idx="121">
                  <c:v>8.1999999999999993</c:v>
                </c:pt>
                <c:pt idx="122">
                  <c:v>7.75</c:v>
                </c:pt>
                <c:pt idx="123">
                  <c:v>7.6999999999999993</c:v>
                </c:pt>
                <c:pt idx="124">
                  <c:v>7.1999999999999993</c:v>
                </c:pt>
                <c:pt idx="125">
                  <c:v>7.1499999999999986</c:v>
                </c:pt>
                <c:pt idx="126">
                  <c:v>7.0500000000000007</c:v>
                </c:pt>
                <c:pt idx="127">
                  <c:v>6.6000000000000014</c:v>
                </c:pt>
                <c:pt idx="128">
                  <c:v>6.5500000000000007</c:v>
                </c:pt>
                <c:pt idx="129">
                  <c:v>6.6000000000000014</c:v>
                </c:pt>
                <c:pt idx="130">
                  <c:v>6.25</c:v>
                </c:pt>
                <c:pt idx="131">
                  <c:v>6.1999999999999993</c:v>
                </c:pt>
                <c:pt idx="132">
                  <c:v>6.3500000000000014</c:v>
                </c:pt>
                <c:pt idx="133">
                  <c:v>6</c:v>
                </c:pt>
                <c:pt idx="134">
                  <c:v>5.8999999999999986</c:v>
                </c:pt>
                <c:pt idx="135">
                  <c:v>5.8500000000000014</c:v>
                </c:pt>
                <c:pt idx="136">
                  <c:v>5.3999999999999986</c:v>
                </c:pt>
                <c:pt idx="137">
                  <c:v>5.6000000000000014</c:v>
                </c:pt>
                <c:pt idx="138">
                  <c:v>5.3500000000000014</c:v>
                </c:pt>
                <c:pt idx="139">
                  <c:v>5.3500000000000014</c:v>
                </c:pt>
                <c:pt idx="140">
                  <c:v>5.1999999999999993</c:v>
                </c:pt>
                <c:pt idx="141">
                  <c:v>5.0500000000000007</c:v>
                </c:pt>
                <c:pt idx="142">
                  <c:v>4.8999999999999986</c:v>
                </c:pt>
                <c:pt idx="143">
                  <c:v>4.8000000000000007</c:v>
                </c:pt>
                <c:pt idx="144">
                  <c:v>4.75</c:v>
                </c:pt>
                <c:pt idx="145">
                  <c:v>4.4499999999999993</c:v>
                </c:pt>
                <c:pt idx="146">
                  <c:v>4.6000000000000014</c:v>
                </c:pt>
                <c:pt idx="147">
                  <c:v>4.5500000000000007</c:v>
                </c:pt>
                <c:pt idx="148">
                  <c:v>4.3999999999999986</c:v>
                </c:pt>
                <c:pt idx="149">
                  <c:v>4.25</c:v>
                </c:pt>
                <c:pt idx="150">
                  <c:v>4.0500000000000007</c:v>
                </c:pt>
                <c:pt idx="151">
                  <c:v>4.0500000000000007</c:v>
                </c:pt>
                <c:pt idx="152">
                  <c:v>4.0500000000000007</c:v>
                </c:pt>
                <c:pt idx="153">
                  <c:v>3.8000000000000007</c:v>
                </c:pt>
                <c:pt idx="154">
                  <c:v>3.75</c:v>
                </c:pt>
                <c:pt idx="155">
                  <c:v>3.6499999999999986</c:v>
                </c:pt>
                <c:pt idx="156">
                  <c:v>3.6000000000000014</c:v>
                </c:pt>
                <c:pt idx="157">
                  <c:v>3.3999999999999986</c:v>
                </c:pt>
                <c:pt idx="158">
                  <c:v>3.4499999999999993</c:v>
                </c:pt>
                <c:pt idx="159">
                  <c:v>3.4499999999999993</c:v>
                </c:pt>
                <c:pt idx="160">
                  <c:v>3.3999999999999986</c:v>
                </c:pt>
                <c:pt idx="161">
                  <c:v>3.25</c:v>
                </c:pt>
                <c:pt idx="162">
                  <c:v>3.1499999999999986</c:v>
                </c:pt>
                <c:pt idx="163">
                  <c:v>2.9499999999999993</c:v>
                </c:pt>
                <c:pt idx="164">
                  <c:v>3.0500000000000007</c:v>
                </c:pt>
                <c:pt idx="165">
                  <c:v>2.9499999999999993</c:v>
                </c:pt>
                <c:pt idx="166">
                  <c:v>2.9499999999999993</c:v>
                </c:pt>
                <c:pt idx="167">
                  <c:v>2.8000000000000007</c:v>
                </c:pt>
                <c:pt idx="168">
                  <c:v>2.8000000000000007</c:v>
                </c:pt>
                <c:pt idx="169">
                  <c:v>2.75</c:v>
                </c:pt>
                <c:pt idx="170">
                  <c:v>2.6499999999999986</c:v>
                </c:pt>
                <c:pt idx="171">
                  <c:v>2.6499999999999986</c:v>
                </c:pt>
                <c:pt idx="172">
                  <c:v>2.6000000000000014</c:v>
                </c:pt>
                <c:pt idx="173">
                  <c:v>2.5</c:v>
                </c:pt>
                <c:pt idx="174">
                  <c:v>2.6000000000000014</c:v>
                </c:pt>
                <c:pt idx="175">
                  <c:v>2.5</c:v>
                </c:pt>
                <c:pt idx="176">
                  <c:v>2.3000000000000007</c:v>
                </c:pt>
                <c:pt idx="177">
                  <c:v>2.3000000000000007</c:v>
                </c:pt>
                <c:pt idx="178">
                  <c:v>2.3000000000000007</c:v>
                </c:pt>
                <c:pt idx="179">
                  <c:v>2.25</c:v>
                </c:pt>
                <c:pt idx="180">
                  <c:v>2.1499999999999986</c:v>
                </c:pt>
                <c:pt idx="181">
                  <c:v>2.25</c:v>
                </c:pt>
                <c:pt idx="182">
                  <c:v>2.1000000000000014</c:v>
                </c:pt>
                <c:pt idx="183">
                  <c:v>2.1000000000000014</c:v>
                </c:pt>
                <c:pt idx="184">
                  <c:v>2</c:v>
                </c:pt>
                <c:pt idx="185">
                  <c:v>2.1000000000000014</c:v>
                </c:pt>
                <c:pt idx="186">
                  <c:v>1.9499999999999993</c:v>
                </c:pt>
                <c:pt idx="187">
                  <c:v>1.9499999999999993</c:v>
                </c:pt>
                <c:pt idx="188">
                  <c:v>1.9499999999999993</c:v>
                </c:pt>
                <c:pt idx="189">
                  <c:v>1.8500000000000014</c:v>
                </c:pt>
                <c:pt idx="190">
                  <c:v>1.8500000000000014</c:v>
                </c:pt>
                <c:pt idx="191">
                  <c:v>1.8000000000000007</c:v>
                </c:pt>
                <c:pt idx="192">
                  <c:v>1.8000000000000007</c:v>
                </c:pt>
                <c:pt idx="193">
                  <c:v>1.75</c:v>
                </c:pt>
                <c:pt idx="194">
                  <c:v>1.6999999999999993</c:v>
                </c:pt>
                <c:pt idx="195">
                  <c:v>1.6999999999999993</c:v>
                </c:pt>
                <c:pt idx="196">
                  <c:v>1.6499999999999986</c:v>
                </c:pt>
                <c:pt idx="197">
                  <c:v>1.6499999999999986</c:v>
                </c:pt>
                <c:pt idx="198">
                  <c:v>1.6999999999999993</c:v>
                </c:pt>
                <c:pt idx="199">
                  <c:v>1.6499999999999986</c:v>
                </c:pt>
                <c:pt idx="200">
                  <c:v>1.6000000000000014</c:v>
                </c:pt>
                <c:pt idx="201">
                  <c:v>1.5</c:v>
                </c:pt>
                <c:pt idx="202">
                  <c:v>1.4499999999999993</c:v>
                </c:pt>
                <c:pt idx="203">
                  <c:v>1.5</c:v>
                </c:pt>
                <c:pt idx="204">
                  <c:v>1.3999999999999986</c:v>
                </c:pt>
                <c:pt idx="205">
                  <c:v>1.4499999999999993</c:v>
                </c:pt>
                <c:pt idx="206">
                  <c:v>1.4499999999999993</c:v>
                </c:pt>
                <c:pt idx="207">
                  <c:v>1.3500000000000014</c:v>
                </c:pt>
                <c:pt idx="208">
                  <c:v>1.3000000000000007</c:v>
                </c:pt>
                <c:pt idx="209">
                  <c:v>1.3500000000000014</c:v>
                </c:pt>
                <c:pt idx="210">
                  <c:v>1.3000000000000007</c:v>
                </c:pt>
                <c:pt idx="211">
                  <c:v>1.3500000000000014</c:v>
                </c:pt>
                <c:pt idx="212">
                  <c:v>1.3000000000000007</c:v>
                </c:pt>
                <c:pt idx="213">
                  <c:v>1.3000000000000007</c:v>
                </c:pt>
                <c:pt idx="214">
                  <c:v>1.3000000000000007</c:v>
                </c:pt>
                <c:pt idx="215">
                  <c:v>1.3000000000000007</c:v>
                </c:pt>
                <c:pt idx="216">
                  <c:v>1.1999999999999993</c:v>
                </c:pt>
                <c:pt idx="217">
                  <c:v>1.1999999999999993</c:v>
                </c:pt>
                <c:pt idx="218">
                  <c:v>1.1999999999999993</c:v>
                </c:pt>
                <c:pt idx="219">
                  <c:v>1.1999999999999993</c:v>
                </c:pt>
                <c:pt idx="220">
                  <c:v>1.1499999999999986</c:v>
                </c:pt>
                <c:pt idx="221">
                  <c:v>1.0500000000000007</c:v>
                </c:pt>
                <c:pt idx="222">
                  <c:v>1.1499999999999986</c:v>
                </c:pt>
                <c:pt idx="223">
                  <c:v>1.0500000000000007</c:v>
                </c:pt>
                <c:pt idx="224">
                  <c:v>1.0500000000000007</c:v>
                </c:pt>
                <c:pt idx="225">
                  <c:v>1.0500000000000007</c:v>
                </c:pt>
                <c:pt idx="226">
                  <c:v>1.0500000000000007</c:v>
                </c:pt>
                <c:pt idx="227">
                  <c:v>1.0500000000000007</c:v>
                </c:pt>
                <c:pt idx="228">
                  <c:v>1.0500000000000007</c:v>
                </c:pt>
                <c:pt idx="229">
                  <c:v>1.0500000000000007</c:v>
                </c:pt>
                <c:pt idx="230">
                  <c:v>1</c:v>
                </c:pt>
                <c:pt idx="231">
                  <c:v>1.0500000000000007</c:v>
                </c:pt>
                <c:pt idx="232">
                  <c:v>0.89999999999999858</c:v>
                </c:pt>
                <c:pt idx="233">
                  <c:v>1</c:v>
                </c:pt>
                <c:pt idx="234">
                  <c:v>1</c:v>
                </c:pt>
                <c:pt idx="235">
                  <c:v>0.89999999999999858</c:v>
                </c:pt>
                <c:pt idx="236">
                  <c:v>0.89999999999999858</c:v>
                </c:pt>
                <c:pt idx="237">
                  <c:v>0.85000000000000142</c:v>
                </c:pt>
                <c:pt idx="238">
                  <c:v>0.85000000000000142</c:v>
                </c:pt>
                <c:pt idx="239">
                  <c:v>0.85000000000000142</c:v>
                </c:pt>
                <c:pt idx="240">
                  <c:v>0.89999999999999858</c:v>
                </c:pt>
                <c:pt idx="241">
                  <c:v>0.85000000000000142</c:v>
                </c:pt>
                <c:pt idx="242">
                  <c:v>0.85000000000000142</c:v>
                </c:pt>
                <c:pt idx="243">
                  <c:v>0.85000000000000142</c:v>
                </c:pt>
                <c:pt idx="244">
                  <c:v>0.85000000000000142</c:v>
                </c:pt>
                <c:pt idx="245">
                  <c:v>0.85000000000000142</c:v>
                </c:pt>
                <c:pt idx="246">
                  <c:v>0.85000000000000142</c:v>
                </c:pt>
                <c:pt idx="247">
                  <c:v>0.85000000000000142</c:v>
                </c:pt>
                <c:pt idx="248">
                  <c:v>0.85000000000000142</c:v>
                </c:pt>
                <c:pt idx="249">
                  <c:v>0.75</c:v>
                </c:pt>
                <c:pt idx="250">
                  <c:v>0.85000000000000142</c:v>
                </c:pt>
                <c:pt idx="251">
                  <c:v>0.75</c:v>
                </c:pt>
                <c:pt idx="252">
                  <c:v>0.75</c:v>
                </c:pt>
                <c:pt idx="253">
                  <c:v>0.75</c:v>
                </c:pt>
                <c:pt idx="254">
                  <c:v>0.69999999999999929</c:v>
                </c:pt>
                <c:pt idx="255">
                  <c:v>0.69999999999999929</c:v>
                </c:pt>
                <c:pt idx="256">
                  <c:v>0.75</c:v>
                </c:pt>
                <c:pt idx="257">
                  <c:v>0.69999999999999929</c:v>
                </c:pt>
                <c:pt idx="258">
                  <c:v>0.69999999999999929</c:v>
                </c:pt>
                <c:pt idx="259">
                  <c:v>0.69999999999999929</c:v>
                </c:pt>
                <c:pt idx="260">
                  <c:v>0.69999999999999929</c:v>
                </c:pt>
                <c:pt idx="261">
                  <c:v>0.69999999999999929</c:v>
                </c:pt>
                <c:pt idx="262">
                  <c:v>0.69999999999999929</c:v>
                </c:pt>
                <c:pt idx="263">
                  <c:v>0.69999999999999929</c:v>
                </c:pt>
                <c:pt idx="264">
                  <c:v>0.69999999999999929</c:v>
                </c:pt>
                <c:pt idx="265">
                  <c:v>0.69999999999999929</c:v>
                </c:pt>
                <c:pt idx="266">
                  <c:v>0.69999999999999929</c:v>
                </c:pt>
                <c:pt idx="267">
                  <c:v>0.69999999999999929</c:v>
                </c:pt>
                <c:pt idx="268">
                  <c:v>0.69999999999999929</c:v>
                </c:pt>
                <c:pt idx="269">
                  <c:v>0.69999999999999929</c:v>
                </c:pt>
                <c:pt idx="270">
                  <c:v>0.69999999999999929</c:v>
                </c:pt>
                <c:pt idx="271">
                  <c:v>0.69999999999999929</c:v>
                </c:pt>
                <c:pt idx="272">
                  <c:v>0.69999999999999929</c:v>
                </c:pt>
                <c:pt idx="273">
                  <c:v>0.69999999999999929</c:v>
                </c:pt>
                <c:pt idx="274">
                  <c:v>0.60000000000000142</c:v>
                </c:pt>
                <c:pt idx="275">
                  <c:v>0.60000000000000142</c:v>
                </c:pt>
                <c:pt idx="276">
                  <c:v>0.60000000000000142</c:v>
                </c:pt>
                <c:pt idx="277">
                  <c:v>0.60000000000000142</c:v>
                </c:pt>
                <c:pt idx="278">
                  <c:v>0.60000000000000142</c:v>
                </c:pt>
                <c:pt idx="279">
                  <c:v>0.60000000000000142</c:v>
                </c:pt>
                <c:pt idx="280">
                  <c:v>0.60000000000000142</c:v>
                </c:pt>
                <c:pt idx="281">
                  <c:v>0.60000000000000142</c:v>
                </c:pt>
                <c:pt idx="282">
                  <c:v>0.60000000000000142</c:v>
                </c:pt>
                <c:pt idx="283">
                  <c:v>0.55000000000000071</c:v>
                </c:pt>
                <c:pt idx="284">
                  <c:v>0.55000000000000071</c:v>
                </c:pt>
                <c:pt idx="285">
                  <c:v>0.55000000000000071</c:v>
                </c:pt>
                <c:pt idx="286">
                  <c:v>0.55000000000000071</c:v>
                </c:pt>
                <c:pt idx="287">
                  <c:v>0.60000000000000142</c:v>
                </c:pt>
                <c:pt idx="288">
                  <c:v>0.55000000000000071</c:v>
                </c:pt>
                <c:pt idx="289">
                  <c:v>0.60000000000000142</c:v>
                </c:pt>
                <c:pt idx="290">
                  <c:v>0.55000000000000071</c:v>
                </c:pt>
                <c:pt idx="291">
                  <c:v>0.55000000000000071</c:v>
                </c:pt>
                <c:pt idx="292">
                  <c:v>0.55000000000000071</c:v>
                </c:pt>
                <c:pt idx="293">
                  <c:v>0.55000000000000071</c:v>
                </c:pt>
                <c:pt idx="294">
                  <c:v>0.44999999999999929</c:v>
                </c:pt>
                <c:pt idx="295">
                  <c:v>0.55000000000000071</c:v>
                </c:pt>
                <c:pt idx="296">
                  <c:v>0.55000000000000071</c:v>
                </c:pt>
                <c:pt idx="297">
                  <c:v>0.44999999999999929</c:v>
                </c:pt>
                <c:pt idx="298">
                  <c:v>0.55000000000000071</c:v>
                </c:pt>
                <c:pt idx="299">
                  <c:v>0.55000000000000071</c:v>
                </c:pt>
                <c:pt idx="300">
                  <c:v>0.55000000000000071</c:v>
                </c:pt>
                <c:pt idx="301">
                  <c:v>0.5</c:v>
                </c:pt>
                <c:pt idx="302">
                  <c:v>0.44999999999999929</c:v>
                </c:pt>
                <c:pt idx="303">
                  <c:v>0.55000000000000071</c:v>
                </c:pt>
                <c:pt idx="304">
                  <c:v>0.55000000000000071</c:v>
                </c:pt>
                <c:pt idx="305">
                  <c:v>0.44999999999999929</c:v>
                </c:pt>
                <c:pt idx="306">
                  <c:v>0.44999999999999929</c:v>
                </c:pt>
                <c:pt idx="307">
                  <c:v>0.44999999999999929</c:v>
                </c:pt>
                <c:pt idx="308">
                  <c:v>0.44999999999999929</c:v>
                </c:pt>
                <c:pt idx="309">
                  <c:v>0.44999999999999929</c:v>
                </c:pt>
                <c:pt idx="310">
                  <c:v>0.44999999999999929</c:v>
                </c:pt>
                <c:pt idx="311">
                  <c:v>0.44999999999999929</c:v>
                </c:pt>
                <c:pt idx="312">
                  <c:v>0.44999999999999929</c:v>
                </c:pt>
                <c:pt idx="313">
                  <c:v>0.44999999999999929</c:v>
                </c:pt>
                <c:pt idx="314">
                  <c:v>0.44999999999999929</c:v>
                </c:pt>
                <c:pt idx="315">
                  <c:v>0.44999999999999929</c:v>
                </c:pt>
                <c:pt idx="316">
                  <c:v>0.44999999999999929</c:v>
                </c:pt>
                <c:pt idx="317">
                  <c:v>0.44999999999999929</c:v>
                </c:pt>
                <c:pt idx="318">
                  <c:v>0.44999999999999929</c:v>
                </c:pt>
                <c:pt idx="319">
                  <c:v>0.44999999999999929</c:v>
                </c:pt>
                <c:pt idx="320">
                  <c:v>0.44999999999999929</c:v>
                </c:pt>
                <c:pt idx="321">
                  <c:v>0.44999999999999929</c:v>
                </c:pt>
                <c:pt idx="322">
                  <c:v>0.44999999999999929</c:v>
                </c:pt>
                <c:pt idx="323">
                  <c:v>0.44999999999999929</c:v>
                </c:pt>
                <c:pt idx="324">
                  <c:v>0.44999999999999929</c:v>
                </c:pt>
                <c:pt idx="325">
                  <c:v>0.44999999999999929</c:v>
                </c:pt>
                <c:pt idx="326">
                  <c:v>0.44999999999999929</c:v>
                </c:pt>
                <c:pt idx="327">
                  <c:v>0.44999999999999929</c:v>
                </c:pt>
                <c:pt idx="328">
                  <c:v>0.44999999999999929</c:v>
                </c:pt>
                <c:pt idx="329">
                  <c:v>0.44999999999999929</c:v>
                </c:pt>
                <c:pt idx="330">
                  <c:v>0.44999999999999929</c:v>
                </c:pt>
                <c:pt idx="331">
                  <c:v>0.44999999999999929</c:v>
                </c:pt>
                <c:pt idx="332">
                  <c:v>0.44999999999999929</c:v>
                </c:pt>
                <c:pt idx="333">
                  <c:v>0.39999999999999858</c:v>
                </c:pt>
                <c:pt idx="334">
                  <c:v>0.44999999999999929</c:v>
                </c:pt>
                <c:pt idx="335">
                  <c:v>0.44999999999999929</c:v>
                </c:pt>
                <c:pt idx="336">
                  <c:v>0.44999999999999929</c:v>
                </c:pt>
                <c:pt idx="337">
                  <c:v>0.39999999999999858</c:v>
                </c:pt>
                <c:pt idx="338">
                  <c:v>0.39999999999999858</c:v>
                </c:pt>
                <c:pt idx="339">
                  <c:v>0.44999999999999929</c:v>
                </c:pt>
                <c:pt idx="340">
                  <c:v>0.44999999999999929</c:v>
                </c:pt>
                <c:pt idx="341">
                  <c:v>0.39999999999999858</c:v>
                </c:pt>
                <c:pt idx="342">
                  <c:v>0.44999999999999929</c:v>
                </c:pt>
                <c:pt idx="343">
                  <c:v>0.44999999999999929</c:v>
                </c:pt>
                <c:pt idx="344">
                  <c:v>0.44999999999999929</c:v>
                </c:pt>
                <c:pt idx="345">
                  <c:v>0.39999999999999858</c:v>
                </c:pt>
                <c:pt idx="346">
                  <c:v>0.44999999999999929</c:v>
                </c:pt>
                <c:pt idx="347">
                  <c:v>0.44999999999999929</c:v>
                </c:pt>
                <c:pt idx="348">
                  <c:v>0.39999999999999858</c:v>
                </c:pt>
                <c:pt idx="349">
                  <c:v>0.44999999999999929</c:v>
                </c:pt>
                <c:pt idx="350">
                  <c:v>0.44999999999999929</c:v>
                </c:pt>
                <c:pt idx="351">
                  <c:v>0.44999999999999929</c:v>
                </c:pt>
                <c:pt idx="352">
                  <c:v>0.44999999999999929</c:v>
                </c:pt>
                <c:pt idx="353">
                  <c:v>0.30000000000000071</c:v>
                </c:pt>
                <c:pt idx="354">
                  <c:v>0.39999999999999858</c:v>
                </c:pt>
                <c:pt idx="355">
                  <c:v>0.44999999999999929</c:v>
                </c:pt>
                <c:pt idx="356">
                  <c:v>0.44999999999999929</c:v>
                </c:pt>
                <c:pt idx="357">
                  <c:v>0.44999999999999929</c:v>
                </c:pt>
                <c:pt idx="358">
                  <c:v>0.39999999999999858</c:v>
                </c:pt>
                <c:pt idx="359">
                  <c:v>0.44999999999999929</c:v>
                </c:pt>
                <c:pt idx="360">
                  <c:v>0.39999999999999858</c:v>
                </c:pt>
                <c:pt idx="361">
                  <c:v>0.39999999999999858</c:v>
                </c:pt>
                <c:pt idx="362">
                  <c:v>0.30000000000000071</c:v>
                </c:pt>
                <c:pt idx="363">
                  <c:v>0.39999999999999858</c:v>
                </c:pt>
                <c:pt idx="364">
                  <c:v>0.39999999999999858</c:v>
                </c:pt>
                <c:pt idx="365">
                  <c:v>0.44999999999999929</c:v>
                </c:pt>
                <c:pt idx="366">
                  <c:v>0.44999999999999929</c:v>
                </c:pt>
                <c:pt idx="367">
                  <c:v>0.30000000000000071</c:v>
                </c:pt>
                <c:pt idx="368">
                  <c:v>0.30000000000000071</c:v>
                </c:pt>
                <c:pt idx="369">
                  <c:v>0.39999999999999858</c:v>
                </c:pt>
                <c:pt idx="370">
                  <c:v>0.44999999999999929</c:v>
                </c:pt>
                <c:pt idx="371">
                  <c:v>0.39999999999999858</c:v>
                </c:pt>
                <c:pt idx="372">
                  <c:v>0.39999999999999858</c:v>
                </c:pt>
                <c:pt idx="373">
                  <c:v>0.39999999999999858</c:v>
                </c:pt>
                <c:pt idx="374">
                  <c:v>0.44999999999999929</c:v>
                </c:pt>
                <c:pt idx="375">
                  <c:v>0.39999999999999858</c:v>
                </c:pt>
                <c:pt idx="376">
                  <c:v>0.39999999999999858</c:v>
                </c:pt>
                <c:pt idx="377">
                  <c:v>0.39999999999999858</c:v>
                </c:pt>
                <c:pt idx="378">
                  <c:v>0.39999999999999858</c:v>
                </c:pt>
                <c:pt idx="379">
                  <c:v>0.39999999999999858</c:v>
                </c:pt>
                <c:pt idx="380">
                  <c:v>0.39999999999999858</c:v>
                </c:pt>
                <c:pt idx="381">
                  <c:v>0.39999999999999858</c:v>
                </c:pt>
                <c:pt idx="382">
                  <c:v>0.44999999999999929</c:v>
                </c:pt>
                <c:pt idx="383">
                  <c:v>0.30000000000000071</c:v>
                </c:pt>
                <c:pt idx="384">
                  <c:v>0.39999999999999858</c:v>
                </c:pt>
                <c:pt idx="385">
                  <c:v>0.39999999999999858</c:v>
                </c:pt>
                <c:pt idx="386">
                  <c:v>0.39999999999999858</c:v>
                </c:pt>
                <c:pt idx="387">
                  <c:v>0.39999999999999858</c:v>
                </c:pt>
                <c:pt idx="388">
                  <c:v>0.30000000000000071</c:v>
                </c:pt>
                <c:pt idx="389">
                  <c:v>0.30000000000000071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8D-FB43-B4C3-E130E5E40A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777983"/>
        <c:axId val="1"/>
      </c:scatterChart>
      <c:valAx>
        <c:axId val="1018777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Time from injection, 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Concentration Above Bkg,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777983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4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'INJ Q2'!$C$20:$C$739</c:f>
              <c:numCache>
                <c:formatCode>0.00</c:formatCode>
                <c:ptCount val="720"/>
                <c:pt idx="0">
                  <c:v>0</c:v>
                </c:pt>
                <c:pt idx="1">
                  <c:v>1.9999998388811946</c:v>
                </c:pt>
                <c:pt idx="2">
                  <c:v>4.000000306405127</c:v>
                </c:pt>
                <c:pt idx="3">
                  <c:v>6.0000001452863216</c:v>
                </c:pt>
                <c:pt idx="4">
                  <c:v>7.9999999841675162</c:v>
                </c:pt>
                <c:pt idx="5">
                  <c:v>10.000000451691449</c:v>
                </c:pt>
                <c:pt idx="6">
                  <c:v>12.000000290572643</c:v>
                </c:pt>
                <c:pt idx="7">
                  <c:v>14.000000129453838</c:v>
                </c:pt>
                <c:pt idx="8">
                  <c:v>15.999999968335032</c:v>
                </c:pt>
                <c:pt idx="9">
                  <c:v>18.000000435858965</c:v>
                </c:pt>
                <c:pt idx="10">
                  <c:v>20.00000027474016</c:v>
                </c:pt>
                <c:pt idx="11">
                  <c:v>22.000000113621354</c:v>
                </c:pt>
                <c:pt idx="12">
                  <c:v>23.999999952502549</c:v>
                </c:pt>
                <c:pt idx="13">
                  <c:v>26.000000420026481</c:v>
                </c:pt>
                <c:pt idx="14">
                  <c:v>28.000000258907676</c:v>
                </c:pt>
                <c:pt idx="15">
                  <c:v>30.00000009778887</c:v>
                </c:pt>
                <c:pt idx="16">
                  <c:v>31.999999936670065</c:v>
                </c:pt>
                <c:pt idx="17">
                  <c:v>34.000000404193997</c:v>
                </c:pt>
                <c:pt idx="18">
                  <c:v>36.000000243075192</c:v>
                </c:pt>
                <c:pt idx="19">
                  <c:v>38.000000081956387</c:v>
                </c:pt>
                <c:pt idx="20">
                  <c:v>39.999999920837581</c:v>
                </c:pt>
                <c:pt idx="21">
                  <c:v>42.000000388361514</c:v>
                </c:pt>
                <c:pt idx="22">
                  <c:v>44.000000227242708</c:v>
                </c:pt>
                <c:pt idx="23">
                  <c:v>46.000000066123903</c:v>
                </c:pt>
                <c:pt idx="24">
                  <c:v>47.999999905005097</c:v>
                </c:pt>
                <c:pt idx="25">
                  <c:v>50.00000037252903</c:v>
                </c:pt>
                <c:pt idx="26">
                  <c:v>52.000000211410224</c:v>
                </c:pt>
                <c:pt idx="27">
                  <c:v>54.000000050291419</c:v>
                </c:pt>
                <c:pt idx="28">
                  <c:v>55.999999889172614</c:v>
                </c:pt>
                <c:pt idx="29">
                  <c:v>58.000000356696546</c:v>
                </c:pt>
                <c:pt idx="30">
                  <c:v>60.000000195577741</c:v>
                </c:pt>
                <c:pt idx="31">
                  <c:v>62.000000034458935</c:v>
                </c:pt>
                <c:pt idx="32">
                  <c:v>63.99999987334013</c:v>
                </c:pt>
                <c:pt idx="33">
                  <c:v>66.000000340864062</c:v>
                </c:pt>
                <c:pt idx="34">
                  <c:v>68.000000179745257</c:v>
                </c:pt>
                <c:pt idx="35">
                  <c:v>70.000000018626451</c:v>
                </c:pt>
                <c:pt idx="36">
                  <c:v>71.999999857507646</c:v>
                </c:pt>
                <c:pt idx="37">
                  <c:v>74.000000325031579</c:v>
                </c:pt>
                <c:pt idx="38">
                  <c:v>76.000000163912773</c:v>
                </c:pt>
                <c:pt idx="39">
                  <c:v>78.000000002793968</c:v>
                </c:pt>
                <c:pt idx="40">
                  <c:v>79.999999841675162</c:v>
                </c:pt>
                <c:pt idx="41">
                  <c:v>82.000000309199095</c:v>
                </c:pt>
                <c:pt idx="42">
                  <c:v>84.000000148080289</c:v>
                </c:pt>
                <c:pt idx="43">
                  <c:v>85.999999986961484</c:v>
                </c:pt>
                <c:pt idx="44">
                  <c:v>87.999999825842679</c:v>
                </c:pt>
                <c:pt idx="45">
                  <c:v>90.000000293366611</c:v>
                </c:pt>
                <c:pt idx="46">
                  <c:v>92.000000132247806</c:v>
                </c:pt>
                <c:pt idx="47">
                  <c:v>93.999999971129</c:v>
                </c:pt>
                <c:pt idx="48">
                  <c:v>96.000000438652933</c:v>
                </c:pt>
                <c:pt idx="49">
                  <c:v>98.000000277534127</c:v>
                </c:pt>
                <c:pt idx="50">
                  <c:v>100.00000011641532</c:v>
                </c:pt>
                <c:pt idx="51">
                  <c:v>101.99999995529652</c:v>
                </c:pt>
                <c:pt idx="52">
                  <c:v>104.00000042282045</c:v>
                </c:pt>
                <c:pt idx="53">
                  <c:v>106.00000026170164</c:v>
                </c:pt>
                <c:pt idx="54">
                  <c:v>108.00000010058284</c:v>
                </c:pt>
                <c:pt idx="55">
                  <c:v>109.99999993946403</c:v>
                </c:pt>
                <c:pt idx="56">
                  <c:v>112.00000040698797</c:v>
                </c:pt>
                <c:pt idx="57">
                  <c:v>114.00000024586916</c:v>
                </c:pt>
                <c:pt idx="58">
                  <c:v>116.00000008475035</c:v>
                </c:pt>
                <c:pt idx="59">
                  <c:v>117.99999992363155</c:v>
                </c:pt>
                <c:pt idx="60">
                  <c:v>120.00000039115548</c:v>
                </c:pt>
                <c:pt idx="61">
                  <c:v>122.00000023003668</c:v>
                </c:pt>
                <c:pt idx="62">
                  <c:v>124.00000006891787</c:v>
                </c:pt>
                <c:pt idx="63">
                  <c:v>125.99999990779907</c:v>
                </c:pt>
                <c:pt idx="64">
                  <c:v>128.000000375323</c:v>
                </c:pt>
                <c:pt idx="65">
                  <c:v>130.00000021420419</c:v>
                </c:pt>
                <c:pt idx="66">
                  <c:v>132.00000005308539</c:v>
                </c:pt>
                <c:pt idx="67">
                  <c:v>133.99999989196658</c:v>
                </c:pt>
                <c:pt idx="68">
                  <c:v>136.00000035949051</c:v>
                </c:pt>
                <c:pt idx="69">
                  <c:v>138.00000019837171</c:v>
                </c:pt>
                <c:pt idx="70">
                  <c:v>140.0000000372529</c:v>
                </c:pt>
                <c:pt idx="71">
                  <c:v>141.9999998761341</c:v>
                </c:pt>
                <c:pt idx="72">
                  <c:v>144.00000034365803</c:v>
                </c:pt>
                <c:pt idx="73">
                  <c:v>146.00000018253922</c:v>
                </c:pt>
                <c:pt idx="74">
                  <c:v>148.00000002142042</c:v>
                </c:pt>
                <c:pt idx="75">
                  <c:v>149.99999986030161</c:v>
                </c:pt>
                <c:pt idx="76">
                  <c:v>152.00000032782555</c:v>
                </c:pt>
                <c:pt idx="77">
                  <c:v>154.00000016670674</c:v>
                </c:pt>
                <c:pt idx="78">
                  <c:v>156.00000000558794</c:v>
                </c:pt>
                <c:pt idx="79">
                  <c:v>157.99999984446913</c:v>
                </c:pt>
                <c:pt idx="80">
                  <c:v>160.00000031199306</c:v>
                </c:pt>
                <c:pt idx="81">
                  <c:v>162.00000015087426</c:v>
                </c:pt>
                <c:pt idx="82">
                  <c:v>163.99999998975545</c:v>
                </c:pt>
                <c:pt idx="83">
                  <c:v>165.99999982863665</c:v>
                </c:pt>
                <c:pt idx="84">
                  <c:v>168.00000029616058</c:v>
                </c:pt>
                <c:pt idx="85">
                  <c:v>170.00000013504177</c:v>
                </c:pt>
                <c:pt idx="86">
                  <c:v>171.99999997392297</c:v>
                </c:pt>
                <c:pt idx="87">
                  <c:v>174.0000004414469</c:v>
                </c:pt>
                <c:pt idx="88">
                  <c:v>176.00000028032809</c:v>
                </c:pt>
                <c:pt idx="89">
                  <c:v>178.00000011920929</c:v>
                </c:pt>
                <c:pt idx="90">
                  <c:v>179.99999995809048</c:v>
                </c:pt>
                <c:pt idx="91">
                  <c:v>182.00000042561442</c:v>
                </c:pt>
                <c:pt idx="92">
                  <c:v>184.00000026449561</c:v>
                </c:pt>
                <c:pt idx="93">
                  <c:v>186.00000010337681</c:v>
                </c:pt>
                <c:pt idx="94">
                  <c:v>187.999999942258</c:v>
                </c:pt>
                <c:pt idx="95">
                  <c:v>190.00000040978193</c:v>
                </c:pt>
                <c:pt idx="96">
                  <c:v>192.00000024866313</c:v>
                </c:pt>
                <c:pt idx="97">
                  <c:v>194.00000008754432</c:v>
                </c:pt>
                <c:pt idx="98">
                  <c:v>195.99999992642552</c:v>
                </c:pt>
                <c:pt idx="99">
                  <c:v>198.00000039394945</c:v>
                </c:pt>
                <c:pt idx="100">
                  <c:v>200.00000023283064</c:v>
                </c:pt>
                <c:pt idx="101">
                  <c:v>202.00000007171184</c:v>
                </c:pt>
                <c:pt idx="102">
                  <c:v>203.99999991059303</c:v>
                </c:pt>
                <c:pt idx="103">
                  <c:v>206.00000037811697</c:v>
                </c:pt>
                <c:pt idx="104">
                  <c:v>208.00000021699816</c:v>
                </c:pt>
                <c:pt idx="105">
                  <c:v>210.00000005587935</c:v>
                </c:pt>
                <c:pt idx="106">
                  <c:v>211.99999989476055</c:v>
                </c:pt>
                <c:pt idx="107">
                  <c:v>214.00000036228448</c:v>
                </c:pt>
                <c:pt idx="108">
                  <c:v>216.00000020116568</c:v>
                </c:pt>
                <c:pt idx="109">
                  <c:v>218.00000004004687</c:v>
                </c:pt>
                <c:pt idx="110">
                  <c:v>219.99999987892807</c:v>
                </c:pt>
                <c:pt idx="111">
                  <c:v>222.000000346452</c:v>
                </c:pt>
                <c:pt idx="112">
                  <c:v>224.00000018533319</c:v>
                </c:pt>
                <c:pt idx="113">
                  <c:v>226.00000002421439</c:v>
                </c:pt>
                <c:pt idx="114">
                  <c:v>227.99999986309558</c:v>
                </c:pt>
                <c:pt idx="115">
                  <c:v>230.00000033061951</c:v>
                </c:pt>
                <c:pt idx="116">
                  <c:v>232.00000016950071</c:v>
                </c:pt>
                <c:pt idx="117">
                  <c:v>234.0000000083819</c:v>
                </c:pt>
                <c:pt idx="118">
                  <c:v>235.9999998472631</c:v>
                </c:pt>
                <c:pt idx="119">
                  <c:v>238.00000031478703</c:v>
                </c:pt>
                <c:pt idx="120">
                  <c:v>240.00000015366822</c:v>
                </c:pt>
                <c:pt idx="121">
                  <c:v>241.99999999254942</c:v>
                </c:pt>
                <c:pt idx="122">
                  <c:v>243.99999983143061</c:v>
                </c:pt>
                <c:pt idx="123">
                  <c:v>246.00000029895455</c:v>
                </c:pt>
                <c:pt idx="124">
                  <c:v>248.00000013783574</c:v>
                </c:pt>
                <c:pt idx="125">
                  <c:v>249.99999997671694</c:v>
                </c:pt>
                <c:pt idx="126">
                  <c:v>252.00000044424087</c:v>
                </c:pt>
                <c:pt idx="127">
                  <c:v>254.00000028312206</c:v>
                </c:pt>
                <c:pt idx="128">
                  <c:v>256.00000012200326</c:v>
                </c:pt>
                <c:pt idx="129">
                  <c:v>257.99999996088445</c:v>
                </c:pt>
                <c:pt idx="130">
                  <c:v>260.00000042840838</c:v>
                </c:pt>
                <c:pt idx="131">
                  <c:v>262.00000026728958</c:v>
                </c:pt>
                <c:pt idx="132">
                  <c:v>264.00000010617077</c:v>
                </c:pt>
                <c:pt idx="133">
                  <c:v>265.99999994505197</c:v>
                </c:pt>
                <c:pt idx="134">
                  <c:v>268.0000004125759</c:v>
                </c:pt>
                <c:pt idx="135">
                  <c:v>270.0000002514571</c:v>
                </c:pt>
                <c:pt idx="136">
                  <c:v>272.00000009033829</c:v>
                </c:pt>
                <c:pt idx="137">
                  <c:v>273.99999992921948</c:v>
                </c:pt>
                <c:pt idx="138">
                  <c:v>276.00000039674342</c:v>
                </c:pt>
                <c:pt idx="139">
                  <c:v>278.00000023562461</c:v>
                </c:pt>
                <c:pt idx="140">
                  <c:v>280.00000007450581</c:v>
                </c:pt>
                <c:pt idx="141">
                  <c:v>281.999999913387</c:v>
                </c:pt>
                <c:pt idx="142">
                  <c:v>284.00000038091093</c:v>
                </c:pt>
                <c:pt idx="143">
                  <c:v>286.00000021979213</c:v>
                </c:pt>
                <c:pt idx="144">
                  <c:v>288.00000005867332</c:v>
                </c:pt>
                <c:pt idx="145">
                  <c:v>289.99999989755452</c:v>
                </c:pt>
                <c:pt idx="146">
                  <c:v>292.00000036507845</c:v>
                </c:pt>
                <c:pt idx="147">
                  <c:v>294.00000020395964</c:v>
                </c:pt>
                <c:pt idx="148">
                  <c:v>296.00000004284084</c:v>
                </c:pt>
                <c:pt idx="149">
                  <c:v>297.99999988172203</c:v>
                </c:pt>
                <c:pt idx="150">
                  <c:v>300.00000034924597</c:v>
                </c:pt>
                <c:pt idx="151">
                  <c:v>302.00000018812716</c:v>
                </c:pt>
                <c:pt idx="152">
                  <c:v>304.00000002700835</c:v>
                </c:pt>
                <c:pt idx="153">
                  <c:v>305.99999986588955</c:v>
                </c:pt>
                <c:pt idx="154">
                  <c:v>308.00000033341348</c:v>
                </c:pt>
                <c:pt idx="155">
                  <c:v>310.00000017229468</c:v>
                </c:pt>
                <c:pt idx="156">
                  <c:v>312.00000001117587</c:v>
                </c:pt>
                <c:pt idx="157">
                  <c:v>313.99999985005707</c:v>
                </c:pt>
                <c:pt idx="158">
                  <c:v>316.000000317581</c:v>
                </c:pt>
                <c:pt idx="159">
                  <c:v>318.00000015646219</c:v>
                </c:pt>
                <c:pt idx="160">
                  <c:v>319.99999999534339</c:v>
                </c:pt>
                <c:pt idx="161">
                  <c:v>321.99999983422458</c:v>
                </c:pt>
                <c:pt idx="162">
                  <c:v>324.00000030174851</c:v>
                </c:pt>
                <c:pt idx="163">
                  <c:v>326.00000014062971</c:v>
                </c:pt>
                <c:pt idx="164">
                  <c:v>327.9999999795109</c:v>
                </c:pt>
                <c:pt idx="165">
                  <c:v>330.00000044703484</c:v>
                </c:pt>
                <c:pt idx="166">
                  <c:v>332.00000028591603</c:v>
                </c:pt>
                <c:pt idx="167">
                  <c:v>334.00000012479722</c:v>
                </c:pt>
                <c:pt idx="168">
                  <c:v>335.99999996367842</c:v>
                </c:pt>
                <c:pt idx="169">
                  <c:v>338.00000043120235</c:v>
                </c:pt>
                <c:pt idx="170">
                  <c:v>340.00000027008355</c:v>
                </c:pt>
                <c:pt idx="171">
                  <c:v>342.00000010896474</c:v>
                </c:pt>
                <c:pt idx="172">
                  <c:v>343.99999994784594</c:v>
                </c:pt>
                <c:pt idx="173">
                  <c:v>346.00000041536987</c:v>
                </c:pt>
                <c:pt idx="174">
                  <c:v>348.00000025425106</c:v>
                </c:pt>
                <c:pt idx="175">
                  <c:v>350.00000009313226</c:v>
                </c:pt>
                <c:pt idx="176">
                  <c:v>351.99999993201345</c:v>
                </c:pt>
                <c:pt idx="177">
                  <c:v>354.00000039953738</c:v>
                </c:pt>
                <c:pt idx="178">
                  <c:v>356.00000023841858</c:v>
                </c:pt>
                <c:pt idx="179">
                  <c:v>358.00000007729977</c:v>
                </c:pt>
                <c:pt idx="180">
                  <c:v>359.99999991618097</c:v>
                </c:pt>
                <c:pt idx="181">
                  <c:v>362.0000003837049</c:v>
                </c:pt>
                <c:pt idx="182">
                  <c:v>364.0000002225861</c:v>
                </c:pt>
                <c:pt idx="183">
                  <c:v>366.00000006146729</c:v>
                </c:pt>
                <c:pt idx="184">
                  <c:v>367.99999990034848</c:v>
                </c:pt>
                <c:pt idx="185">
                  <c:v>370.00000036787242</c:v>
                </c:pt>
                <c:pt idx="186">
                  <c:v>372.00000020675361</c:v>
                </c:pt>
                <c:pt idx="187">
                  <c:v>374.00000004563481</c:v>
                </c:pt>
                <c:pt idx="188">
                  <c:v>375.999999884516</c:v>
                </c:pt>
                <c:pt idx="189">
                  <c:v>378.00000035203993</c:v>
                </c:pt>
                <c:pt idx="190">
                  <c:v>380.00000019092113</c:v>
                </c:pt>
                <c:pt idx="191">
                  <c:v>382.00000002980232</c:v>
                </c:pt>
                <c:pt idx="192">
                  <c:v>383.99999986868352</c:v>
                </c:pt>
                <c:pt idx="193">
                  <c:v>386.00000033620745</c:v>
                </c:pt>
                <c:pt idx="194">
                  <c:v>388.00000017508864</c:v>
                </c:pt>
                <c:pt idx="195">
                  <c:v>390.00000001396984</c:v>
                </c:pt>
                <c:pt idx="196">
                  <c:v>391.99999985285103</c:v>
                </c:pt>
                <c:pt idx="197">
                  <c:v>394.00000032037497</c:v>
                </c:pt>
                <c:pt idx="198">
                  <c:v>396.00000015925616</c:v>
                </c:pt>
                <c:pt idx="199">
                  <c:v>397.99999999813735</c:v>
                </c:pt>
                <c:pt idx="200">
                  <c:v>399.99999983701855</c:v>
                </c:pt>
                <c:pt idx="201">
                  <c:v>402.00000030454248</c:v>
                </c:pt>
                <c:pt idx="202">
                  <c:v>404.00000014342368</c:v>
                </c:pt>
                <c:pt idx="203">
                  <c:v>405.99999998230487</c:v>
                </c:pt>
                <c:pt idx="204">
                  <c:v>408.0000004498288</c:v>
                </c:pt>
                <c:pt idx="205">
                  <c:v>410.00000028871</c:v>
                </c:pt>
                <c:pt idx="206">
                  <c:v>412.00000012759119</c:v>
                </c:pt>
                <c:pt idx="207">
                  <c:v>413.99999996647239</c:v>
                </c:pt>
                <c:pt idx="208">
                  <c:v>416.00000043399632</c:v>
                </c:pt>
                <c:pt idx="209">
                  <c:v>418.00000027287751</c:v>
                </c:pt>
                <c:pt idx="210">
                  <c:v>420.00000011175871</c:v>
                </c:pt>
                <c:pt idx="211">
                  <c:v>421.9999999506399</c:v>
                </c:pt>
                <c:pt idx="212">
                  <c:v>424.00000041816384</c:v>
                </c:pt>
                <c:pt idx="213">
                  <c:v>426.00000025704503</c:v>
                </c:pt>
                <c:pt idx="214">
                  <c:v>428.00000009592623</c:v>
                </c:pt>
                <c:pt idx="215">
                  <c:v>429.99999993480742</c:v>
                </c:pt>
                <c:pt idx="216">
                  <c:v>432.00000040233135</c:v>
                </c:pt>
                <c:pt idx="217">
                  <c:v>434.00000024121255</c:v>
                </c:pt>
                <c:pt idx="218">
                  <c:v>436.00000008009374</c:v>
                </c:pt>
                <c:pt idx="219">
                  <c:v>437.99999991897494</c:v>
                </c:pt>
                <c:pt idx="220">
                  <c:v>440.00000038649887</c:v>
                </c:pt>
                <c:pt idx="221">
                  <c:v>442.00000022538006</c:v>
                </c:pt>
                <c:pt idx="222">
                  <c:v>444.00000006426126</c:v>
                </c:pt>
                <c:pt idx="223">
                  <c:v>445.99999990314245</c:v>
                </c:pt>
                <c:pt idx="224">
                  <c:v>448.00000037066638</c:v>
                </c:pt>
                <c:pt idx="225">
                  <c:v>450.00000020954758</c:v>
                </c:pt>
                <c:pt idx="226">
                  <c:v>452.00000004842877</c:v>
                </c:pt>
                <c:pt idx="227">
                  <c:v>453.99999988730997</c:v>
                </c:pt>
                <c:pt idx="228">
                  <c:v>456.0000003548339</c:v>
                </c:pt>
                <c:pt idx="229">
                  <c:v>458.0000001937151</c:v>
                </c:pt>
                <c:pt idx="230">
                  <c:v>460.00000003259629</c:v>
                </c:pt>
                <c:pt idx="231">
                  <c:v>461.99999987147748</c:v>
                </c:pt>
                <c:pt idx="232">
                  <c:v>464.00000033900142</c:v>
                </c:pt>
                <c:pt idx="233">
                  <c:v>466.00000017788261</c:v>
                </c:pt>
                <c:pt idx="234">
                  <c:v>468.00000001676381</c:v>
                </c:pt>
                <c:pt idx="235">
                  <c:v>469.999999855645</c:v>
                </c:pt>
                <c:pt idx="236">
                  <c:v>472.00000032316893</c:v>
                </c:pt>
                <c:pt idx="237">
                  <c:v>474.00000016205013</c:v>
                </c:pt>
                <c:pt idx="238">
                  <c:v>476.00000000093132</c:v>
                </c:pt>
                <c:pt idx="239">
                  <c:v>477.99999983981252</c:v>
                </c:pt>
                <c:pt idx="240">
                  <c:v>480.00000030733645</c:v>
                </c:pt>
                <c:pt idx="241">
                  <c:v>482.00000014621764</c:v>
                </c:pt>
                <c:pt idx="242">
                  <c:v>483.99999998509884</c:v>
                </c:pt>
                <c:pt idx="243">
                  <c:v>486.00000045262277</c:v>
                </c:pt>
                <c:pt idx="244">
                  <c:v>488.00000029150397</c:v>
                </c:pt>
                <c:pt idx="245">
                  <c:v>490.00000013038516</c:v>
                </c:pt>
                <c:pt idx="246">
                  <c:v>491.99999996926636</c:v>
                </c:pt>
                <c:pt idx="247">
                  <c:v>494.00000043679029</c:v>
                </c:pt>
                <c:pt idx="248">
                  <c:v>496.00000027567148</c:v>
                </c:pt>
                <c:pt idx="249">
                  <c:v>498.00000011455268</c:v>
                </c:pt>
                <c:pt idx="250">
                  <c:v>499.99999995343387</c:v>
                </c:pt>
                <c:pt idx="251">
                  <c:v>502.0000004209578</c:v>
                </c:pt>
                <c:pt idx="252">
                  <c:v>504.000000259839</c:v>
                </c:pt>
                <c:pt idx="253">
                  <c:v>506.00000009872019</c:v>
                </c:pt>
                <c:pt idx="254">
                  <c:v>507.99999993760139</c:v>
                </c:pt>
                <c:pt idx="255">
                  <c:v>510.00000040512532</c:v>
                </c:pt>
                <c:pt idx="256">
                  <c:v>512.00000024400651</c:v>
                </c:pt>
                <c:pt idx="257">
                  <c:v>514.00000008288771</c:v>
                </c:pt>
                <c:pt idx="258">
                  <c:v>515.9999999217689</c:v>
                </c:pt>
                <c:pt idx="259">
                  <c:v>518.00000038929284</c:v>
                </c:pt>
                <c:pt idx="260">
                  <c:v>520.00000022817403</c:v>
                </c:pt>
                <c:pt idx="261">
                  <c:v>522.00000006705523</c:v>
                </c:pt>
                <c:pt idx="262">
                  <c:v>523.99999990593642</c:v>
                </c:pt>
                <c:pt idx="263">
                  <c:v>526.00000037346035</c:v>
                </c:pt>
                <c:pt idx="264">
                  <c:v>528.00000021234155</c:v>
                </c:pt>
                <c:pt idx="265">
                  <c:v>530.00000005122274</c:v>
                </c:pt>
                <c:pt idx="266">
                  <c:v>531.99999989010394</c:v>
                </c:pt>
                <c:pt idx="267">
                  <c:v>534.00000035762787</c:v>
                </c:pt>
                <c:pt idx="268">
                  <c:v>536.00000019650906</c:v>
                </c:pt>
                <c:pt idx="269">
                  <c:v>538.00000003539026</c:v>
                </c:pt>
                <c:pt idx="270">
                  <c:v>539.99999987427145</c:v>
                </c:pt>
                <c:pt idx="271">
                  <c:v>542.00000034179538</c:v>
                </c:pt>
                <c:pt idx="272">
                  <c:v>544.00000018067658</c:v>
                </c:pt>
                <c:pt idx="273">
                  <c:v>546.00000001955777</c:v>
                </c:pt>
                <c:pt idx="274">
                  <c:v>547.99999985843897</c:v>
                </c:pt>
                <c:pt idx="275">
                  <c:v>550.0000003259629</c:v>
                </c:pt>
                <c:pt idx="276">
                  <c:v>552.0000001648441</c:v>
                </c:pt>
                <c:pt idx="277">
                  <c:v>554.00000000372529</c:v>
                </c:pt>
                <c:pt idx="278">
                  <c:v>555.99999984260648</c:v>
                </c:pt>
                <c:pt idx="279">
                  <c:v>558.00000031013042</c:v>
                </c:pt>
                <c:pt idx="280">
                  <c:v>560.00000014901161</c:v>
                </c:pt>
                <c:pt idx="281">
                  <c:v>561.99999998789281</c:v>
                </c:pt>
                <c:pt idx="282">
                  <c:v>563.999999826774</c:v>
                </c:pt>
                <c:pt idx="283">
                  <c:v>566.00000029429793</c:v>
                </c:pt>
                <c:pt idx="284">
                  <c:v>568.00000013317913</c:v>
                </c:pt>
                <c:pt idx="285">
                  <c:v>569.99999997206032</c:v>
                </c:pt>
                <c:pt idx="286">
                  <c:v>572.00000043958426</c:v>
                </c:pt>
                <c:pt idx="287">
                  <c:v>574.00000027846545</c:v>
                </c:pt>
                <c:pt idx="288">
                  <c:v>576.00000011734664</c:v>
                </c:pt>
                <c:pt idx="289">
                  <c:v>577.99999995622784</c:v>
                </c:pt>
                <c:pt idx="290">
                  <c:v>580.00000042375177</c:v>
                </c:pt>
                <c:pt idx="291">
                  <c:v>582.00000026263297</c:v>
                </c:pt>
                <c:pt idx="292">
                  <c:v>584.00000010151416</c:v>
                </c:pt>
                <c:pt idx="293">
                  <c:v>585.99999994039536</c:v>
                </c:pt>
                <c:pt idx="294">
                  <c:v>588.00000040791929</c:v>
                </c:pt>
                <c:pt idx="295">
                  <c:v>590.00000024680048</c:v>
                </c:pt>
                <c:pt idx="296">
                  <c:v>592.00000008568168</c:v>
                </c:pt>
                <c:pt idx="297">
                  <c:v>593.99999992456287</c:v>
                </c:pt>
                <c:pt idx="298">
                  <c:v>596.0000003920868</c:v>
                </c:pt>
                <c:pt idx="299">
                  <c:v>598.000000230968</c:v>
                </c:pt>
                <c:pt idx="300">
                  <c:v>600.00000006984919</c:v>
                </c:pt>
                <c:pt idx="301">
                  <c:v>601.99999990873039</c:v>
                </c:pt>
                <c:pt idx="302">
                  <c:v>604.00000037625432</c:v>
                </c:pt>
                <c:pt idx="303">
                  <c:v>606.00000021513551</c:v>
                </c:pt>
                <c:pt idx="304">
                  <c:v>608.00000005401671</c:v>
                </c:pt>
                <c:pt idx="305">
                  <c:v>609.9999998928979</c:v>
                </c:pt>
                <c:pt idx="306">
                  <c:v>612.00000036042184</c:v>
                </c:pt>
                <c:pt idx="307">
                  <c:v>614.00000019930303</c:v>
                </c:pt>
                <c:pt idx="308">
                  <c:v>616.00000003818423</c:v>
                </c:pt>
                <c:pt idx="309">
                  <c:v>617.99999987706542</c:v>
                </c:pt>
                <c:pt idx="310">
                  <c:v>620.00000034458935</c:v>
                </c:pt>
                <c:pt idx="311">
                  <c:v>622.00000018347055</c:v>
                </c:pt>
                <c:pt idx="312">
                  <c:v>624.00000002235174</c:v>
                </c:pt>
                <c:pt idx="313">
                  <c:v>625.99999986123294</c:v>
                </c:pt>
                <c:pt idx="314">
                  <c:v>628.00000032875687</c:v>
                </c:pt>
                <c:pt idx="315">
                  <c:v>630.00000016763806</c:v>
                </c:pt>
                <c:pt idx="316">
                  <c:v>632.00000000651926</c:v>
                </c:pt>
                <c:pt idx="317">
                  <c:v>633.99999984540045</c:v>
                </c:pt>
                <c:pt idx="318">
                  <c:v>636.00000031292439</c:v>
                </c:pt>
                <c:pt idx="319">
                  <c:v>638.00000015180558</c:v>
                </c:pt>
                <c:pt idx="320">
                  <c:v>639.99999999068677</c:v>
                </c:pt>
                <c:pt idx="321">
                  <c:v>641.99999982956797</c:v>
                </c:pt>
                <c:pt idx="322">
                  <c:v>644.0000002970919</c:v>
                </c:pt>
                <c:pt idx="323">
                  <c:v>646.0000001359731</c:v>
                </c:pt>
                <c:pt idx="324">
                  <c:v>647.99999997485429</c:v>
                </c:pt>
                <c:pt idx="325">
                  <c:v>650.00000044237822</c:v>
                </c:pt>
                <c:pt idx="326">
                  <c:v>652.00000028125942</c:v>
                </c:pt>
                <c:pt idx="327">
                  <c:v>654.00000012014061</c:v>
                </c:pt>
                <c:pt idx="328">
                  <c:v>655.99999995902181</c:v>
                </c:pt>
                <c:pt idx="329">
                  <c:v>658.00000042654574</c:v>
                </c:pt>
                <c:pt idx="330">
                  <c:v>660.00000026542693</c:v>
                </c:pt>
                <c:pt idx="331">
                  <c:v>662.00000010430813</c:v>
                </c:pt>
                <c:pt idx="332">
                  <c:v>663.99999994318932</c:v>
                </c:pt>
                <c:pt idx="333">
                  <c:v>666.00000041071326</c:v>
                </c:pt>
                <c:pt idx="334">
                  <c:v>668.00000024959445</c:v>
                </c:pt>
                <c:pt idx="335">
                  <c:v>670.00000008847564</c:v>
                </c:pt>
                <c:pt idx="336">
                  <c:v>671.99999992735684</c:v>
                </c:pt>
                <c:pt idx="337">
                  <c:v>674.00000039488077</c:v>
                </c:pt>
                <c:pt idx="338">
                  <c:v>676.00000023376197</c:v>
                </c:pt>
                <c:pt idx="339">
                  <c:v>678.00000007264316</c:v>
                </c:pt>
                <c:pt idx="340">
                  <c:v>679.99999991152436</c:v>
                </c:pt>
                <c:pt idx="341">
                  <c:v>682.00000037904829</c:v>
                </c:pt>
                <c:pt idx="342">
                  <c:v>684.00000021792948</c:v>
                </c:pt>
                <c:pt idx="343">
                  <c:v>686.00000005681068</c:v>
                </c:pt>
                <c:pt idx="344">
                  <c:v>687.99999989569187</c:v>
                </c:pt>
                <c:pt idx="345">
                  <c:v>690.0000003632158</c:v>
                </c:pt>
                <c:pt idx="346">
                  <c:v>692.000000202097</c:v>
                </c:pt>
                <c:pt idx="347">
                  <c:v>694.00000004097819</c:v>
                </c:pt>
                <c:pt idx="348">
                  <c:v>695.99999987985939</c:v>
                </c:pt>
                <c:pt idx="349">
                  <c:v>698.00000034738332</c:v>
                </c:pt>
                <c:pt idx="350">
                  <c:v>700.00000018626451</c:v>
                </c:pt>
                <c:pt idx="351">
                  <c:v>702.00000002514571</c:v>
                </c:pt>
                <c:pt idx="352">
                  <c:v>703.9999998640269</c:v>
                </c:pt>
                <c:pt idx="353">
                  <c:v>706.00000033155084</c:v>
                </c:pt>
                <c:pt idx="354">
                  <c:v>708.00000017043203</c:v>
                </c:pt>
                <c:pt idx="355">
                  <c:v>710.00000000931323</c:v>
                </c:pt>
                <c:pt idx="356">
                  <c:v>711.99999984819442</c:v>
                </c:pt>
                <c:pt idx="357">
                  <c:v>714.00000031571835</c:v>
                </c:pt>
                <c:pt idx="358">
                  <c:v>716.00000015459955</c:v>
                </c:pt>
                <c:pt idx="359">
                  <c:v>717.99999999348074</c:v>
                </c:pt>
                <c:pt idx="360">
                  <c:v>719.99999983236194</c:v>
                </c:pt>
                <c:pt idx="361">
                  <c:v>722.00000029988587</c:v>
                </c:pt>
                <c:pt idx="362">
                  <c:v>724.00000013876706</c:v>
                </c:pt>
                <c:pt idx="363">
                  <c:v>725.99999997764826</c:v>
                </c:pt>
                <c:pt idx="364">
                  <c:v>728.00000044517219</c:v>
                </c:pt>
                <c:pt idx="365">
                  <c:v>730.00000028405339</c:v>
                </c:pt>
                <c:pt idx="366">
                  <c:v>732.00000012293458</c:v>
                </c:pt>
                <c:pt idx="367">
                  <c:v>733.99999996181577</c:v>
                </c:pt>
                <c:pt idx="368">
                  <c:v>736.00000042933971</c:v>
                </c:pt>
                <c:pt idx="369">
                  <c:v>738.0000002682209</c:v>
                </c:pt>
                <c:pt idx="370">
                  <c:v>740.0000001071021</c:v>
                </c:pt>
                <c:pt idx="371">
                  <c:v>741.99999994598329</c:v>
                </c:pt>
                <c:pt idx="372">
                  <c:v>744.00000041350722</c:v>
                </c:pt>
                <c:pt idx="373">
                  <c:v>746.00000025238842</c:v>
                </c:pt>
                <c:pt idx="374">
                  <c:v>748.00000009126961</c:v>
                </c:pt>
                <c:pt idx="375">
                  <c:v>749.99999993015081</c:v>
                </c:pt>
                <c:pt idx="376">
                  <c:v>752.00000039767474</c:v>
                </c:pt>
                <c:pt idx="377">
                  <c:v>754.00000023655593</c:v>
                </c:pt>
                <c:pt idx="378">
                  <c:v>756.00000007543713</c:v>
                </c:pt>
                <c:pt idx="379">
                  <c:v>757.99999991431832</c:v>
                </c:pt>
                <c:pt idx="380">
                  <c:v>760.00000038184226</c:v>
                </c:pt>
                <c:pt idx="381">
                  <c:v>762.00000022072345</c:v>
                </c:pt>
                <c:pt idx="382">
                  <c:v>764.00000005960464</c:v>
                </c:pt>
                <c:pt idx="383">
                  <c:v>765.99999989848584</c:v>
                </c:pt>
                <c:pt idx="384">
                  <c:v>768.00000036600977</c:v>
                </c:pt>
                <c:pt idx="385">
                  <c:v>770.00000020489097</c:v>
                </c:pt>
                <c:pt idx="386">
                  <c:v>772.00000004377216</c:v>
                </c:pt>
                <c:pt idx="387">
                  <c:v>773.99999988265336</c:v>
                </c:pt>
                <c:pt idx="388">
                  <c:v>776.00000035017729</c:v>
                </c:pt>
                <c:pt idx="389">
                  <c:v>778.00000018905848</c:v>
                </c:pt>
                <c:pt idx="390">
                  <c:v>780.00000002793968</c:v>
                </c:pt>
                <c:pt idx="391">
                  <c:v>781.99999986682087</c:v>
                </c:pt>
                <c:pt idx="392">
                  <c:v>784.0000003343448</c:v>
                </c:pt>
                <c:pt idx="393">
                  <c:v>786.000000173226</c:v>
                </c:pt>
                <c:pt idx="394">
                  <c:v>788.00000001210719</c:v>
                </c:pt>
                <c:pt idx="395">
                  <c:v>789.99999985098839</c:v>
                </c:pt>
                <c:pt idx="396">
                  <c:v>792.00000031851232</c:v>
                </c:pt>
                <c:pt idx="397">
                  <c:v>794.00000015739352</c:v>
                </c:pt>
                <c:pt idx="398">
                  <c:v>795.99999999627471</c:v>
                </c:pt>
                <c:pt idx="399">
                  <c:v>797.9999998351559</c:v>
                </c:pt>
                <c:pt idx="400">
                  <c:v>800.00000030267984</c:v>
                </c:pt>
                <c:pt idx="401">
                  <c:v>802.00000014156103</c:v>
                </c:pt>
                <c:pt idx="402">
                  <c:v>803.99999998044223</c:v>
                </c:pt>
                <c:pt idx="403">
                  <c:v>806.00000044796616</c:v>
                </c:pt>
                <c:pt idx="404">
                  <c:v>808.00000028684735</c:v>
                </c:pt>
                <c:pt idx="405">
                  <c:v>810.00000012572855</c:v>
                </c:pt>
                <c:pt idx="406">
                  <c:v>811.99999996460974</c:v>
                </c:pt>
                <c:pt idx="407">
                  <c:v>814.00000043213367</c:v>
                </c:pt>
                <c:pt idx="408">
                  <c:v>816.00000027101487</c:v>
                </c:pt>
                <c:pt idx="409">
                  <c:v>818.00000010989606</c:v>
                </c:pt>
                <c:pt idx="410">
                  <c:v>819.99999994877726</c:v>
                </c:pt>
                <c:pt idx="411">
                  <c:v>822.00000041630119</c:v>
                </c:pt>
                <c:pt idx="412">
                  <c:v>824.00000025518239</c:v>
                </c:pt>
                <c:pt idx="413">
                  <c:v>826.00000009406358</c:v>
                </c:pt>
                <c:pt idx="414">
                  <c:v>827.99999993294477</c:v>
                </c:pt>
                <c:pt idx="415">
                  <c:v>830.00000040046871</c:v>
                </c:pt>
                <c:pt idx="416">
                  <c:v>832.0000002393499</c:v>
                </c:pt>
                <c:pt idx="417">
                  <c:v>834.0000000782311</c:v>
                </c:pt>
                <c:pt idx="418">
                  <c:v>835.99999991711229</c:v>
                </c:pt>
                <c:pt idx="419">
                  <c:v>838.00000038463622</c:v>
                </c:pt>
                <c:pt idx="420">
                  <c:v>840.00000022351742</c:v>
                </c:pt>
                <c:pt idx="421">
                  <c:v>842.00000006239861</c:v>
                </c:pt>
                <c:pt idx="422">
                  <c:v>843.99999990127981</c:v>
                </c:pt>
                <c:pt idx="423">
                  <c:v>846.00000036880374</c:v>
                </c:pt>
                <c:pt idx="424">
                  <c:v>848.00000020768493</c:v>
                </c:pt>
                <c:pt idx="425">
                  <c:v>850.00000004656613</c:v>
                </c:pt>
                <c:pt idx="426">
                  <c:v>851.99999988544732</c:v>
                </c:pt>
                <c:pt idx="427">
                  <c:v>854.00000035297126</c:v>
                </c:pt>
                <c:pt idx="428">
                  <c:v>856.00000019185245</c:v>
                </c:pt>
                <c:pt idx="429">
                  <c:v>858.00000003073364</c:v>
                </c:pt>
                <c:pt idx="430">
                  <c:v>859.99999986961484</c:v>
                </c:pt>
                <c:pt idx="431">
                  <c:v>862.00000033713877</c:v>
                </c:pt>
                <c:pt idx="432">
                  <c:v>864.00000017601997</c:v>
                </c:pt>
                <c:pt idx="433">
                  <c:v>866.00000001490116</c:v>
                </c:pt>
                <c:pt idx="434">
                  <c:v>867.99999985378236</c:v>
                </c:pt>
                <c:pt idx="435">
                  <c:v>870.00000032130629</c:v>
                </c:pt>
                <c:pt idx="436">
                  <c:v>872.00000016018748</c:v>
                </c:pt>
                <c:pt idx="437">
                  <c:v>873.99999999906868</c:v>
                </c:pt>
                <c:pt idx="438">
                  <c:v>875.99999983794987</c:v>
                </c:pt>
                <c:pt idx="439">
                  <c:v>878.0000003054738</c:v>
                </c:pt>
                <c:pt idx="440">
                  <c:v>880.000000144355</c:v>
                </c:pt>
                <c:pt idx="441">
                  <c:v>881.99999998323619</c:v>
                </c:pt>
                <c:pt idx="442">
                  <c:v>884.00000045076013</c:v>
                </c:pt>
                <c:pt idx="443">
                  <c:v>886.00000028964132</c:v>
                </c:pt>
                <c:pt idx="444">
                  <c:v>888.00000012852252</c:v>
                </c:pt>
                <c:pt idx="445">
                  <c:v>889.99999996740371</c:v>
                </c:pt>
                <c:pt idx="446">
                  <c:v>892.00000043492764</c:v>
                </c:pt>
                <c:pt idx="447">
                  <c:v>894.00000027380884</c:v>
                </c:pt>
                <c:pt idx="448">
                  <c:v>896.00000011269003</c:v>
                </c:pt>
                <c:pt idx="449">
                  <c:v>897.99999995157123</c:v>
                </c:pt>
                <c:pt idx="450">
                  <c:v>900.00000041909516</c:v>
                </c:pt>
                <c:pt idx="451">
                  <c:v>902.00000025797635</c:v>
                </c:pt>
                <c:pt idx="452">
                  <c:v>904.00000009685755</c:v>
                </c:pt>
                <c:pt idx="453">
                  <c:v>905.99999993573874</c:v>
                </c:pt>
                <c:pt idx="454">
                  <c:v>908.00000040326267</c:v>
                </c:pt>
                <c:pt idx="455">
                  <c:v>910.00000024214387</c:v>
                </c:pt>
                <c:pt idx="456">
                  <c:v>912.00000008102506</c:v>
                </c:pt>
                <c:pt idx="457">
                  <c:v>913.99999991990626</c:v>
                </c:pt>
                <c:pt idx="458">
                  <c:v>916.00000038743019</c:v>
                </c:pt>
                <c:pt idx="459">
                  <c:v>918.00000022631139</c:v>
                </c:pt>
                <c:pt idx="460">
                  <c:v>920.00000006519258</c:v>
                </c:pt>
                <c:pt idx="461">
                  <c:v>921.99999990407377</c:v>
                </c:pt>
                <c:pt idx="462">
                  <c:v>924.00000037159771</c:v>
                </c:pt>
                <c:pt idx="463">
                  <c:v>926.0000002104789</c:v>
                </c:pt>
                <c:pt idx="464">
                  <c:v>928.0000000493601</c:v>
                </c:pt>
                <c:pt idx="465">
                  <c:v>929.99999988824129</c:v>
                </c:pt>
                <c:pt idx="466">
                  <c:v>932.00000035576522</c:v>
                </c:pt>
                <c:pt idx="467">
                  <c:v>934.00000019464642</c:v>
                </c:pt>
                <c:pt idx="468">
                  <c:v>936.00000003352761</c:v>
                </c:pt>
                <c:pt idx="469">
                  <c:v>937.99999987240881</c:v>
                </c:pt>
                <c:pt idx="470">
                  <c:v>940.00000033993274</c:v>
                </c:pt>
                <c:pt idx="471">
                  <c:v>942.00000017881393</c:v>
                </c:pt>
                <c:pt idx="472">
                  <c:v>944.00000001769513</c:v>
                </c:pt>
                <c:pt idx="473">
                  <c:v>945.99999985657632</c:v>
                </c:pt>
                <c:pt idx="474">
                  <c:v>948.00000032410026</c:v>
                </c:pt>
                <c:pt idx="475">
                  <c:v>950.00000016298145</c:v>
                </c:pt>
                <c:pt idx="476">
                  <c:v>952.00000000186265</c:v>
                </c:pt>
                <c:pt idx="477">
                  <c:v>953.99999984074384</c:v>
                </c:pt>
                <c:pt idx="478">
                  <c:v>956.00000030826777</c:v>
                </c:pt>
                <c:pt idx="479">
                  <c:v>958.00000014714897</c:v>
                </c:pt>
                <c:pt idx="480">
                  <c:v>959.99999998603016</c:v>
                </c:pt>
                <c:pt idx="481">
                  <c:v>962.00000045355409</c:v>
                </c:pt>
                <c:pt idx="482">
                  <c:v>964.00000029243529</c:v>
                </c:pt>
                <c:pt idx="483">
                  <c:v>966.00000013131648</c:v>
                </c:pt>
                <c:pt idx="484">
                  <c:v>967.99999997019768</c:v>
                </c:pt>
                <c:pt idx="485">
                  <c:v>970.00000043772161</c:v>
                </c:pt>
                <c:pt idx="486">
                  <c:v>972.0000002766028</c:v>
                </c:pt>
                <c:pt idx="487">
                  <c:v>974.000000115484</c:v>
                </c:pt>
                <c:pt idx="488">
                  <c:v>975.99999995436519</c:v>
                </c:pt>
                <c:pt idx="489">
                  <c:v>978.00000042188913</c:v>
                </c:pt>
                <c:pt idx="490">
                  <c:v>980.00000026077032</c:v>
                </c:pt>
                <c:pt idx="491">
                  <c:v>982.00000009965152</c:v>
                </c:pt>
                <c:pt idx="492">
                  <c:v>983.99999993853271</c:v>
                </c:pt>
                <c:pt idx="493">
                  <c:v>986.00000040605664</c:v>
                </c:pt>
                <c:pt idx="494">
                  <c:v>988.00000024493784</c:v>
                </c:pt>
                <c:pt idx="495">
                  <c:v>990.00000008381903</c:v>
                </c:pt>
                <c:pt idx="496">
                  <c:v>991.99999992270023</c:v>
                </c:pt>
                <c:pt idx="497">
                  <c:v>994.00000039022416</c:v>
                </c:pt>
                <c:pt idx="498">
                  <c:v>996.00000022910535</c:v>
                </c:pt>
                <c:pt idx="499">
                  <c:v>998.00000006798655</c:v>
                </c:pt>
                <c:pt idx="500">
                  <c:v>999.99999990686774</c:v>
                </c:pt>
                <c:pt idx="501">
                  <c:v>1002.0000003743917</c:v>
                </c:pt>
                <c:pt idx="502">
                  <c:v>1004.0000002132729</c:v>
                </c:pt>
                <c:pt idx="503">
                  <c:v>1006.0000000521541</c:v>
                </c:pt>
                <c:pt idx="504">
                  <c:v>1007.9999998910353</c:v>
                </c:pt>
                <c:pt idx="505">
                  <c:v>1010.0000003585592</c:v>
                </c:pt>
                <c:pt idx="506">
                  <c:v>1012.0000001974404</c:v>
                </c:pt>
                <c:pt idx="507">
                  <c:v>1014.0000000363216</c:v>
                </c:pt>
                <c:pt idx="508">
                  <c:v>1015.9999998752028</c:v>
                </c:pt>
                <c:pt idx="509">
                  <c:v>1018.0000003427267</c:v>
                </c:pt>
                <c:pt idx="510">
                  <c:v>1020.0000001816079</c:v>
                </c:pt>
                <c:pt idx="511">
                  <c:v>1022.0000000204891</c:v>
                </c:pt>
                <c:pt idx="512">
                  <c:v>1023.9999998593703</c:v>
                </c:pt>
                <c:pt idx="513">
                  <c:v>1026.0000003268942</c:v>
                </c:pt>
                <c:pt idx="514">
                  <c:v>1028.0000001657754</c:v>
                </c:pt>
                <c:pt idx="515">
                  <c:v>1030.0000000046566</c:v>
                </c:pt>
                <c:pt idx="516">
                  <c:v>1031.9999998435378</c:v>
                </c:pt>
                <c:pt idx="517">
                  <c:v>1034.0000003110617</c:v>
                </c:pt>
                <c:pt idx="518">
                  <c:v>1036.0000001499429</c:v>
                </c:pt>
                <c:pt idx="519">
                  <c:v>1037.9999999888241</c:v>
                </c:pt>
                <c:pt idx="520">
                  <c:v>1039.9999998277053</c:v>
                </c:pt>
                <c:pt idx="521">
                  <c:v>1042.0000002952293</c:v>
                </c:pt>
                <c:pt idx="522">
                  <c:v>1044.0000001341105</c:v>
                </c:pt>
                <c:pt idx="523">
                  <c:v>1045.9999999729916</c:v>
                </c:pt>
                <c:pt idx="524">
                  <c:v>1048.0000004405156</c:v>
                </c:pt>
                <c:pt idx="525">
                  <c:v>1050.0000002793968</c:v>
                </c:pt>
                <c:pt idx="526">
                  <c:v>1052.000000118278</c:v>
                </c:pt>
                <c:pt idx="527">
                  <c:v>1053.9999999571592</c:v>
                </c:pt>
                <c:pt idx="528">
                  <c:v>1056.0000004246831</c:v>
                </c:pt>
                <c:pt idx="529">
                  <c:v>1058.0000002635643</c:v>
                </c:pt>
                <c:pt idx="530">
                  <c:v>1060.0000001024455</c:v>
                </c:pt>
                <c:pt idx="531">
                  <c:v>1061.9999999413267</c:v>
                </c:pt>
                <c:pt idx="532">
                  <c:v>1064.0000004088506</c:v>
                </c:pt>
                <c:pt idx="533">
                  <c:v>1066.0000002477318</c:v>
                </c:pt>
                <c:pt idx="534">
                  <c:v>1068.000000086613</c:v>
                </c:pt>
                <c:pt idx="535">
                  <c:v>1069.9999999254942</c:v>
                </c:pt>
                <c:pt idx="536">
                  <c:v>1072.0000003930181</c:v>
                </c:pt>
                <c:pt idx="537">
                  <c:v>1074.0000002318993</c:v>
                </c:pt>
                <c:pt idx="538">
                  <c:v>1076.0000000707805</c:v>
                </c:pt>
                <c:pt idx="539">
                  <c:v>1077.9999999096617</c:v>
                </c:pt>
                <c:pt idx="540">
                  <c:v>1080.0000003771856</c:v>
                </c:pt>
                <c:pt idx="541">
                  <c:v>1082.0000002160668</c:v>
                </c:pt>
                <c:pt idx="542">
                  <c:v>1084.000000054948</c:v>
                </c:pt>
                <c:pt idx="543">
                  <c:v>1085.9999998938292</c:v>
                </c:pt>
                <c:pt idx="544">
                  <c:v>1088.0000003613532</c:v>
                </c:pt>
                <c:pt idx="545">
                  <c:v>1090.0000002002344</c:v>
                </c:pt>
                <c:pt idx="546">
                  <c:v>1092.0000000391155</c:v>
                </c:pt>
                <c:pt idx="547">
                  <c:v>1093.9999998779967</c:v>
                </c:pt>
                <c:pt idx="548">
                  <c:v>1096.0000003455207</c:v>
                </c:pt>
                <c:pt idx="549">
                  <c:v>1098.0000001844019</c:v>
                </c:pt>
                <c:pt idx="550">
                  <c:v>1100.0000000232831</c:v>
                </c:pt>
                <c:pt idx="551">
                  <c:v>1101.9999998621643</c:v>
                </c:pt>
                <c:pt idx="552">
                  <c:v>1104.0000003296882</c:v>
                </c:pt>
                <c:pt idx="553">
                  <c:v>1106.0000001685694</c:v>
                </c:pt>
                <c:pt idx="554">
                  <c:v>1108.0000000074506</c:v>
                </c:pt>
                <c:pt idx="555">
                  <c:v>1109.9999998463318</c:v>
                </c:pt>
                <c:pt idx="556">
                  <c:v>1112.0000003138557</c:v>
                </c:pt>
                <c:pt idx="557">
                  <c:v>1114.0000001527369</c:v>
                </c:pt>
                <c:pt idx="558">
                  <c:v>1115.9999999916181</c:v>
                </c:pt>
                <c:pt idx="559">
                  <c:v>1117.9999998304993</c:v>
                </c:pt>
                <c:pt idx="560">
                  <c:v>1120.0000002980232</c:v>
                </c:pt>
                <c:pt idx="561">
                  <c:v>1122.0000001369044</c:v>
                </c:pt>
                <c:pt idx="562">
                  <c:v>1123.9999999757856</c:v>
                </c:pt>
                <c:pt idx="563">
                  <c:v>1126.0000004433095</c:v>
                </c:pt>
                <c:pt idx="564">
                  <c:v>1128.0000002821907</c:v>
                </c:pt>
                <c:pt idx="565">
                  <c:v>1130.0000001210719</c:v>
                </c:pt>
                <c:pt idx="566">
                  <c:v>1131.9999999599531</c:v>
                </c:pt>
                <c:pt idx="567">
                  <c:v>1134.0000004274771</c:v>
                </c:pt>
                <c:pt idx="568">
                  <c:v>1136.0000002663583</c:v>
                </c:pt>
                <c:pt idx="569">
                  <c:v>1138.0000001052395</c:v>
                </c:pt>
                <c:pt idx="570">
                  <c:v>1139.9999999441206</c:v>
                </c:pt>
                <c:pt idx="571">
                  <c:v>1142.0000004116446</c:v>
                </c:pt>
                <c:pt idx="572">
                  <c:v>1144.0000002505258</c:v>
                </c:pt>
                <c:pt idx="573">
                  <c:v>1146.000000089407</c:v>
                </c:pt>
                <c:pt idx="574">
                  <c:v>1147.9999999282882</c:v>
                </c:pt>
                <c:pt idx="575">
                  <c:v>1150.0000003958121</c:v>
                </c:pt>
                <c:pt idx="576">
                  <c:v>1152.0000002346933</c:v>
                </c:pt>
                <c:pt idx="577">
                  <c:v>1154.0000000735745</c:v>
                </c:pt>
                <c:pt idx="578">
                  <c:v>1155.9999999124557</c:v>
                </c:pt>
                <c:pt idx="579">
                  <c:v>1158.0000003799796</c:v>
                </c:pt>
                <c:pt idx="580">
                  <c:v>1160.0000002188608</c:v>
                </c:pt>
                <c:pt idx="581">
                  <c:v>1162.000000057742</c:v>
                </c:pt>
                <c:pt idx="582">
                  <c:v>1163.9999998966232</c:v>
                </c:pt>
                <c:pt idx="583">
                  <c:v>1166.0000003641471</c:v>
                </c:pt>
                <c:pt idx="584">
                  <c:v>1168.0000002030283</c:v>
                </c:pt>
                <c:pt idx="585">
                  <c:v>1170.0000000419095</c:v>
                </c:pt>
                <c:pt idx="586">
                  <c:v>1171.9999998807907</c:v>
                </c:pt>
                <c:pt idx="587">
                  <c:v>1174.0000003483146</c:v>
                </c:pt>
                <c:pt idx="588">
                  <c:v>1176.0000001871958</c:v>
                </c:pt>
                <c:pt idx="589">
                  <c:v>1178.000000026077</c:v>
                </c:pt>
                <c:pt idx="590">
                  <c:v>1179.9999998649582</c:v>
                </c:pt>
                <c:pt idx="591">
                  <c:v>1182.0000003324822</c:v>
                </c:pt>
                <c:pt idx="592">
                  <c:v>1184.0000001713634</c:v>
                </c:pt>
                <c:pt idx="593">
                  <c:v>1186.0000000102445</c:v>
                </c:pt>
                <c:pt idx="594">
                  <c:v>1187.9999998491257</c:v>
                </c:pt>
                <c:pt idx="595">
                  <c:v>1190.0000003166497</c:v>
                </c:pt>
                <c:pt idx="596">
                  <c:v>1192.0000001555309</c:v>
                </c:pt>
                <c:pt idx="597">
                  <c:v>1193.9999999944121</c:v>
                </c:pt>
                <c:pt idx="598">
                  <c:v>1195.9999998332933</c:v>
                </c:pt>
                <c:pt idx="599">
                  <c:v>1198.0000003008172</c:v>
                </c:pt>
                <c:pt idx="600">
                  <c:v>1200.0000001396984</c:v>
                </c:pt>
                <c:pt idx="601">
                  <c:v>1201.9999999785796</c:v>
                </c:pt>
                <c:pt idx="602">
                  <c:v>1204.0000004461035</c:v>
                </c:pt>
                <c:pt idx="603">
                  <c:v>1206.0000002849847</c:v>
                </c:pt>
                <c:pt idx="604">
                  <c:v>1208.0000001238659</c:v>
                </c:pt>
                <c:pt idx="605">
                  <c:v>1209.9999999627471</c:v>
                </c:pt>
                <c:pt idx="606">
                  <c:v>1212.000000430271</c:v>
                </c:pt>
                <c:pt idx="607">
                  <c:v>1214.0000002691522</c:v>
                </c:pt>
                <c:pt idx="608">
                  <c:v>1216.0000001080334</c:v>
                </c:pt>
                <c:pt idx="609">
                  <c:v>1217.9999999469146</c:v>
                </c:pt>
                <c:pt idx="610">
                  <c:v>1220.0000004144385</c:v>
                </c:pt>
                <c:pt idx="611">
                  <c:v>1222.0000002533197</c:v>
                </c:pt>
                <c:pt idx="612">
                  <c:v>1224.0000000922009</c:v>
                </c:pt>
                <c:pt idx="613">
                  <c:v>1225.9999999310821</c:v>
                </c:pt>
                <c:pt idx="614">
                  <c:v>1228.0000003986061</c:v>
                </c:pt>
                <c:pt idx="615">
                  <c:v>1230.0000002374873</c:v>
                </c:pt>
                <c:pt idx="616">
                  <c:v>1232.0000000763685</c:v>
                </c:pt>
                <c:pt idx="617">
                  <c:v>1233.9999999152496</c:v>
                </c:pt>
                <c:pt idx="618">
                  <c:v>1236.0000003827736</c:v>
                </c:pt>
                <c:pt idx="619">
                  <c:v>1238.0000002216548</c:v>
                </c:pt>
                <c:pt idx="620">
                  <c:v>1240.000000060536</c:v>
                </c:pt>
                <c:pt idx="621">
                  <c:v>1241.9999998994172</c:v>
                </c:pt>
                <c:pt idx="622">
                  <c:v>1244.0000003669411</c:v>
                </c:pt>
                <c:pt idx="623">
                  <c:v>1246.0000002058223</c:v>
                </c:pt>
                <c:pt idx="624">
                  <c:v>1248.0000000447035</c:v>
                </c:pt>
                <c:pt idx="625">
                  <c:v>1249.9999998835847</c:v>
                </c:pt>
                <c:pt idx="626">
                  <c:v>1252.0000003511086</c:v>
                </c:pt>
                <c:pt idx="627">
                  <c:v>1254.0000001899898</c:v>
                </c:pt>
                <c:pt idx="628">
                  <c:v>1256.000000028871</c:v>
                </c:pt>
                <c:pt idx="629">
                  <c:v>1257.9999998677522</c:v>
                </c:pt>
                <c:pt idx="630">
                  <c:v>1260.0000003352761</c:v>
                </c:pt>
                <c:pt idx="631">
                  <c:v>1262.0000001741573</c:v>
                </c:pt>
                <c:pt idx="632">
                  <c:v>1264.0000000130385</c:v>
                </c:pt>
                <c:pt idx="633">
                  <c:v>1265.9999998519197</c:v>
                </c:pt>
                <c:pt idx="634">
                  <c:v>1268.0000003194436</c:v>
                </c:pt>
                <c:pt idx="635">
                  <c:v>1270.0000001583248</c:v>
                </c:pt>
                <c:pt idx="636">
                  <c:v>1271.999999997206</c:v>
                </c:pt>
                <c:pt idx="637">
                  <c:v>1273.9999998360872</c:v>
                </c:pt>
                <c:pt idx="638">
                  <c:v>1276.0000003036112</c:v>
                </c:pt>
                <c:pt idx="639">
                  <c:v>1278.0000001424924</c:v>
                </c:pt>
                <c:pt idx="640">
                  <c:v>1279.9999999813735</c:v>
                </c:pt>
                <c:pt idx="641">
                  <c:v>1282.0000004488975</c:v>
                </c:pt>
                <c:pt idx="642">
                  <c:v>1284.0000002877787</c:v>
                </c:pt>
                <c:pt idx="643">
                  <c:v>1286.0000001266599</c:v>
                </c:pt>
                <c:pt idx="644">
                  <c:v>1287.9999999655411</c:v>
                </c:pt>
                <c:pt idx="645">
                  <c:v>1290.000000433065</c:v>
                </c:pt>
                <c:pt idx="646">
                  <c:v>1292.0000002719462</c:v>
                </c:pt>
                <c:pt idx="647">
                  <c:v>1294.0000001108274</c:v>
                </c:pt>
                <c:pt idx="648">
                  <c:v>1295.9999999497086</c:v>
                </c:pt>
                <c:pt idx="649">
                  <c:v>1298.0000004172325</c:v>
                </c:pt>
                <c:pt idx="650">
                  <c:v>1300.0000002561137</c:v>
                </c:pt>
                <c:pt idx="651">
                  <c:v>1302.0000000949949</c:v>
                </c:pt>
                <c:pt idx="652">
                  <c:v>1303.9999999338761</c:v>
                </c:pt>
                <c:pt idx="653">
                  <c:v>1306.0000004014</c:v>
                </c:pt>
                <c:pt idx="654">
                  <c:v>1308.0000002402812</c:v>
                </c:pt>
                <c:pt idx="655">
                  <c:v>1310.0000000791624</c:v>
                </c:pt>
                <c:pt idx="656">
                  <c:v>1311.9999999180436</c:v>
                </c:pt>
                <c:pt idx="657">
                  <c:v>1314.0000003855675</c:v>
                </c:pt>
                <c:pt idx="658">
                  <c:v>1316.0000002244487</c:v>
                </c:pt>
                <c:pt idx="659">
                  <c:v>1318.0000000633299</c:v>
                </c:pt>
                <c:pt idx="660">
                  <c:v>1319.9999999022111</c:v>
                </c:pt>
                <c:pt idx="661">
                  <c:v>1322.0000003697351</c:v>
                </c:pt>
                <c:pt idx="662">
                  <c:v>1324.0000002086163</c:v>
                </c:pt>
                <c:pt idx="663">
                  <c:v>1326.0000000474975</c:v>
                </c:pt>
                <c:pt idx="664">
                  <c:v>1327.9999998863786</c:v>
                </c:pt>
                <c:pt idx="665">
                  <c:v>1330.0000003539026</c:v>
                </c:pt>
                <c:pt idx="666">
                  <c:v>1332.0000001927838</c:v>
                </c:pt>
                <c:pt idx="667">
                  <c:v>1334.000000031665</c:v>
                </c:pt>
                <c:pt idx="668">
                  <c:v>1335.9999998705462</c:v>
                </c:pt>
                <c:pt idx="669">
                  <c:v>1338.0000003380701</c:v>
                </c:pt>
                <c:pt idx="670">
                  <c:v>1340.0000001769513</c:v>
                </c:pt>
                <c:pt idx="671">
                  <c:v>1342.0000000158325</c:v>
                </c:pt>
                <c:pt idx="672">
                  <c:v>1343.9999998547137</c:v>
                </c:pt>
                <c:pt idx="673">
                  <c:v>1346.0000003222376</c:v>
                </c:pt>
                <c:pt idx="674">
                  <c:v>1348.0000001611188</c:v>
                </c:pt>
                <c:pt idx="675">
                  <c:v>1350</c:v>
                </c:pt>
                <c:pt idx="676">
                  <c:v>1351.9999998388812</c:v>
                </c:pt>
                <c:pt idx="677">
                  <c:v>1354.0000003064051</c:v>
                </c:pt>
                <c:pt idx="678">
                  <c:v>1356.0000001452863</c:v>
                </c:pt>
                <c:pt idx="679">
                  <c:v>1357.9999999841675</c:v>
                </c:pt>
                <c:pt idx="680">
                  <c:v>1360.0000004516914</c:v>
                </c:pt>
                <c:pt idx="681">
                  <c:v>1362.0000002905726</c:v>
                </c:pt>
                <c:pt idx="682">
                  <c:v>1364.0000001294538</c:v>
                </c:pt>
                <c:pt idx="683">
                  <c:v>1365.999999968335</c:v>
                </c:pt>
                <c:pt idx="684">
                  <c:v>1368.000000435859</c:v>
                </c:pt>
                <c:pt idx="685">
                  <c:v>1370.0000002747402</c:v>
                </c:pt>
                <c:pt idx="686">
                  <c:v>1372.0000001136214</c:v>
                </c:pt>
                <c:pt idx="687">
                  <c:v>1373.9999999525025</c:v>
                </c:pt>
                <c:pt idx="688">
                  <c:v>1376.0000004200265</c:v>
                </c:pt>
                <c:pt idx="689">
                  <c:v>1378.0000002589077</c:v>
                </c:pt>
                <c:pt idx="690">
                  <c:v>1380.0000000977889</c:v>
                </c:pt>
                <c:pt idx="691">
                  <c:v>1381.9999999366701</c:v>
                </c:pt>
                <c:pt idx="692">
                  <c:v>1384.000000404194</c:v>
                </c:pt>
                <c:pt idx="693">
                  <c:v>1386.0000002430752</c:v>
                </c:pt>
                <c:pt idx="694">
                  <c:v>1388.0000000819564</c:v>
                </c:pt>
                <c:pt idx="695">
                  <c:v>1389.9999999208376</c:v>
                </c:pt>
                <c:pt idx="696">
                  <c:v>1392.0000003883615</c:v>
                </c:pt>
                <c:pt idx="697">
                  <c:v>1394.0000002272427</c:v>
                </c:pt>
                <c:pt idx="698">
                  <c:v>1396.0000000661239</c:v>
                </c:pt>
                <c:pt idx="699">
                  <c:v>1397.9999999050051</c:v>
                </c:pt>
                <c:pt idx="700">
                  <c:v>1400.000000372529</c:v>
                </c:pt>
                <c:pt idx="701">
                  <c:v>1402.0000002114102</c:v>
                </c:pt>
                <c:pt idx="702">
                  <c:v>1404.0000000502914</c:v>
                </c:pt>
                <c:pt idx="703">
                  <c:v>1405.9999998891726</c:v>
                </c:pt>
                <c:pt idx="704">
                  <c:v>1408.0000003566965</c:v>
                </c:pt>
                <c:pt idx="705">
                  <c:v>1410.0000001955777</c:v>
                </c:pt>
                <c:pt idx="706">
                  <c:v>1412.0000000344589</c:v>
                </c:pt>
                <c:pt idx="707">
                  <c:v>1413.9999998733401</c:v>
                </c:pt>
                <c:pt idx="708">
                  <c:v>1416.0000003408641</c:v>
                </c:pt>
                <c:pt idx="709">
                  <c:v>1418.0000001797453</c:v>
                </c:pt>
                <c:pt idx="710">
                  <c:v>1420.0000000186265</c:v>
                </c:pt>
                <c:pt idx="711">
                  <c:v>1421.9999998575076</c:v>
                </c:pt>
                <c:pt idx="712">
                  <c:v>1424.0000003250316</c:v>
                </c:pt>
                <c:pt idx="713">
                  <c:v>1426.0000001639128</c:v>
                </c:pt>
                <c:pt idx="714">
                  <c:v>1428.000000002794</c:v>
                </c:pt>
                <c:pt idx="715">
                  <c:v>1429.9999998416752</c:v>
                </c:pt>
                <c:pt idx="716">
                  <c:v>1432.0000003091991</c:v>
                </c:pt>
                <c:pt idx="717">
                  <c:v>1434.0000001480803</c:v>
                </c:pt>
                <c:pt idx="718">
                  <c:v>1435.9999999869615</c:v>
                </c:pt>
                <c:pt idx="719">
                  <c:v>1437.9999998258427</c:v>
                </c:pt>
              </c:numCache>
            </c:numRef>
          </c:xVal>
          <c:yVal>
            <c:numRef>
              <c:f>'INJ Q2'!$G$20:$G$739</c:f>
              <c:numCache>
                <c:formatCode>0.00</c:formatCode>
                <c:ptCount val="72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9.9999999999997868E-2</c:v>
                </c:pt>
                <c:pt idx="5">
                  <c:v>0</c:v>
                </c:pt>
                <c:pt idx="6">
                  <c:v>9.9999999999997868E-2</c:v>
                </c:pt>
                <c:pt idx="7">
                  <c:v>9.9999999999997868E-2</c:v>
                </c:pt>
                <c:pt idx="8">
                  <c:v>0</c:v>
                </c:pt>
                <c:pt idx="9">
                  <c:v>5.0000000000000711E-2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9.9999999999997868E-2</c:v>
                </c:pt>
                <c:pt idx="23">
                  <c:v>0</c:v>
                </c:pt>
                <c:pt idx="24">
                  <c:v>0</c:v>
                </c:pt>
                <c:pt idx="25">
                  <c:v>9.9999999999997868E-2</c:v>
                </c:pt>
                <c:pt idx="26">
                  <c:v>5.0000000000000711E-2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5.0000000000000711E-2</c:v>
                </c:pt>
                <c:pt idx="38">
                  <c:v>0</c:v>
                </c:pt>
                <c:pt idx="39">
                  <c:v>0</c:v>
                </c:pt>
                <c:pt idx="40">
                  <c:v>5.0000000000000711E-2</c:v>
                </c:pt>
                <c:pt idx="41">
                  <c:v>5.0000000000000711E-2</c:v>
                </c:pt>
                <c:pt idx="42">
                  <c:v>5.0000000000000711E-2</c:v>
                </c:pt>
                <c:pt idx="43">
                  <c:v>0.14999999999999858</c:v>
                </c:pt>
                <c:pt idx="44">
                  <c:v>9.9999999999997868E-2</c:v>
                </c:pt>
                <c:pt idx="45">
                  <c:v>0.14999999999999858</c:v>
                </c:pt>
                <c:pt idx="46">
                  <c:v>0.30000000000000071</c:v>
                </c:pt>
                <c:pt idx="47">
                  <c:v>0.5</c:v>
                </c:pt>
                <c:pt idx="48">
                  <c:v>1</c:v>
                </c:pt>
                <c:pt idx="49">
                  <c:v>1.6499999999999986</c:v>
                </c:pt>
                <c:pt idx="50">
                  <c:v>2.4499999999999993</c:v>
                </c:pt>
                <c:pt idx="51">
                  <c:v>3.6499999999999986</c:v>
                </c:pt>
                <c:pt idx="52">
                  <c:v>4.8999999999999986</c:v>
                </c:pt>
                <c:pt idx="53">
                  <c:v>6.8499999999999979</c:v>
                </c:pt>
                <c:pt idx="54">
                  <c:v>7.9499999999999993</c:v>
                </c:pt>
                <c:pt idx="55">
                  <c:v>13.249999999999996</c:v>
                </c:pt>
                <c:pt idx="56">
                  <c:v>11.95</c:v>
                </c:pt>
                <c:pt idx="57">
                  <c:v>13.349999999999998</c:v>
                </c:pt>
                <c:pt idx="58">
                  <c:v>14.7</c:v>
                </c:pt>
                <c:pt idx="59">
                  <c:v>16.05</c:v>
                </c:pt>
                <c:pt idx="60">
                  <c:v>17.349999999999998</c:v>
                </c:pt>
                <c:pt idx="61">
                  <c:v>17.249999999999996</c:v>
                </c:pt>
                <c:pt idx="62">
                  <c:v>18.400000000000002</c:v>
                </c:pt>
                <c:pt idx="63">
                  <c:v>17.900000000000002</c:v>
                </c:pt>
                <c:pt idx="64">
                  <c:v>18.2</c:v>
                </c:pt>
                <c:pt idx="65">
                  <c:v>19.650000000000002</c:v>
                </c:pt>
                <c:pt idx="66">
                  <c:v>19.499999999999996</c:v>
                </c:pt>
                <c:pt idx="67">
                  <c:v>20.099999999999998</c:v>
                </c:pt>
                <c:pt idx="68">
                  <c:v>19.05</c:v>
                </c:pt>
                <c:pt idx="69">
                  <c:v>19.749999999999996</c:v>
                </c:pt>
                <c:pt idx="70">
                  <c:v>19.7</c:v>
                </c:pt>
                <c:pt idx="71">
                  <c:v>19.400000000000002</c:v>
                </c:pt>
                <c:pt idx="72">
                  <c:v>19.650000000000002</c:v>
                </c:pt>
                <c:pt idx="73">
                  <c:v>19.7</c:v>
                </c:pt>
                <c:pt idx="74">
                  <c:v>19.7</c:v>
                </c:pt>
                <c:pt idx="75">
                  <c:v>19.2</c:v>
                </c:pt>
                <c:pt idx="76">
                  <c:v>19.400000000000002</c:v>
                </c:pt>
                <c:pt idx="77">
                  <c:v>19.999999999999996</c:v>
                </c:pt>
                <c:pt idx="78">
                  <c:v>20.2</c:v>
                </c:pt>
                <c:pt idx="79">
                  <c:v>20.8</c:v>
                </c:pt>
                <c:pt idx="80">
                  <c:v>20.349999999999998</c:v>
                </c:pt>
                <c:pt idx="81">
                  <c:v>22.849999999999998</c:v>
                </c:pt>
                <c:pt idx="82">
                  <c:v>21.900000000000002</c:v>
                </c:pt>
                <c:pt idx="83">
                  <c:v>21.900000000000002</c:v>
                </c:pt>
                <c:pt idx="84">
                  <c:v>22.999999999999996</c:v>
                </c:pt>
                <c:pt idx="85">
                  <c:v>23.099999999999998</c:v>
                </c:pt>
                <c:pt idx="86">
                  <c:v>23.05</c:v>
                </c:pt>
                <c:pt idx="87">
                  <c:v>22.749999999999996</c:v>
                </c:pt>
                <c:pt idx="88">
                  <c:v>22.349999999999998</c:v>
                </c:pt>
                <c:pt idx="89">
                  <c:v>22.349999999999998</c:v>
                </c:pt>
                <c:pt idx="90">
                  <c:v>22.150000000000002</c:v>
                </c:pt>
                <c:pt idx="91">
                  <c:v>21.999999999999996</c:v>
                </c:pt>
                <c:pt idx="92">
                  <c:v>22.05</c:v>
                </c:pt>
                <c:pt idx="93">
                  <c:v>21.349999999999998</c:v>
                </c:pt>
                <c:pt idx="94">
                  <c:v>21.45</c:v>
                </c:pt>
                <c:pt idx="95">
                  <c:v>20.749999999999996</c:v>
                </c:pt>
                <c:pt idx="96">
                  <c:v>20.3</c:v>
                </c:pt>
                <c:pt idx="97">
                  <c:v>19.7</c:v>
                </c:pt>
                <c:pt idx="98">
                  <c:v>19.499999999999996</c:v>
                </c:pt>
                <c:pt idx="99">
                  <c:v>18.849999999999998</c:v>
                </c:pt>
                <c:pt idx="100">
                  <c:v>18.45</c:v>
                </c:pt>
                <c:pt idx="101">
                  <c:v>17.849999999999998</c:v>
                </c:pt>
                <c:pt idx="102">
                  <c:v>17.45</c:v>
                </c:pt>
                <c:pt idx="103">
                  <c:v>17.150000000000002</c:v>
                </c:pt>
                <c:pt idx="104">
                  <c:v>16.8</c:v>
                </c:pt>
                <c:pt idx="105">
                  <c:v>16.45</c:v>
                </c:pt>
                <c:pt idx="106">
                  <c:v>16.150000000000002</c:v>
                </c:pt>
                <c:pt idx="107">
                  <c:v>16.150000000000002</c:v>
                </c:pt>
                <c:pt idx="108">
                  <c:v>16.05</c:v>
                </c:pt>
                <c:pt idx="109">
                  <c:v>15.95</c:v>
                </c:pt>
                <c:pt idx="110">
                  <c:v>15.749999999999996</c:v>
                </c:pt>
                <c:pt idx="111">
                  <c:v>15.599999999999998</c:v>
                </c:pt>
                <c:pt idx="112">
                  <c:v>15.499999999999996</c:v>
                </c:pt>
                <c:pt idx="113">
                  <c:v>15.349999999999998</c:v>
                </c:pt>
                <c:pt idx="114">
                  <c:v>15.099999999999998</c:v>
                </c:pt>
                <c:pt idx="115">
                  <c:v>14.900000000000002</c:v>
                </c:pt>
                <c:pt idx="116">
                  <c:v>14.499999999999996</c:v>
                </c:pt>
                <c:pt idx="117">
                  <c:v>14.400000000000002</c:v>
                </c:pt>
                <c:pt idx="118">
                  <c:v>13.95</c:v>
                </c:pt>
                <c:pt idx="119">
                  <c:v>13.749999999999996</c:v>
                </c:pt>
                <c:pt idx="120">
                  <c:v>13.499999999999996</c:v>
                </c:pt>
                <c:pt idx="121">
                  <c:v>13.3</c:v>
                </c:pt>
                <c:pt idx="122">
                  <c:v>13.149999999999999</c:v>
                </c:pt>
                <c:pt idx="123">
                  <c:v>13.099999999999998</c:v>
                </c:pt>
                <c:pt idx="124">
                  <c:v>12.95</c:v>
                </c:pt>
                <c:pt idx="125">
                  <c:v>13.099999999999998</c:v>
                </c:pt>
                <c:pt idx="126">
                  <c:v>12.849999999999998</c:v>
                </c:pt>
                <c:pt idx="127">
                  <c:v>12.95</c:v>
                </c:pt>
                <c:pt idx="128">
                  <c:v>12.849999999999998</c:v>
                </c:pt>
                <c:pt idx="129">
                  <c:v>12.95</c:v>
                </c:pt>
                <c:pt idx="130">
                  <c:v>12.95</c:v>
                </c:pt>
                <c:pt idx="131">
                  <c:v>12.849999999999998</c:v>
                </c:pt>
                <c:pt idx="132">
                  <c:v>12.95</c:v>
                </c:pt>
                <c:pt idx="133">
                  <c:v>13</c:v>
                </c:pt>
                <c:pt idx="134">
                  <c:v>13.149999999999999</c:v>
                </c:pt>
                <c:pt idx="135">
                  <c:v>12.95</c:v>
                </c:pt>
                <c:pt idx="136">
                  <c:v>13.099999999999998</c:v>
                </c:pt>
                <c:pt idx="137">
                  <c:v>13.099999999999998</c:v>
                </c:pt>
                <c:pt idx="138">
                  <c:v>12.95</c:v>
                </c:pt>
                <c:pt idx="139">
                  <c:v>12.649999999999999</c:v>
                </c:pt>
                <c:pt idx="140">
                  <c:v>12.5</c:v>
                </c:pt>
                <c:pt idx="141">
                  <c:v>12.3</c:v>
                </c:pt>
                <c:pt idx="142">
                  <c:v>11.95</c:v>
                </c:pt>
                <c:pt idx="143">
                  <c:v>11.399999999999999</c:v>
                </c:pt>
                <c:pt idx="144">
                  <c:v>11.5</c:v>
                </c:pt>
                <c:pt idx="145">
                  <c:v>11.349999999999998</c:v>
                </c:pt>
                <c:pt idx="146">
                  <c:v>11</c:v>
                </c:pt>
                <c:pt idx="147">
                  <c:v>10.8</c:v>
                </c:pt>
                <c:pt idx="148">
                  <c:v>10.45</c:v>
                </c:pt>
                <c:pt idx="149">
                  <c:v>10.399999999999999</c:v>
                </c:pt>
                <c:pt idx="150">
                  <c:v>10</c:v>
                </c:pt>
                <c:pt idx="151">
                  <c:v>9.8000000000000007</c:v>
                </c:pt>
                <c:pt idx="152">
                  <c:v>9.5500000000000007</c:v>
                </c:pt>
                <c:pt idx="153">
                  <c:v>9.3000000000000007</c:v>
                </c:pt>
                <c:pt idx="154">
                  <c:v>9</c:v>
                </c:pt>
                <c:pt idx="155">
                  <c:v>8.75</c:v>
                </c:pt>
                <c:pt idx="156">
                  <c:v>8.5999999999999979</c:v>
                </c:pt>
                <c:pt idx="157">
                  <c:v>8.3000000000000007</c:v>
                </c:pt>
                <c:pt idx="158">
                  <c:v>8.1499999999999986</c:v>
                </c:pt>
                <c:pt idx="159">
                  <c:v>7.9499999999999993</c:v>
                </c:pt>
                <c:pt idx="160">
                  <c:v>7.9499999999999993</c:v>
                </c:pt>
                <c:pt idx="161">
                  <c:v>7.8999999999999986</c:v>
                </c:pt>
                <c:pt idx="162">
                  <c:v>7.8999999999999986</c:v>
                </c:pt>
                <c:pt idx="163">
                  <c:v>7.75</c:v>
                </c:pt>
                <c:pt idx="164">
                  <c:v>7.5500000000000007</c:v>
                </c:pt>
                <c:pt idx="165">
                  <c:v>7.4499999999999993</c:v>
                </c:pt>
                <c:pt idx="166">
                  <c:v>7.3999999999999986</c:v>
                </c:pt>
                <c:pt idx="167">
                  <c:v>7.3999999999999986</c:v>
                </c:pt>
                <c:pt idx="168">
                  <c:v>6.9499999999999993</c:v>
                </c:pt>
                <c:pt idx="169">
                  <c:v>6.9499999999999993</c:v>
                </c:pt>
                <c:pt idx="170">
                  <c:v>6.9499999999999993</c:v>
                </c:pt>
                <c:pt idx="171">
                  <c:v>6.75</c:v>
                </c:pt>
                <c:pt idx="172">
                  <c:v>6.75</c:v>
                </c:pt>
                <c:pt idx="173">
                  <c:v>6.5500000000000007</c:v>
                </c:pt>
                <c:pt idx="174">
                  <c:v>6.4499999999999993</c:v>
                </c:pt>
                <c:pt idx="175">
                  <c:v>6.3999999999999986</c:v>
                </c:pt>
                <c:pt idx="176">
                  <c:v>6.3000000000000007</c:v>
                </c:pt>
                <c:pt idx="177">
                  <c:v>6.25</c:v>
                </c:pt>
                <c:pt idx="178">
                  <c:v>6.0999999999999979</c:v>
                </c:pt>
                <c:pt idx="179">
                  <c:v>6.0999999999999979</c:v>
                </c:pt>
                <c:pt idx="180">
                  <c:v>6.0500000000000007</c:v>
                </c:pt>
                <c:pt idx="181">
                  <c:v>6.0999999999999979</c:v>
                </c:pt>
                <c:pt idx="182">
                  <c:v>5.9499999999999993</c:v>
                </c:pt>
                <c:pt idx="183">
                  <c:v>6.0999999999999979</c:v>
                </c:pt>
                <c:pt idx="184">
                  <c:v>5.9499999999999993</c:v>
                </c:pt>
                <c:pt idx="185">
                  <c:v>6.0500000000000007</c:v>
                </c:pt>
                <c:pt idx="186">
                  <c:v>6.0500000000000007</c:v>
                </c:pt>
                <c:pt idx="187">
                  <c:v>6.0500000000000007</c:v>
                </c:pt>
                <c:pt idx="188">
                  <c:v>6.0500000000000007</c:v>
                </c:pt>
                <c:pt idx="189">
                  <c:v>5.9499999999999993</c:v>
                </c:pt>
                <c:pt idx="190">
                  <c:v>5.8999999999999986</c:v>
                </c:pt>
                <c:pt idx="191">
                  <c:v>5.8999999999999986</c:v>
                </c:pt>
                <c:pt idx="192">
                  <c:v>5.75</c:v>
                </c:pt>
                <c:pt idx="193">
                  <c:v>5.5999999999999979</c:v>
                </c:pt>
                <c:pt idx="194">
                  <c:v>5.5500000000000007</c:v>
                </c:pt>
                <c:pt idx="195">
                  <c:v>5.5500000000000007</c:v>
                </c:pt>
                <c:pt idx="196">
                  <c:v>5.4499999999999993</c:v>
                </c:pt>
                <c:pt idx="197">
                  <c:v>5.3499999999999979</c:v>
                </c:pt>
                <c:pt idx="198">
                  <c:v>5.1999999999999993</c:v>
                </c:pt>
                <c:pt idx="199">
                  <c:v>5.1999999999999993</c:v>
                </c:pt>
                <c:pt idx="200">
                  <c:v>5.0999999999999979</c:v>
                </c:pt>
                <c:pt idx="201">
                  <c:v>5.0999999999999979</c:v>
                </c:pt>
                <c:pt idx="202">
                  <c:v>5.3000000000000007</c:v>
                </c:pt>
                <c:pt idx="203">
                  <c:v>4.8999999999999986</c:v>
                </c:pt>
                <c:pt idx="204">
                  <c:v>5.3000000000000007</c:v>
                </c:pt>
                <c:pt idx="205">
                  <c:v>5.3499999999999979</c:v>
                </c:pt>
                <c:pt idx="206">
                  <c:v>5.1999999999999993</c:v>
                </c:pt>
                <c:pt idx="207">
                  <c:v>5.0500000000000007</c:v>
                </c:pt>
                <c:pt idx="208">
                  <c:v>5.0999999999999979</c:v>
                </c:pt>
                <c:pt idx="209">
                  <c:v>5.0999999999999979</c:v>
                </c:pt>
                <c:pt idx="210">
                  <c:v>4.9499999999999993</c:v>
                </c:pt>
                <c:pt idx="211">
                  <c:v>5.0500000000000007</c:v>
                </c:pt>
                <c:pt idx="212">
                  <c:v>4.9499999999999993</c:v>
                </c:pt>
                <c:pt idx="213">
                  <c:v>4.8000000000000007</c:v>
                </c:pt>
                <c:pt idx="214">
                  <c:v>4.8999999999999986</c:v>
                </c:pt>
                <c:pt idx="215">
                  <c:v>4.8499999999999979</c:v>
                </c:pt>
                <c:pt idx="216">
                  <c:v>4.8999999999999986</c:v>
                </c:pt>
                <c:pt idx="217">
                  <c:v>4.8999999999999986</c:v>
                </c:pt>
                <c:pt idx="218">
                  <c:v>4.75</c:v>
                </c:pt>
                <c:pt idx="219">
                  <c:v>4.8499999999999979</c:v>
                </c:pt>
                <c:pt idx="220">
                  <c:v>4.75</c:v>
                </c:pt>
                <c:pt idx="221">
                  <c:v>4.75</c:v>
                </c:pt>
                <c:pt idx="222">
                  <c:v>4.75</c:v>
                </c:pt>
                <c:pt idx="223">
                  <c:v>4.8999999999999986</c:v>
                </c:pt>
                <c:pt idx="224">
                  <c:v>4.8000000000000007</c:v>
                </c:pt>
                <c:pt idx="225">
                  <c:v>4.8000000000000007</c:v>
                </c:pt>
                <c:pt idx="226">
                  <c:v>4.8999999999999986</c:v>
                </c:pt>
                <c:pt idx="227">
                  <c:v>4.8000000000000007</c:v>
                </c:pt>
                <c:pt idx="228">
                  <c:v>4.75</c:v>
                </c:pt>
                <c:pt idx="229">
                  <c:v>4.6499999999999986</c:v>
                </c:pt>
                <c:pt idx="230">
                  <c:v>4.5999999999999979</c:v>
                </c:pt>
                <c:pt idx="231">
                  <c:v>4.5999999999999979</c:v>
                </c:pt>
                <c:pt idx="232">
                  <c:v>4.4499999999999993</c:v>
                </c:pt>
                <c:pt idx="233">
                  <c:v>4.4499999999999993</c:v>
                </c:pt>
                <c:pt idx="234">
                  <c:v>4.5500000000000007</c:v>
                </c:pt>
                <c:pt idx="235">
                  <c:v>4.3499999999999979</c:v>
                </c:pt>
                <c:pt idx="236">
                  <c:v>4.1999999999999993</c:v>
                </c:pt>
                <c:pt idx="237">
                  <c:v>4.25</c:v>
                </c:pt>
                <c:pt idx="238">
                  <c:v>4.25</c:v>
                </c:pt>
                <c:pt idx="239">
                  <c:v>4.25</c:v>
                </c:pt>
                <c:pt idx="240">
                  <c:v>4.1999999999999993</c:v>
                </c:pt>
                <c:pt idx="241">
                  <c:v>4.0999999999999979</c:v>
                </c:pt>
                <c:pt idx="242">
                  <c:v>3.8999999999999986</c:v>
                </c:pt>
                <c:pt idx="243">
                  <c:v>3.8999999999999986</c:v>
                </c:pt>
                <c:pt idx="244">
                  <c:v>3.8999999999999986</c:v>
                </c:pt>
                <c:pt idx="245">
                  <c:v>3.6999999999999993</c:v>
                </c:pt>
                <c:pt idx="246">
                  <c:v>3.6999999999999993</c:v>
                </c:pt>
                <c:pt idx="247">
                  <c:v>3.6999999999999993</c:v>
                </c:pt>
                <c:pt idx="248">
                  <c:v>3.4499999999999993</c:v>
                </c:pt>
                <c:pt idx="249">
                  <c:v>3.3499999999999979</c:v>
                </c:pt>
                <c:pt idx="250">
                  <c:v>3.3499999999999979</c:v>
                </c:pt>
                <c:pt idx="251">
                  <c:v>3.25</c:v>
                </c:pt>
                <c:pt idx="252">
                  <c:v>3.1999999999999993</c:v>
                </c:pt>
                <c:pt idx="253">
                  <c:v>3.1999999999999993</c:v>
                </c:pt>
                <c:pt idx="254">
                  <c:v>2.9499999999999993</c:v>
                </c:pt>
                <c:pt idx="255">
                  <c:v>3</c:v>
                </c:pt>
                <c:pt idx="256">
                  <c:v>2.8999999999999986</c:v>
                </c:pt>
                <c:pt idx="257">
                  <c:v>2.6999999999999993</c:v>
                </c:pt>
                <c:pt idx="258">
                  <c:v>2.6999999999999993</c:v>
                </c:pt>
                <c:pt idx="259">
                  <c:v>2.6999999999999993</c:v>
                </c:pt>
                <c:pt idx="260">
                  <c:v>2.6999999999999993</c:v>
                </c:pt>
                <c:pt idx="261">
                  <c:v>2.5999999999999979</c:v>
                </c:pt>
                <c:pt idx="262">
                  <c:v>2.5500000000000007</c:v>
                </c:pt>
                <c:pt idx="263">
                  <c:v>2.5500000000000007</c:v>
                </c:pt>
                <c:pt idx="264">
                  <c:v>2.5</c:v>
                </c:pt>
                <c:pt idx="265">
                  <c:v>2.5500000000000007</c:v>
                </c:pt>
                <c:pt idx="266">
                  <c:v>2.5</c:v>
                </c:pt>
                <c:pt idx="267">
                  <c:v>2.5</c:v>
                </c:pt>
                <c:pt idx="268">
                  <c:v>2.5</c:v>
                </c:pt>
                <c:pt idx="269">
                  <c:v>2.5</c:v>
                </c:pt>
                <c:pt idx="270">
                  <c:v>2.5</c:v>
                </c:pt>
                <c:pt idx="271">
                  <c:v>2.5</c:v>
                </c:pt>
                <c:pt idx="272">
                  <c:v>2.3499999999999979</c:v>
                </c:pt>
                <c:pt idx="273">
                  <c:v>2.3499999999999979</c:v>
                </c:pt>
                <c:pt idx="274">
                  <c:v>2.5</c:v>
                </c:pt>
                <c:pt idx="275">
                  <c:v>2.3499999999999979</c:v>
                </c:pt>
                <c:pt idx="276">
                  <c:v>2.5</c:v>
                </c:pt>
                <c:pt idx="277">
                  <c:v>2.3999999999999986</c:v>
                </c:pt>
                <c:pt idx="278">
                  <c:v>2.3499999999999979</c:v>
                </c:pt>
                <c:pt idx="279">
                  <c:v>2.25</c:v>
                </c:pt>
                <c:pt idx="280">
                  <c:v>2.3999999999999986</c:v>
                </c:pt>
                <c:pt idx="281">
                  <c:v>2.25</c:v>
                </c:pt>
                <c:pt idx="282">
                  <c:v>2.25</c:v>
                </c:pt>
                <c:pt idx="283">
                  <c:v>2.25</c:v>
                </c:pt>
                <c:pt idx="284">
                  <c:v>2.25</c:v>
                </c:pt>
                <c:pt idx="285">
                  <c:v>2.25</c:v>
                </c:pt>
                <c:pt idx="286">
                  <c:v>2.25</c:v>
                </c:pt>
                <c:pt idx="287">
                  <c:v>2.0999999999999979</c:v>
                </c:pt>
                <c:pt idx="288">
                  <c:v>2.1999999999999993</c:v>
                </c:pt>
                <c:pt idx="289">
                  <c:v>2.1499999999999986</c:v>
                </c:pt>
                <c:pt idx="290">
                  <c:v>2.1999999999999993</c:v>
                </c:pt>
                <c:pt idx="291">
                  <c:v>2.1999999999999993</c:v>
                </c:pt>
                <c:pt idx="292">
                  <c:v>2.0500000000000007</c:v>
                </c:pt>
                <c:pt idx="293">
                  <c:v>2</c:v>
                </c:pt>
                <c:pt idx="294">
                  <c:v>2.0500000000000007</c:v>
                </c:pt>
                <c:pt idx="295">
                  <c:v>2</c:v>
                </c:pt>
                <c:pt idx="296">
                  <c:v>2</c:v>
                </c:pt>
                <c:pt idx="297">
                  <c:v>2</c:v>
                </c:pt>
                <c:pt idx="298">
                  <c:v>2</c:v>
                </c:pt>
                <c:pt idx="299">
                  <c:v>1.8999999999999986</c:v>
                </c:pt>
                <c:pt idx="300">
                  <c:v>2</c:v>
                </c:pt>
                <c:pt idx="301">
                  <c:v>2</c:v>
                </c:pt>
                <c:pt idx="302">
                  <c:v>2</c:v>
                </c:pt>
                <c:pt idx="303">
                  <c:v>2</c:v>
                </c:pt>
                <c:pt idx="304">
                  <c:v>1.8999999999999986</c:v>
                </c:pt>
                <c:pt idx="305">
                  <c:v>1.8999999999999986</c:v>
                </c:pt>
                <c:pt idx="306">
                  <c:v>1.8999999999999986</c:v>
                </c:pt>
                <c:pt idx="307">
                  <c:v>1.8999999999999986</c:v>
                </c:pt>
                <c:pt idx="308">
                  <c:v>1.8999999999999986</c:v>
                </c:pt>
                <c:pt idx="309">
                  <c:v>2</c:v>
                </c:pt>
                <c:pt idx="310">
                  <c:v>2</c:v>
                </c:pt>
                <c:pt idx="311">
                  <c:v>1.8999999999999986</c:v>
                </c:pt>
                <c:pt idx="312">
                  <c:v>2</c:v>
                </c:pt>
                <c:pt idx="313">
                  <c:v>2</c:v>
                </c:pt>
                <c:pt idx="314">
                  <c:v>2.0500000000000007</c:v>
                </c:pt>
                <c:pt idx="315">
                  <c:v>2.0500000000000007</c:v>
                </c:pt>
                <c:pt idx="316">
                  <c:v>1.9499999999999993</c:v>
                </c:pt>
                <c:pt idx="317">
                  <c:v>2.0500000000000007</c:v>
                </c:pt>
                <c:pt idx="318">
                  <c:v>2.0500000000000007</c:v>
                </c:pt>
                <c:pt idx="319">
                  <c:v>2.0500000000000007</c:v>
                </c:pt>
                <c:pt idx="320">
                  <c:v>2.0500000000000007</c:v>
                </c:pt>
                <c:pt idx="321">
                  <c:v>2.0500000000000007</c:v>
                </c:pt>
                <c:pt idx="322">
                  <c:v>2.0500000000000007</c:v>
                </c:pt>
                <c:pt idx="323">
                  <c:v>2.0500000000000007</c:v>
                </c:pt>
                <c:pt idx="324">
                  <c:v>2.0500000000000007</c:v>
                </c:pt>
                <c:pt idx="325">
                  <c:v>2.0500000000000007</c:v>
                </c:pt>
                <c:pt idx="326">
                  <c:v>2.0500000000000007</c:v>
                </c:pt>
                <c:pt idx="327">
                  <c:v>2.1499999999999986</c:v>
                </c:pt>
                <c:pt idx="328">
                  <c:v>2.0999999999999979</c:v>
                </c:pt>
                <c:pt idx="329">
                  <c:v>2.1999999999999993</c:v>
                </c:pt>
                <c:pt idx="330">
                  <c:v>2.25</c:v>
                </c:pt>
                <c:pt idx="331">
                  <c:v>2.25</c:v>
                </c:pt>
                <c:pt idx="332">
                  <c:v>2.3499999999999979</c:v>
                </c:pt>
                <c:pt idx="333">
                  <c:v>2.5</c:v>
                </c:pt>
                <c:pt idx="334">
                  <c:v>2.5</c:v>
                </c:pt>
                <c:pt idx="335">
                  <c:v>2.5500000000000007</c:v>
                </c:pt>
                <c:pt idx="336">
                  <c:v>2.5999999999999979</c:v>
                </c:pt>
                <c:pt idx="337">
                  <c:v>2.5</c:v>
                </c:pt>
                <c:pt idx="338">
                  <c:v>2.5</c:v>
                </c:pt>
                <c:pt idx="339">
                  <c:v>2.5</c:v>
                </c:pt>
                <c:pt idx="340">
                  <c:v>2.3999999999999986</c:v>
                </c:pt>
                <c:pt idx="341">
                  <c:v>2.3999999999999986</c:v>
                </c:pt>
                <c:pt idx="342">
                  <c:v>2.1999999999999993</c:v>
                </c:pt>
                <c:pt idx="343">
                  <c:v>2.1999999999999993</c:v>
                </c:pt>
                <c:pt idx="344">
                  <c:v>2.0500000000000007</c:v>
                </c:pt>
                <c:pt idx="345">
                  <c:v>2.0500000000000007</c:v>
                </c:pt>
                <c:pt idx="346">
                  <c:v>2.0500000000000007</c:v>
                </c:pt>
                <c:pt idx="347">
                  <c:v>2</c:v>
                </c:pt>
                <c:pt idx="348">
                  <c:v>1.8999999999999986</c:v>
                </c:pt>
                <c:pt idx="349">
                  <c:v>1.8999999999999986</c:v>
                </c:pt>
                <c:pt idx="350">
                  <c:v>1.8499999999999979</c:v>
                </c:pt>
                <c:pt idx="351">
                  <c:v>1.75</c:v>
                </c:pt>
                <c:pt idx="352">
                  <c:v>1.75</c:v>
                </c:pt>
                <c:pt idx="353">
                  <c:v>1.6999999999999993</c:v>
                </c:pt>
                <c:pt idx="354">
                  <c:v>1.6499999999999986</c:v>
                </c:pt>
                <c:pt idx="355">
                  <c:v>1.6999999999999993</c:v>
                </c:pt>
                <c:pt idx="356">
                  <c:v>1.6499999999999986</c:v>
                </c:pt>
                <c:pt idx="357">
                  <c:v>1.6499999999999986</c:v>
                </c:pt>
                <c:pt idx="358">
                  <c:v>1.6499999999999986</c:v>
                </c:pt>
                <c:pt idx="359">
                  <c:v>1.6499999999999986</c:v>
                </c:pt>
                <c:pt idx="360">
                  <c:v>1.6499999999999986</c:v>
                </c:pt>
                <c:pt idx="361">
                  <c:v>1.6499999999999986</c:v>
                </c:pt>
                <c:pt idx="362">
                  <c:v>1.5500000000000007</c:v>
                </c:pt>
                <c:pt idx="363">
                  <c:v>1.6499999999999986</c:v>
                </c:pt>
                <c:pt idx="364">
                  <c:v>1.5500000000000007</c:v>
                </c:pt>
                <c:pt idx="365">
                  <c:v>1.6499999999999986</c:v>
                </c:pt>
                <c:pt idx="366">
                  <c:v>1.5500000000000007</c:v>
                </c:pt>
                <c:pt idx="367">
                  <c:v>1.6499999999999986</c:v>
                </c:pt>
                <c:pt idx="368">
                  <c:v>1.5500000000000007</c:v>
                </c:pt>
                <c:pt idx="369">
                  <c:v>1.5</c:v>
                </c:pt>
                <c:pt idx="370">
                  <c:v>1.5</c:v>
                </c:pt>
                <c:pt idx="371">
                  <c:v>1.5</c:v>
                </c:pt>
                <c:pt idx="372">
                  <c:v>1.5500000000000007</c:v>
                </c:pt>
                <c:pt idx="373">
                  <c:v>1.5</c:v>
                </c:pt>
                <c:pt idx="374">
                  <c:v>1.5500000000000007</c:v>
                </c:pt>
                <c:pt idx="375">
                  <c:v>1.6499999999999986</c:v>
                </c:pt>
                <c:pt idx="376">
                  <c:v>1.6499999999999986</c:v>
                </c:pt>
                <c:pt idx="377">
                  <c:v>1.6499999999999986</c:v>
                </c:pt>
                <c:pt idx="378">
                  <c:v>1.6499999999999986</c:v>
                </c:pt>
                <c:pt idx="379">
                  <c:v>1.6499999999999986</c:v>
                </c:pt>
                <c:pt idx="380">
                  <c:v>1.6999999999999993</c:v>
                </c:pt>
                <c:pt idx="381">
                  <c:v>1.6999999999999993</c:v>
                </c:pt>
                <c:pt idx="382">
                  <c:v>1.6999999999999993</c:v>
                </c:pt>
                <c:pt idx="383">
                  <c:v>1.6999999999999993</c:v>
                </c:pt>
                <c:pt idx="384">
                  <c:v>1.6999999999999993</c:v>
                </c:pt>
                <c:pt idx="385">
                  <c:v>1.6999999999999993</c:v>
                </c:pt>
                <c:pt idx="386">
                  <c:v>1.6999999999999993</c:v>
                </c:pt>
                <c:pt idx="387">
                  <c:v>1.6999999999999993</c:v>
                </c:pt>
                <c:pt idx="388">
                  <c:v>1.6499999999999986</c:v>
                </c:pt>
                <c:pt idx="389">
                  <c:v>1.6499999999999986</c:v>
                </c:pt>
                <c:pt idx="390">
                  <c:v>1.6499999999999986</c:v>
                </c:pt>
                <c:pt idx="391">
                  <c:v>1.6499999999999986</c:v>
                </c:pt>
                <c:pt idx="392">
                  <c:v>1.6499999999999986</c:v>
                </c:pt>
                <c:pt idx="393">
                  <c:v>1.6999999999999993</c:v>
                </c:pt>
                <c:pt idx="394">
                  <c:v>1.6999999999999993</c:v>
                </c:pt>
                <c:pt idx="395">
                  <c:v>1.6999999999999993</c:v>
                </c:pt>
                <c:pt idx="396">
                  <c:v>1.6499999999999986</c:v>
                </c:pt>
                <c:pt idx="397">
                  <c:v>1.75</c:v>
                </c:pt>
                <c:pt idx="398">
                  <c:v>1.6499999999999986</c:v>
                </c:pt>
                <c:pt idx="399">
                  <c:v>1.6999999999999993</c:v>
                </c:pt>
                <c:pt idx="400">
                  <c:v>1.6999999999999993</c:v>
                </c:pt>
                <c:pt idx="401">
                  <c:v>1.6499999999999986</c:v>
                </c:pt>
                <c:pt idx="402">
                  <c:v>1.6499999999999986</c:v>
                </c:pt>
                <c:pt idx="403">
                  <c:v>1.6499999999999986</c:v>
                </c:pt>
                <c:pt idx="404">
                  <c:v>1.6499999999999986</c:v>
                </c:pt>
                <c:pt idx="405">
                  <c:v>1.5500000000000007</c:v>
                </c:pt>
                <c:pt idx="406">
                  <c:v>1.6499999999999986</c:v>
                </c:pt>
                <c:pt idx="407">
                  <c:v>1.5</c:v>
                </c:pt>
                <c:pt idx="408">
                  <c:v>1.5500000000000007</c:v>
                </c:pt>
                <c:pt idx="409">
                  <c:v>1.6499999999999986</c:v>
                </c:pt>
                <c:pt idx="410">
                  <c:v>1.5</c:v>
                </c:pt>
                <c:pt idx="411">
                  <c:v>1.6499999999999986</c:v>
                </c:pt>
                <c:pt idx="412">
                  <c:v>1.5500000000000007</c:v>
                </c:pt>
                <c:pt idx="413">
                  <c:v>1.6499999999999986</c:v>
                </c:pt>
                <c:pt idx="414">
                  <c:v>1.5500000000000007</c:v>
                </c:pt>
                <c:pt idx="415">
                  <c:v>1.5500000000000007</c:v>
                </c:pt>
                <c:pt idx="416">
                  <c:v>1.5500000000000007</c:v>
                </c:pt>
                <c:pt idx="417">
                  <c:v>1.6499999999999986</c:v>
                </c:pt>
                <c:pt idx="418">
                  <c:v>1.5500000000000007</c:v>
                </c:pt>
                <c:pt idx="419">
                  <c:v>1.5</c:v>
                </c:pt>
                <c:pt idx="420">
                  <c:v>1.5</c:v>
                </c:pt>
                <c:pt idx="421">
                  <c:v>1.5500000000000007</c:v>
                </c:pt>
                <c:pt idx="422">
                  <c:v>1.5500000000000007</c:v>
                </c:pt>
                <c:pt idx="423">
                  <c:v>1.5</c:v>
                </c:pt>
                <c:pt idx="424">
                  <c:v>1.5</c:v>
                </c:pt>
                <c:pt idx="425">
                  <c:v>1.6499999999999986</c:v>
                </c:pt>
                <c:pt idx="426">
                  <c:v>1.6499999999999986</c:v>
                </c:pt>
                <c:pt idx="427">
                  <c:v>1.6499999999999986</c:v>
                </c:pt>
                <c:pt idx="428">
                  <c:v>1.6499999999999986</c:v>
                </c:pt>
                <c:pt idx="429">
                  <c:v>1.6499999999999986</c:v>
                </c:pt>
                <c:pt idx="430">
                  <c:v>1.6499999999999986</c:v>
                </c:pt>
                <c:pt idx="431">
                  <c:v>1.5500000000000007</c:v>
                </c:pt>
                <c:pt idx="432">
                  <c:v>1.5500000000000007</c:v>
                </c:pt>
                <c:pt idx="433">
                  <c:v>1.3999999999999986</c:v>
                </c:pt>
                <c:pt idx="434">
                  <c:v>1.5</c:v>
                </c:pt>
                <c:pt idx="435">
                  <c:v>1.5</c:v>
                </c:pt>
                <c:pt idx="436">
                  <c:v>1.3999999999999986</c:v>
                </c:pt>
                <c:pt idx="437">
                  <c:v>1.3999999999999986</c:v>
                </c:pt>
                <c:pt idx="438">
                  <c:v>1.3999999999999986</c:v>
                </c:pt>
                <c:pt idx="439">
                  <c:v>1.3499999999999979</c:v>
                </c:pt>
                <c:pt idx="440">
                  <c:v>1.3000000000000007</c:v>
                </c:pt>
                <c:pt idx="441">
                  <c:v>1.25</c:v>
                </c:pt>
                <c:pt idx="442">
                  <c:v>1.25</c:v>
                </c:pt>
                <c:pt idx="443">
                  <c:v>1.3000000000000007</c:v>
                </c:pt>
                <c:pt idx="444">
                  <c:v>1.1999999999999993</c:v>
                </c:pt>
                <c:pt idx="445">
                  <c:v>1.1999999999999993</c:v>
                </c:pt>
                <c:pt idx="446">
                  <c:v>1.1999999999999993</c:v>
                </c:pt>
                <c:pt idx="447">
                  <c:v>1.1499999999999986</c:v>
                </c:pt>
                <c:pt idx="448">
                  <c:v>1.1499999999999986</c:v>
                </c:pt>
                <c:pt idx="449">
                  <c:v>1.1999999999999993</c:v>
                </c:pt>
                <c:pt idx="450">
                  <c:v>1.1999999999999993</c:v>
                </c:pt>
                <c:pt idx="451">
                  <c:v>1.3000000000000007</c:v>
                </c:pt>
                <c:pt idx="452">
                  <c:v>1.25</c:v>
                </c:pt>
                <c:pt idx="453">
                  <c:v>1.25</c:v>
                </c:pt>
                <c:pt idx="454">
                  <c:v>1.25</c:v>
                </c:pt>
                <c:pt idx="455">
                  <c:v>1.25</c:v>
                </c:pt>
                <c:pt idx="456">
                  <c:v>1.3000000000000007</c:v>
                </c:pt>
                <c:pt idx="457">
                  <c:v>1.3000000000000007</c:v>
                </c:pt>
                <c:pt idx="458">
                  <c:v>1.1499999999999986</c:v>
                </c:pt>
                <c:pt idx="459">
                  <c:v>1.1499999999999986</c:v>
                </c:pt>
                <c:pt idx="460">
                  <c:v>1.1499999999999986</c:v>
                </c:pt>
                <c:pt idx="461">
                  <c:v>1.1499999999999986</c:v>
                </c:pt>
                <c:pt idx="462">
                  <c:v>1.0500000000000007</c:v>
                </c:pt>
                <c:pt idx="463">
                  <c:v>1.0500000000000007</c:v>
                </c:pt>
                <c:pt idx="464">
                  <c:v>1.0500000000000007</c:v>
                </c:pt>
                <c:pt idx="465">
                  <c:v>1.0500000000000007</c:v>
                </c:pt>
                <c:pt idx="466">
                  <c:v>1</c:v>
                </c:pt>
                <c:pt idx="467">
                  <c:v>1</c:v>
                </c:pt>
                <c:pt idx="468">
                  <c:v>1</c:v>
                </c:pt>
                <c:pt idx="469">
                  <c:v>1</c:v>
                </c:pt>
                <c:pt idx="470">
                  <c:v>0.89999999999999858</c:v>
                </c:pt>
                <c:pt idx="471">
                  <c:v>0.80000000000000071</c:v>
                </c:pt>
                <c:pt idx="472">
                  <c:v>0.89999999999999858</c:v>
                </c:pt>
                <c:pt idx="473">
                  <c:v>0.89999999999999858</c:v>
                </c:pt>
                <c:pt idx="474">
                  <c:v>1</c:v>
                </c:pt>
                <c:pt idx="475">
                  <c:v>0.89999999999999858</c:v>
                </c:pt>
                <c:pt idx="476">
                  <c:v>0.89999999999999858</c:v>
                </c:pt>
                <c:pt idx="477">
                  <c:v>0.89999999999999858</c:v>
                </c:pt>
                <c:pt idx="478">
                  <c:v>0.89999999999999858</c:v>
                </c:pt>
                <c:pt idx="479">
                  <c:v>0.94999999999999929</c:v>
                </c:pt>
                <c:pt idx="480">
                  <c:v>0.89999999999999858</c:v>
                </c:pt>
                <c:pt idx="481">
                  <c:v>0.89999999999999858</c:v>
                </c:pt>
                <c:pt idx="482">
                  <c:v>0.89999999999999858</c:v>
                </c:pt>
                <c:pt idx="483">
                  <c:v>0.89999999999999858</c:v>
                </c:pt>
                <c:pt idx="484">
                  <c:v>0.89999999999999858</c:v>
                </c:pt>
                <c:pt idx="485">
                  <c:v>0.84999999999999787</c:v>
                </c:pt>
                <c:pt idx="486">
                  <c:v>0.84999999999999787</c:v>
                </c:pt>
                <c:pt idx="487">
                  <c:v>0.84999999999999787</c:v>
                </c:pt>
                <c:pt idx="488">
                  <c:v>0.84999999999999787</c:v>
                </c:pt>
                <c:pt idx="489">
                  <c:v>0.84999999999999787</c:v>
                </c:pt>
                <c:pt idx="490">
                  <c:v>0.84999999999999787</c:v>
                </c:pt>
                <c:pt idx="491">
                  <c:v>0.84999999999999787</c:v>
                </c:pt>
                <c:pt idx="492">
                  <c:v>0.80000000000000071</c:v>
                </c:pt>
                <c:pt idx="493">
                  <c:v>0.80000000000000071</c:v>
                </c:pt>
                <c:pt idx="494">
                  <c:v>0.84999999999999787</c:v>
                </c:pt>
                <c:pt idx="495">
                  <c:v>0.84999999999999787</c:v>
                </c:pt>
                <c:pt idx="496">
                  <c:v>0.84999999999999787</c:v>
                </c:pt>
                <c:pt idx="497">
                  <c:v>0.84999999999999787</c:v>
                </c:pt>
                <c:pt idx="498">
                  <c:v>0.89999999999999858</c:v>
                </c:pt>
                <c:pt idx="499">
                  <c:v>0.84999999999999787</c:v>
                </c:pt>
                <c:pt idx="500">
                  <c:v>0.89999999999999858</c:v>
                </c:pt>
                <c:pt idx="501">
                  <c:v>0.89999999999999858</c:v>
                </c:pt>
                <c:pt idx="502">
                  <c:v>0.89999999999999858</c:v>
                </c:pt>
                <c:pt idx="503">
                  <c:v>0.89999999999999858</c:v>
                </c:pt>
                <c:pt idx="504">
                  <c:v>1</c:v>
                </c:pt>
                <c:pt idx="505">
                  <c:v>1</c:v>
                </c:pt>
                <c:pt idx="506">
                  <c:v>1</c:v>
                </c:pt>
                <c:pt idx="507">
                  <c:v>1.0500000000000007</c:v>
                </c:pt>
                <c:pt idx="508">
                  <c:v>1</c:v>
                </c:pt>
                <c:pt idx="509">
                  <c:v>1.0500000000000007</c:v>
                </c:pt>
                <c:pt idx="510">
                  <c:v>1.0500000000000007</c:v>
                </c:pt>
                <c:pt idx="511">
                  <c:v>1.0500000000000007</c:v>
                </c:pt>
                <c:pt idx="512">
                  <c:v>1.1499999999999986</c:v>
                </c:pt>
                <c:pt idx="513">
                  <c:v>1.0500000000000007</c:v>
                </c:pt>
                <c:pt idx="514">
                  <c:v>1.0500000000000007</c:v>
                </c:pt>
                <c:pt idx="515">
                  <c:v>1.0500000000000007</c:v>
                </c:pt>
                <c:pt idx="516">
                  <c:v>1.1499999999999986</c:v>
                </c:pt>
                <c:pt idx="517">
                  <c:v>1.0500000000000007</c:v>
                </c:pt>
                <c:pt idx="518">
                  <c:v>1.0500000000000007</c:v>
                </c:pt>
                <c:pt idx="519">
                  <c:v>1.0500000000000007</c:v>
                </c:pt>
                <c:pt idx="520">
                  <c:v>1.0500000000000007</c:v>
                </c:pt>
                <c:pt idx="521">
                  <c:v>1.0500000000000007</c:v>
                </c:pt>
                <c:pt idx="522">
                  <c:v>1</c:v>
                </c:pt>
                <c:pt idx="523">
                  <c:v>1</c:v>
                </c:pt>
                <c:pt idx="524">
                  <c:v>1</c:v>
                </c:pt>
                <c:pt idx="525">
                  <c:v>0.84999999999999787</c:v>
                </c:pt>
                <c:pt idx="526">
                  <c:v>0.84999999999999787</c:v>
                </c:pt>
                <c:pt idx="527">
                  <c:v>0.84999999999999787</c:v>
                </c:pt>
                <c:pt idx="528">
                  <c:v>0.84999999999999787</c:v>
                </c:pt>
                <c:pt idx="529">
                  <c:v>0.84999999999999787</c:v>
                </c:pt>
                <c:pt idx="530">
                  <c:v>0.80000000000000071</c:v>
                </c:pt>
                <c:pt idx="531">
                  <c:v>0.80000000000000071</c:v>
                </c:pt>
                <c:pt idx="532">
                  <c:v>0.69999999999999929</c:v>
                </c:pt>
                <c:pt idx="533">
                  <c:v>0.69999999999999929</c:v>
                </c:pt>
                <c:pt idx="534">
                  <c:v>0.69999999999999929</c:v>
                </c:pt>
                <c:pt idx="535">
                  <c:v>0.64999999999999858</c:v>
                </c:pt>
                <c:pt idx="536">
                  <c:v>0.84999999999999787</c:v>
                </c:pt>
                <c:pt idx="537">
                  <c:v>0.69999999999999929</c:v>
                </c:pt>
                <c:pt idx="538">
                  <c:v>0.69999999999999929</c:v>
                </c:pt>
                <c:pt idx="539">
                  <c:v>0.64999999999999858</c:v>
                </c:pt>
                <c:pt idx="540">
                  <c:v>0.69999999999999929</c:v>
                </c:pt>
                <c:pt idx="541">
                  <c:v>0.64999999999999858</c:v>
                </c:pt>
                <c:pt idx="542">
                  <c:v>0.69999999999999929</c:v>
                </c:pt>
                <c:pt idx="543">
                  <c:v>0.69999999999999929</c:v>
                </c:pt>
                <c:pt idx="544">
                  <c:v>0.69999999999999929</c:v>
                </c:pt>
                <c:pt idx="545">
                  <c:v>0.69999999999999929</c:v>
                </c:pt>
                <c:pt idx="546">
                  <c:v>0.69999999999999929</c:v>
                </c:pt>
                <c:pt idx="547">
                  <c:v>0.69999999999999929</c:v>
                </c:pt>
                <c:pt idx="548">
                  <c:v>0.69999999999999929</c:v>
                </c:pt>
                <c:pt idx="549">
                  <c:v>0.69999999999999929</c:v>
                </c:pt>
                <c:pt idx="550">
                  <c:v>0.64999999999999858</c:v>
                </c:pt>
                <c:pt idx="551">
                  <c:v>0.64999999999999858</c:v>
                </c:pt>
                <c:pt idx="552">
                  <c:v>0.64999999999999858</c:v>
                </c:pt>
                <c:pt idx="553">
                  <c:v>0.64999999999999858</c:v>
                </c:pt>
                <c:pt idx="554">
                  <c:v>0.64999999999999858</c:v>
                </c:pt>
                <c:pt idx="555">
                  <c:v>0.64999999999999858</c:v>
                </c:pt>
                <c:pt idx="556">
                  <c:v>0.64999999999999858</c:v>
                </c:pt>
                <c:pt idx="557">
                  <c:v>0.55000000000000071</c:v>
                </c:pt>
                <c:pt idx="558">
                  <c:v>0.64999999999999858</c:v>
                </c:pt>
                <c:pt idx="559">
                  <c:v>0.64999999999999858</c:v>
                </c:pt>
                <c:pt idx="560">
                  <c:v>0.64999999999999858</c:v>
                </c:pt>
                <c:pt idx="561">
                  <c:v>0.64999999999999858</c:v>
                </c:pt>
                <c:pt idx="562">
                  <c:v>0.64999999999999858</c:v>
                </c:pt>
                <c:pt idx="563">
                  <c:v>0.64999999999999858</c:v>
                </c:pt>
                <c:pt idx="564">
                  <c:v>0.64999999999999858</c:v>
                </c:pt>
                <c:pt idx="565">
                  <c:v>0.64999999999999858</c:v>
                </c:pt>
                <c:pt idx="566">
                  <c:v>0.64999999999999858</c:v>
                </c:pt>
                <c:pt idx="567">
                  <c:v>0.64999999999999858</c:v>
                </c:pt>
                <c:pt idx="568">
                  <c:v>0.64999999999999858</c:v>
                </c:pt>
                <c:pt idx="569">
                  <c:v>0.55000000000000071</c:v>
                </c:pt>
                <c:pt idx="570">
                  <c:v>0.55000000000000071</c:v>
                </c:pt>
                <c:pt idx="571">
                  <c:v>0.55000000000000071</c:v>
                </c:pt>
                <c:pt idx="572">
                  <c:v>0.55000000000000071</c:v>
                </c:pt>
                <c:pt idx="573">
                  <c:v>0.55000000000000071</c:v>
                </c:pt>
                <c:pt idx="574">
                  <c:v>0.55000000000000071</c:v>
                </c:pt>
                <c:pt idx="575">
                  <c:v>0.55000000000000071</c:v>
                </c:pt>
                <c:pt idx="576">
                  <c:v>0.5</c:v>
                </c:pt>
                <c:pt idx="577">
                  <c:v>0.55000000000000071</c:v>
                </c:pt>
                <c:pt idx="578">
                  <c:v>0.5</c:v>
                </c:pt>
                <c:pt idx="579">
                  <c:v>0.5</c:v>
                </c:pt>
                <c:pt idx="580">
                  <c:v>0.5</c:v>
                </c:pt>
                <c:pt idx="581">
                  <c:v>0.5</c:v>
                </c:pt>
                <c:pt idx="582">
                  <c:v>0.5</c:v>
                </c:pt>
                <c:pt idx="583">
                  <c:v>0.5</c:v>
                </c:pt>
                <c:pt idx="584">
                  <c:v>0.5</c:v>
                </c:pt>
                <c:pt idx="585">
                  <c:v>0.44999999999999929</c:v>
                </c:pt>
                <c:pt idx="586">
                  <c:v>0.39999999999999858</c:v>
                </c:pt>
                <c:pt idx="587">
                  <c:v>0.39999999999999858</c:v>
                </c:pt>
                <c:pt idx="588">
                  <c:v>0.39999999999999858</c:v>
                </c:pt>
                <c:pt idx="589">
                  <c:v>0.39999999999999858</c:v>
                </c:pt>
                <c:pt idx="590">
                  <c:v>0.39999999999999858</c:v>
                </c:pt>
                <c:pt idx="591">
                  <c:v>0.39999999999999858</c:v>
                </c:pt>
                <c:pt idx="592">
                  <c:v>0.39999999999999858</c:v>
                </c:pt>
                <c:pt idx="593">
                  <c:v>0.39999999999999858</c:v>
                </c:pt>
                <c:pt idx="594">
                  <c:v>0.39999999999999858</c:v>
                </c:pt>
                <c:pt idx="595">
                  <c:v>0.39999999999999858</c:v>
                </c:pt>
                <c:pt idx="596">
                  <c:v>0.39999999999999858</c:v>
                </c:pt>
                <c:pt idx="597">
                  <c:v>0.39999999999999858</c:v>
                </c:pt>
                <c:pt idx="598">
                  <c:v>0.39999999999999858</c:v>
                </c:pt>
                <c:pt idx="599">
                  <c:v>0.39999999999999858</c:v>
                </c:pt>
                <c:pt idx="600">
                  <c:v>0.44999999999999929</c:v>
                </c:pt>
                <c:pt idx="601">
                  <c:v>0.39999999999999858</c:v>
                </c:pt>
                <c:pt idx="602">
                  <c:v>0.39999999999999858</c:v>
                </c:pt>
                <c:pt idx="603">
                  <c:v>0.39999999999999858</c:v>
                </c:pt>
                <c:pt idx="604">
                  <c:v>0.39999999999999858</c:v>
                </c:pt>
                <c:pt idx="605">
                  <c:v>0.39999999999999858</c:v>
                </c:pt>
                <c:pt idx="606">
                  <c:v>0.39999999999999858</c:v>
                </c:pt>
                <c:pt idx="607">
                  <c:v>0.39999999999999858</c:v>
                </c:pt>
                <c:pt idx="608">
                  <c:v>0.39999999999999858</c:v>
                </c:pt>
                <c:pt idx="609">
                  <c:v>0.39999999999999858</c:v>
                </c:pt>
                <c:pt idx="610">
                  <c:v>0.39999999999999858</c:v>
                </c:pt>
                <c:pt idx="611">
                  <c:v>0.39999999999999858</c:v>
                </c:pt>
                <c:pt idx="612">
                  <c:v>0.39999999999999858</c:v>
                </c:pt>
                <c:pt idx="613">
                  <c:v>0.39999999999999858</c:v>
                </c:pt>
                <c:pt idx="614">
                  <c:v>0.39999999999999858</c:v>
                </c:pt>
                <c:pt idx="615">
                  <c:v>0.39999999999999858</c:v>
                </c:pt>
                <c:pt idx="616">
                  <c:v>0.39999999999999858</c:v>
                </c:pt>
                <c:pt idx="617">
                  <c:v>0.39999999999999858</c:v>
                </c:pt>
                <c:pt idx="618">
                  <c:v>0.39999999999999858</c:v>
                </c:pt>
                <c:pt idx="619">
                  <c:v>0.39999999999999858</c:v>
                </c:pt>
                <c:pt idx="620">
                  <c:v>0.39999999999999858</c:v>
                </c:pt>
                <c:pt idx="621">
                  <c:v>0.39999999999999858</c:v>
                </c:pt>
                <c:pt idx="622">
                  <c:v>0.39999999999999858</c:v>
                </c:pt>
                <c:pt idx="623">
                  <c:v>0.39999999999999858</c:v>
                </c:pt>
                <c:pt idx="624">
                  <c:v>0.39999999999999858</c:v>
                </c:pt>
                <c:pt idx="625">
                  <c:v>0.39999999999999858</c:v>
                </c:pt>
                <c:pt idx="626">
                  <c:v>0.39999999999999858</c:v>
                </c:pt>
                <c:pt idx="627">
                  <c:v>0.39999999999999858</c:v>
                </c:pt>
                <c:pt idx="628">
                  <c:v>0.39999999999999858</c:v>
                </c:pt>
                <c:pt idx="629">
                  <c:v>0.39999999999999858</c:v>
                </c:pt>
                <c:pt idx="630">
                  <c:v>0.39999999999999858</c:v>
                </c:pt>
                <c:pt idx="631">
                  <c:v>0.39999999999999858</c:v>
                </c:pt>
                <c:pt idx="632">
                  <c:v>0.39999999999999858</c:v>
                </c:pt>
                <c:pt idx="633">
                  <c:v>0.39999999999999858</c:v>
                </c:pt>
                <c:pt idx="634">
                  <c:v>0.39999999999999858</c:v>
                </c:pt>
                <c:pt idx="635">
                  <c:v>0.5</c:v>
                </c:pt>
                <c:pt idx="636">
                  <c:v>0.5</c:v>
                </c:pt>
                <c:pt idx="637">
                  <c:v>0.5</c:v>
                </c:pt>
                <c:pt idx="638">
                  <c:v>0.39999999999999858</c:v>
                </c:pt>
                <c:pt idx="639">
                  <c:v>0.5</c:v>
                </c:pt>
                <c:pt idx="640">
                  <c:v>0.55000000000000071</c:v>
                </c:pt>
                <c:pt idx="641">
                  <c:v>0.5</c:v>
                </c:pt>
                <c:pt idx="642">
                  <c:v>0.5</c:v>
                </c:pt>
                <c:pt idx="643">
                  <c:v>0.5</c:v>
                </c:pt>
                <c:pt idx="644">
                  <c:v>0.55000000000000071</c:v>
                </c:pt>
                <c:pt idx="645">
                  <c:v>0.5</c:v>
                </c:pt>
                <c:pt idx="646">
                  <c:v>0.5</c:v>
                </c:pt>
                <c:pt idx="647">
                  <c:v>0.5</c:v>
                </c:pt>
                <c:pt idx="648">
                  <c:v>0.39999999999999858</c:v>
                </c:pt>
                <c:pt idx="649">
                  <c:v>0.39999999999999858</c:v>
                </c:pt>
                <c:pt idx="650">
                  <c:v>0.39999999999999858</c:v>
                </c:pt>
                <c:pt idx="651">
                  <c:v>0.39999999999999858</c:v>
                </c:pt>
                <c:pt idx="652">
                  <c:v>0.39999999999999858</c:v>
                </c:pt>
                <c:pt idx="653">
                  <c:v>0.39999999999999858</c:v>
                </c:pt>
                <c:pt idx="654">
                  <c:v>0.39999999999999858</c:v>
                </c:pt>
                <c:pt idx="655">
                  <c:v>0.39999999999999858</c:v>
                </c:pt>
                <c:pt idx="656">
                  <c:v>0.39999999999999858</c:v>
                </c:pt>
                <c:pt idx="657">
                  <c:v>0.39999999999999858</c:v>
                </c:pt>
                <c:pt idx="658">
                  <c:v>0.39999999999999858</c:v>
                </c:pt>
                <c:pt idx="659">
                  <c:v>0.39999999999999858</c:v>
                </c:pt>
                <c:pt idx="660">
                  <c:v>0.39999999999999858</c:v>
                </c:pt>
                <c:pt idx="661">
                  <c:v>0.39999999999999858</c:v>
                </c:pt>
                <c:pt idx="662">
                  <c:v>0.39999999999999858</c:v>
                </c:pt>
                <c:pt idx="663">
                  <c:v>0.39999999999999858</c:v>
                </c:pt>
                <c:pt idx="664">
                  <c:v>0.39999999999999858</c:v>
                </c:pt>
                <c:pt idx="665">
                  <c:v>0.39999999999999858</c:v>
                </c:pt>
                <c:pt idx="666">
                  <c:v>0.39999999999999858</c:v>
                </c:pt>
                <c:pt idx="667">
                  <c:v>0.39999999999999858</c:v>
                </c:pt>
                <c:pt idx="668">
                  <c:v>0.39999999999999858</c:v>
                </c:pt>
                <c:pt idx="669">
                  <c:v>0.39999999999999858</c:v>
                </c:pt>
                <c:pt idx="670">
                  <c:v>0.39999999999999858</c:v>
                </c:pt>
                <c:pt idx="671">
                  <c:v>0.39999999999999858</c:v>
                </c:pt>
                <c:pt idx="672">
                  <c:v>0.39999999999999858</c:v>
                </c:pt>
                <c:pt idx="673">
                  <c:v>0.39999999999999858</c:v>
                </c:pt>
                <c:pt idx="674">
                  <c:v>0.34999999999999787</c:v>
                </c:pt>
                <c:pt idx="675">
                  <c:v>0.34999999999999787</c:v>
                </c:pt>
                <c:pt idx="676">
                  <c:v>0.34999999999999787</c:v>
                </c:pt>
                <c:pt idx="677">
                  <c:v>0.34999999999999787</c:v>
                </c:pt>
                <c:pt idx="678">
                  <c:v>0.34999999999999787</c:v>
                </c:pt>
                <c:pt idx="679">
                  <c:v>0.34999999999999787</c:v>
                </c:pt>
                <c:pt idx="680">
                  <c:v>0.34999999999999787</c:v>
                </c:pt>
                <c:pt idx="681">
                  <c:v>0.34999999999999787</c:v>
                </c:pt>
                <c:pt idx="682">
                  <c:v>0.30000000000000071</c:v>
                </c:pt>
                <c:pt idx="683">
                  <c:v>0.30000000000000071</c:v>
                </c:pt>
                <c:pt idx="684">
                  <c:v>0.34999999999999787</c:v>
                </c:pt>
                <c:pt idx="685">
                  <c:v>0.30000000000000071</c:v>
                </c:pt>
                <c:pt idx="686">
                  <c:v>0.30000000000000071</c:v>
                </c:pt>
                <c:pt idx="687">
                  <c:v>0.30000000000000071</c:v>
                </c:pt>
                <c:pt idx="688">
                  <c:v>0.30000000000000071</c:v>
                </c:pt>
                <c:pt idx="689">
                  <c:v>0.30000000000000071</c:v>
                </c:pt>
                <c:pt idx="690">
                  <c:v>0.25</c:v>
                </c:pt>
                <c:pt idx="691">
                  <c:v>0.30000000000000071</c:v>
                </c:pt>
                <c:pt idx="692">
                  <c:v>0.30000000000000071</c:v>
                </c:pt>
                <c:pt idx="693">
                  <c:v>0.30000000000000071</c:v>
                </c:pt>
                <c:pt idx="694">
                  <c:v>0.30000000000000071</c:v>
                </c:pt>
                <c:pt idx="695">
                  <c:v>0.30000000000000071</c:v>
                </c:pt>
                <c:pt idx="696">
                  <c:v>0.34999999999999787</c:v>
                </c:pt>
                <c:pt idx="697">
                  <c:v>0.25</c:v>
                </c:pt>
                <c:pt idx="698">
                  <c:v>0.25</c:v>
                </c:pt>
                <c:pt idx="699">
                  <c:v>0.30000000000000071</c:v>
                </c:pt>
                <c:pt idx="700">
                  <c:v>0.34999999999999787</c:v>
                </c:pt>
                <c:pt idx="701">
                  <c:v>0.30000000000000071</c:v>
                </c:pt>
                <c:pt idx="702">
                  <c:v>0.30000000000000071</c:v>
                </c:pt>
                <c:pt idx="703">
                  <c:v>0.34999999999999787</c:v>
                </c:pt>
                <c:pt idx="704">
                  <c:v>0.34999999999999787</c:v>
                </c:pt>
                <c:pt idx="705">
                  <c:v>0.30000000000000071</c:v>
                </c:pt>
                <c:pt idx="706">
                  <c:v>0.30000000000000071</c:v>
                </c:pt>
                <c:pt idx="707">
                  <c:v>0.25</c:v>
                </c:pt>
                <c:pt idx="708">
                  <c:v>0.34999999999999787</c:v>
                </c:pt>
                <c:pt idx="709">
                  <c:v>0.30000000000000071</c:v>
                </c:pt>
                <c:pt idx="710">
                  <c:v>0.25</c:v>
                </c:pt>
                <c:pt idx="711">
                  <c:v>0.30000000000000071</c:v>
                </c:pt>
                <c:pt idx="712">
                  <c:v>0.30000000000000071</c:v>
                </c:pt>
                <c:pt idx="713">
                  <c:v>0.30000000000000071</c:v>
                </c:pt>
                <c:pt idx="714">
                  <c:v>0.30000000000000071</c:v>
                </c:pt>
                <c:pt idx="715">
                  <c:v>0.30000000000000071</c:v>
                </c:pt>
                <c:pt idx="716">
                  <c:v>0.30000000000000071</c:v>
                </c:pt>
                <c:pt idx="717">
                  <c:v>0.25</c:v>
                </c:pt>
                <c:pt idx="718">
                  <c:v>0.25</c:v>
                </c:pt>
                <c:pt idx="719">
                  <c:v>0.30000000000000071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E7E-D241-9482-E88F3843B0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18780671"/>
        <c:axId val="1"/>
      </c:scatterChart>
      <c:valAx>
        <c:axId val="1018780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Time from Injection, 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Concentration Above Bkg,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18780671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4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'INJ Q3'!$C$20:$C$619</c:f>
              <c:numCache>
                <c:formatCode>0.00</c:formatCode>
                <c:ptCount val="600"/>
                <c:pt idx="0">
                  <c:v>0</c:v>
                </c:pt>
                <c:pt idx="1">
                  <c:v>1.9999998388811946</c:v>
                </c:pt>
                <c:pt idx="2">
                  <c:v>4.000000306405127</c:v>
                </c:pt>
                <c:pt idx="3">
                  <c:v>6.0000001452863216</c:v>
                </c:pt>
                <c:pt idx="4">
                  <c:v>7.9999999841675162</c:v>
                </c:pt>
                <c:pt idx="5">
                  <c:v>9.9999998230487108</c:v>
                </c:pt>
                <c:pt idx="6">
                  <c:v>12.000000290572643</c:v>
                </c:pt>
                <c:pt idx="7">
                  <c:v>14.000000129453838</c:v>
                </c:pt>
                <c:pt idx="8">
                  <c:v>15.999999968335032</c:v>
                </c:pt>
                <c:pt idx="9">
                  <c:v>17.999999807216227</c:v>
                </c:pt>
                <c:pt idx="10">
                  <c:v>20.00000027474016</c:v>
                </c:pt>
                <c:pt idx="11">
                  <c:v>22.000000113621354</c:v>
                </c:pt>
                <c:pt idx="12">
                  <c:v>23.999999952502549</c:v>
                </c:pt>
                <c:pt idx="13">
                  <c:v>25.999999791383743</c:v>
                </c:pt>
                <c:pt idx="14">
                  <c:v>28.000000258907676</c:v>
                </c:pt>
                <c:pt idx="15">
                  <c:v>30.00000009778887</c:v>
                </c:pt>
                <c:pt idx="16">
                  <c:v>31.999999936670065</c:v>
                </c:pt>
                <c:pt idx="17">
                  <c:v>33.99999977555126</c:v>
                </c:pt>
                <c:pt idx="18">
                  <c:v>36.000000243075192</c:v>
                </c:pt>
                <c:pt idx="19">
                  <c:v>38.000000081956387</c:v>
                </c:pt>
                <c:pt idx="20">
                  <c:v>39.999999920837581</c:v>
                </c:pt>
                <c:pt idx="21">
                  <c:v>41.999999759718776</c:v>
                </c:pt>
                <c:pt idx="22">
                  <c:v>44.000000227242708</c:v>
                </c:pt>
                <c:pt idx="23">
                  <c:v>46.000000066123903</c:v>
                </c:pt>
                <c:pt idx="24">
                  <c:v>47.999999905005097</c:v>
                </c:pt>
                <c:pt idx="25">
                  <c:v>50.00000037252903</c:v>
                </c:pt>
                <c:pt idx="26">
                  <c:v>52.000000211410224</c:v>
                </c:pt>
                <c:pt idx="27">
                  <c:v>54.000000050291419</c:v>
                </c:pt>
                <c:pt idx="28">
                  <c:v>55.999999889172614</c:v>
                </c:pt>
                <c:pt idx="29">
                  <c:v>58.000000356696546</c:v>
                </c:pt>
                <c:pt idx="30">
                  <c:v>60.000000195577741</c:v>
                </c:pt>
                <c:pt idx="31">
                  <c:v>62.000000034458935</c:v>
                </c:pt>
                <c:pt idx="32">
                  <c:v>63.99999987334013</c:v>
                </c:pt>
                <c:pt idx="33">
                  <c:v>66.000000340864062</c:v>
                </c:pt>
                <c:pt idx="34">
                  <c:v>68.000000179745257</c:v>
                </c:pt>
                <c:pt idx="35">
                  <c:v>70.000000018626451</c:v>
                </c:pt>
                <c:pt idx="36">
                  <c:v>71.999999857507646</c:v>
                </c:pt>
                <c:pt idx="37">
                  <c:v>74.000000325031579</c:v>
                </c:pt>
                <c:pt idx="38">
                  <c:v>76.000000163912773</c:v>
                </c:pt>
                <c:pt idx="39">
                  <c:v>78.000000002793968</c:v>
                </c:pt>
                <c:pt idx="40">
                  <c:v>79.999999841675162</c:v>
                </c:pt>
                <c:pt idx="41">
                  <c:v>82.000000309199095</c:v>
                </c:pt>
                <c:pt idx="42">
                  <c:v>84.000000148080289</c:v>
                </c:pt>
                <c:pt idx="43">
                  <c:v>85.999999986961484</c:v>
                </c:pt>
                <c:pt idx="44">
                  <c:v>87.999999825842679</c:v>
                </c:pt>
                <c:pt idx="45">
                  <c:v>90.000000293366611</c:v>
                </c:pt>
                <c:pt idx="46">
                  <c:v>92.000000132247806</c:v>
                </c:pt>
                <c:pt idx="47">
                  <c:v>93.999999971129</c:v>
                </c:pt>
                <c:pt idx="48">
                  <c:v>95.999999810010195</c:v>
                </c:pt>
                <c:pt idx="49">
                  <c:v>98.000000277534127</c:v>
                </c:pt>
                <c:pt idx="50">
                  <c:v>100.00000011641532</c:v>
                </c:pt>
                <c:pt idx="51">
                  <c:v>101.99999995529652</c:v>
                </c:pt>
                <c:pt idx="52">
                  <c:v>103.99999979417771</c:v>
                </c:pt>
                <c:pt idx="53">
                  <c:v>106.00000026170164</c:v>
                </c:pt>
                <c:pt idx="54">
                  <c:v>108.00000010058284</c:v>
                </c:pt>
                <c:pt idx="55">
                  <c:v>109.99999993946403</c:v>
                </c:pt>
                <c:pt idx="56">
                  <c:v>111.99999977834523</c:v>
                </c:pt>
                <c:pt idx="57">
                  <c:v>114.00000024586916</c:v>
                </c:pt>
                <c:pt idx="58">
                  <c:v>116.00000008475035</c:v>
                </c:pt>
                <c:pt idx="59">
                  <c:v>117.99999992363155</c:v>
                </c:pt>
                <c:pt idx="60">
                  <c:v>119.99999976251274</c:v>
                </c:pt>
                <c:pt idx="61">
                  <c:v>122.00000023003668</c:v>
                </c:pt>
                <c:pt idx="62">
                  <c:v>124.00000006891787</c:v>
                </c:pt>
                <c:pt idx="63">
                  <c:v>125.99999990779907</c:v>
                </c:pt>
                <c:pt idx="64">
                  <c:v>128.000000375323</c:v>
                </c:pt>
                <c:pt idx="65">
                  <c:v>130.00000021420419</c:v>
                </c:pt>
                <c:pt idx="66">
                  <c:v>132.00000005308539</c:v>
                </c:pt>
                <c:pt idx="67">
                  <c:v>133.99999989196658</c:v>
                </c:pt>
                <c:pt idx="68">
                  <c:v>136.00000035949051</c:v>
                </c:pt>
                <c:pt idx="69">
                  <c:v>138.00000019837171</c:v>
                </c:pt>
                <c:pt idx="70">
                  <c:v>140.0000000372529</c:v>
                </c:pt>
                <c:pt idx="71">
                  <c:v>141.9999998761341</c:v>
                </c:pt>
                <c:pt idx="72">
                  <c:v>144.00000034365803</c:v>
                </c:pt>
                <c:pt idx="73">
                  <c:v>146.00000018253922</c:v>
                </c:pt>
                <c:pt idx="74">
                  <c:v>148.00000002142042</c:v>
                </c:pt>
                <c:pt idx="75">
                  <c:v>149.99999986030161</c:v>
                </c:pt>
                <c:pt idx="76">
                  <c:v>152.00000032782555</c:v>
                </c:pt>
                <c:pt idx="77">
                  <c:v>154.00000016670674</c:v>
                </c:pt>
                <c:pt idx="78">
                  <c:v>156.00000000558794</c:v>
                </c:pt>
                <c:pt idx="79">
                  <c:v>157.99999984446913</c:v>
                </c:pt>
                <c:pt idx="80">
                  <c:v>160.00000031199306</c:v>
                </c:pt>
                <c:pt idx="81">
                  <c:v>162.00000015087426</c:v>
                </c:pt>
                <c:pt idx="82">
                  <c:v>163.99999998975545</c:v>
                </c:pt>
                <c:pt idx="83">
                  <c:v>165.99999982863665</c:v>
                </c:pt>
                <c:pt idx="84">
                  <c:v>168.00000029616058</c:v>
                </c:pt>
                <c:pt idx="85">
                  <c:v>170.00000013504177</c:v>
                </c:pt>
                <c:pt idx="86">
                  <c:v>171.99999997392297</c:v>
                </c:pt>
                <c:pt idx="87">
                  <c:v>173.99999981280416</c:v>
                </c:pt>
                <c:pt idx="88">
                  <c:v>176.00000028032809</c:v>
                </c:pt>
                <c:pt idx="89">
                  <c:v>178.00000011920929</c:v>
                </c:pt>
                <c:pt idx="90">
                  <c:v>179.99999995809048</c:v>
                </c:pt>
                <c:pt idx="91">
                  <c:v>181.99999979697168</c:v>
                </c:pt>
                <c:pt idx="92">
                  <c:v>184.00000026449561</c:v>
                </c:pt>
                <c:pt idx="93">
                  <c:v>186.00000010337681</c:v>
                </c:pt>
                <c:pt idx="94">
                  <c:v>187.999999942258</c:v>
                </c:pt>
                <c:pt idx="95">
                  <c:v>189.99999978113919</c:v>
                </c:pt>
                <c:pt idx="96">
                  <c:v>192.00000024866313</c:v>
                </c:pt>
                <c:pt idx="97">
                  <c:v>194.00000008754432</c:v>
                </c:pt>
                <c:pt idx="98">
                  <c:v>195.99999992642552</c:v>
                </c:pt>
                <c:pt idx="99">
                  <c:v>197.99999976530671</c:v>
                </c:pt>
                <c:pt idx="100">
                  <c:v>200.00000023283064</c:v>
                </c:pt>
                <c:pt idx="101">
                  <c:v>202.00000007171184</c:v>
                </c:pt>
                <c:pt idx="102">
                  <c:v>203.99999991059303</c:v>
                </c:pt>
                <c:pt idx="103">
                  <c:v>206.00000037811697</c:v>
                </c:pt>
                <c:pt idx="104">
                  <c:v>208.00000021699816</c:v>
                </c:pt>
                <c:pt idx="105">
                  <c:v>210.00000005587935</c:v>
                </c:pt>
                <c:pt idx="106">
                  <c:v>211.99999989476055</c:v>
                </c:pt>
                <c:pt idx="107">
                  <c:v>214.00000036228448</c:v>
                </c:pt>
                <c:pt idx="108">
                  <c:v>216.00000020116568</c:v>
                </c:pt>
                <c:pt idx="109">
                  <c:v>218.00000004004687</c:v>
                </c:pt>
                <c:pt idx="110">
                  <c:v>219.99999987892807</c:v>
                </c:pt>
                <c:pt idx="111">
                  <c:v>222.000000346452</c:v>
                </c:pt>
                <c:pt idx="112">
                  <c:v>224.00000018533319</c:v>
                </c:pt>
                <c:pt idx="113">
                  <c:v>226.00000002421439</c:v>
                </c:pt>
                <c:pt idx="114">
                  <c:v>227.99999986309558</c:v>
                </c:pt>
                <c:pt idx="115">
                  <c:v>230.00000033061951</c:v>
                </c:pt>
                <c:pt idx="116">
                  <c:v>232.00000016950071</c:v>
                </c:pt>
                <c:pt idx="117">
                  <c:v>234.0000000083819</c:v>
                </c:pt>
                <c:pt idx="118">
                  <c:v>235.9999998472631</c:v>
                </c:pt>
                <c:pt idx="119">
                  <c:v>238.00000031478703</c:v>
                </c:pt>
                <c:pt idx="120">
                  <c:v>240.00000015366822</c:v>
                </c:pt>
                <c:pt idx="121">
                  <c:v>241.99999999254942</c:v>
                </c:pt>
                <c:pt idx="122">
                  <c:v>243.99999983143061</c:v>
                </c:pt>
                <c:pt idx="123">
                  <c:v>246.00000029895455</c:v>
                </c:pt>
                <c:pt idx="124">
                  <c:v>248.00000013783574</c:v>
                </c:pt>
                <c:pt idx="125">
                  <c:v>249.99999997671694</c:v>
                </c:pt>
                <c:pt idx="126">
                  <c:v>251.99999981559813</c:v>
                </c:pt>
                <c:pt idx="127">
                  <c:v>254.00000028312206</c:v>
                </c:pt>
                <c:pt idx="128">
                  <c:v>256.00000012200326</c:v>
                </c:pt>
                <c:pt idx="129">
                  <c:v>257.99999996088445</c:v>
                </c:pt>
                <c:pt idx="130">
                  <c:v>259.99999979976565</c:v>
                </c:pt>
                <c:pt idx="131">
                  <c:v>262.00000026728958</c:v>
                </c:pt>
                <c:pt idx="132">
                  <c:v>264.00000010617077</c:v>
                </c:pt>
                <c:pt idx="133">
                  <c:v>265.99999994505197</c:v>
                </c:pt>
                <c:pt idx="134">
                  <c:v>267.99999978393316</c:v>
                </c:pt>
                <c:pt idx="135">
                  <c:v>270.0000002514571</c:v>
                </c:pt>
                <c:pt idx="136">
                  <c:v>272.00000009033829</c:v>
                </c:pt>
                <c:pt idx="137">
                  <c:v>273.99999992921948</c:v>
                </c:pt>
                <c:pt idx="138">
                  <c:v>275.99999976810068</c:v>
                </c:pt>
                <c:pt idx="139">
                  <c:v>278.00000023562461</c:v>
                </c:pt>
                <c:pt idx="140">
                  <c:v>280.00000007450581</c:v>
                </c:pt>
                <c:pt idx="141">
                  <c:v>281.999999913387</c:v>
                </c:pt>
                <c:pt idx="142">
                  <c:v>284.00000038091093</c:v>
                </c:pt>
                <c:pt idx="143">
                  <c:v>286.00000021979213</c:v>
                </c:pt>
                <c:pt idx="144">
                  <c:v>288.00000005867332</c:v>
                </c:pt>
                <c:pt idx="145">
                  <c:v>289.99999989755452</c:v>
                </c:pt>
                <c:pt idx="146">
                  <c:v>292.00000036507845</c:v>
                </c:pt>
                <c:pt idx="147">
                  <c:v>294.00000020395964</c:v>
                </c:pt>
                <c:pt idx="148">
                  <c:v>296.00000004284084</c:v>
                </c:pt>
                <c:pt idx="149">
                  <c:v>297.99999988172203</c:v>
                </c:pt>
                <c:pt idx="150">
                  <c:v>300.00000034924597</c:v>
                </c:pt>
                <c:pt idx="151">
                  <c:v>302.00000018812716</c:v>
                </c:pt>
                <c:pt idx="152">
                  <c:v>304.00000002700835</c:v>
                </c:pt>
                <c:pt idx="153">
                  <c:v>305.99999986588955</c:v>
                </c:pt>
                <c:pt idx="154">
                  <c:v>308.00000033341348</c:v>
                </c:pt>
                <c:pt idx="155">
                  <c:v>310.00000017229468</c:v>
                </c:pt>
                <c:pt idx="156">
                  <c:v>312.00000001117587</c:v>
                </c:pt>
                <c:pt idx="157">
                  <c:v>313.99999985005707</c:v>
                </c:pt>
                <c:pt idx="158">
                  <c:v>316.000000317581</c:v>
                </c:pt>
                <c:pt idx="159">
                  <c:v>318.00000015646219</c:v>
                </c:pt>
                <c:pt idx="160">
                  <c:v>319.99999999534339</c:v>
                </c:pt>
                <c:pt idx="161">
                  <c:v>321.99999983422458</c:v>
                </c:pt>
                <c:pt idx="162">
                  <c:v>324.00000030174851</c:v>
                </c:pt>
                <c:pt idx="163">
                  <c:v>326.00000014062971</c:v>
                </c:pt>
                <c:pt idx="164">
                  <c:v>327.9999999795109</c:v>
                </c:pt>
                <c:pt idx="165">
                  <c:v>329.9999998183921</c:v>
                </c:pt>
                <c:pt idx="166">
                  <c:v>332.00000028591603</c:v>
                </c:pt>
                <c:pt idx="167">
                  <c:v>334.00000012479722</c:v>
                </c:pt>
                <c:pt idx="168">
                  <c:v>335.99999996367842</c:v>
                </c:pt>
                <c:pt idx="169">
                  <c:v>337.99999980255961</c:v>
                </c:pt>
                <c:pt idx="170">
                  <c:v>340.00000027008355</c:v>
                </c:pt>
                <c:pt idx="171">
                  <c:v>342.00000010896474</c:v>
                </c:pt>
                <c:pt idx="172">
                  <c:v>343.99999994784594</c:v>
                </c:pt>
                <c:pt idx="173">
                  <c:v>345.99999978672713</c:v>
                </c:pt>
                <c:pt idx="174">
                  <c:v>348.00000025425106</c:v>
                </c:pt>
                <c:pt idx="175">
                  <c:v>350.00000009313226</c:v>
                </c:pt>
                <c:pt idx="176">
                  <c:v>351.99999993201345</c:v>
                </c:pt>
                <c:pt idx="177">
                  <c:v>353.99999977089465</c:v>
                </c:pt>
                <c:pt idx="178">
                  <c:v>356.00000023841858</c:v>
                </c:pt>
                <c:pt idx="179">
                  <c:v>358.00000007729977</c:v>
                </c:pt>
                <c:pt idx="180">
                  <c:v>359.99999991618097</c:v>
                </c:pt>
                <c:pt idx="181">
                  <c:v>362.0000003837049</c:v>
                </c:pt>
                <c:pt idx="182">
                  <c:v>364.0000002225861</c:v>
                </c:pt>
                <c:pt idx="183">
                  <c:v>366.00000006146729</c:v>
                </c:pt>
                <c:pt idx="184">
                  <c:v>367.99999990034848</c:v>
                </c:pt>
                <c:pt idx="185">
                  <c:v>370.00000036787242</c:v>
                </c:pt>
                <c:pt idx="186">
                  <c:v>372.00000020675361</c:v>
                </c:pt>
                <c:pt idx="187">
                  <c:v>374.00000004563481</c:v>
                </c:pt>
                <c:pt idx="188">
                  <c:v>375.999999884516</c:v>
                </c:pt>
                <c:pt idx="189">
                  <c:v>378.00000035203993</c:v>
                </c:pt>
                <c:pt idx="190">
                  <c:v>380.00000019092113</c:v>
                </c:pt>
                <c:pt idx="191">
                  <c:v>382.00000002980232</c:v>
                </c:pt>
                <c:pt idx="192">
                  <c:v>383.99999986868352</c:v>
                </c:pt>
                <c:pt idx="193">
                  <c:v>386.00000033620745</c:v>
                </c:pt>
                <c:pt idx="194">
                  <c:v>388.00000017508864</c:v>
                </c:pt>
                <c:pt idx="195">
                  <c:v>390.00000001396984</c:v>
                </c:pt>
                <c:pt idx="196">
                  <c:v>391.99999985285103</c:v>
                </c:pt>
                <c:pt idx="197">
                  <c:v>394.00000032037497</c:v>
                </c:pt>
                <c:pt idx="198">
                  <c:v>396.00000015925616</c:v>
                </c:pt>
                <c:pt idx="199">
                  <c:v>397.99999999813735</c:v>
                </c:pt>
                <c:pt idx="200">
                  <c:v>399.99999983701855</c:v>
                </c:pt>
                <c:pt idx="201">
                  <c:v>402.00000030454248</c:v>
                </c:pt>
                <c:pt idx="202">
                  <c:v>404.00000014342368</c:v>
                </c:pt>
                <c:pt idx="203">
                  <c:v>405.99999998230487</c:v>
                </c:pt>
                <c:pt idx="204">
                  <c:v>407.99999982118607</c:v>
                </c:pt>
                <c:pt idx="205">
                  <c:v>410.00000028871</c:v>
                </c:pt>
                <c:pt idx="206">
                  <c:v>412.00000012759119</c:v>
                </c:pt>
                <c:pt idx="207">
                  <c:v>413.99999996647239</c:v>
                </c:pt>
                <c:pt idx="208">
                  <c:v>415.99999980535358</c:v>
                </c:pt>
                <c:pt idx="209">
                  <c:v>418.00000027287751</c:v>
                </c:pt>
                <c:pt idx="210">
                  <c:v>420.00000011175871</c:v>
                </c:pt>
                <c:pt idx="211">
                  <c:v>421.9999999506399</c:v>
                </c:pt>
                <c:pt idx="212">
                  <c:v>423.9999997895211</c:v>
                </c:pt>
                <c:pt idx="213">
                  <c:v>426.00000025704503</c:v>
                </c:pt>
                <c:pt idx="214">
                  <c:v>428.00000009592623</c:v>
                </c:pt>
                <c:pt idx="215">
                  <c:v>429.99999993480742</c:v>
                </c:pt>
                <c:pt idx="216">
                  <c:v>431.99999977368861</c:v>
                </c:pt>
                <c:pt idx="217">
                  <c:v>434.00000024121255</c:v>
                </c:pt>
                <c:pt idx="218">
                  <c:v>436.00000008009374</c:v>
                </c:pt>
                <c:pt idx="219">
                  <c:v>437.99999991897494</c:v>
                </c:pt>
                <c:pt idx="220">
                  <c:v>439.99999975785613</c:v>
                </c:pt>
                <c:pt idx="221">
                  <c:v>442.00000022538006</c:v>
                </c:pt>
                <c:pt idx="222">
                  <c:v>444.00000006426126</c:v>
                </c:pt>
                <c:pt idx="223">
                  <c:v>445.99999990314245</c:v>
                </c:pt>
                <c:pt idx="224">
                  <c:v>448.00000037066638</c:v>
                </c:pt>
                <c:pt idx="225">
                  <c:v>450.00000020954758</c:v>
                </c:pt>
                <c:pt idx="226">
                  <c:v>452.00000004842877</c:v>
                </c:pt>
                <c:pt idx="227">
                  <c:v>453.99999988730997</c:v>
                </c:pt>
                <c:pt idx="228">
                  <c:v>456.0000003548339</c:v>
                </c:pt>
                <c:pt idx="229">
                  <c:v>458.0000001937151</c:v>
                </c:pt>
                <c:pt idx="230">
                  <c:v>460.00000003259629</c:v>
                </c:pt>
                <c:pt idx="231">
                  <c:v>461.99999987147748</c:v>
                </c:pt>
                <c:pt idx="232">
                  <c:v>464.00000033900142</c:v>
                </c:pt>
                <c:pt idx="233">
                  <c:v>466.00000017788261</c:v>
                </c:pt>
                <c:pt idx="234">
                  <c:v>468.00000001676381</c:v>
                </c:pt>
                <c:pt idx="235">
                  <c:v>469.999999855645</c:v>
                </c:pt>
                <c:pt idx="236">
                  <c:v>472.00000032316893</c:v>
                </c:pt>
                <c:pt idx="237">
                  <c:v>474.00000016205013</c:v>
                </c:pt>
                <c:pt idx="238">
                  <c:v>476.00000000093132</c:v>
                </c:pt>
                <c:pt idx="239">
                  <c:v>477.99999983981252</c:v>
                </c:pt>
                <c:pt idx="240">
                  <c:v>480.00000030733645</c:v>
                </c:pt>
                <c:pt idx="241">
                  <c:v>482.00000014621764</c:v>
                </c:pt>
                <c:pt idx="242">
                  <c:v>483.99999998509884</c:v>
                </c:pt>
                <c:pt idx="243">
                  <c:v>485.99999982398003</c:v>
                </c:pt>
                <c:pt idx="244">
                  <c:v>488.00000029150397</c:v>
                </c:pt>
                <c:pt idx="245">
                  <c:v>490.00000013038516</c:v>
                </c:pt>
                <c:pt idx="246">
                  <c:v>491.99999996926636</c:v>
                </c:pt>
                <c:pt idx="247">
                  <c:v>493.99999980814755</c:v>
                </c:pt>
                <c:pt idx="248">
                  <c:v>496.00000027567148</c:v>
                </c:pt>
                <c:pt idx="249">
                  <c:v>498.00000011455268</c:v>
                </c:pt>
                <c:pt idx="250">
                  <c:v>499.99999995343387</c:v>
                </c:pt>
                <c:pt idx="251">
                  <c:v>501.99999979231507</c:v>
                </c:pt>
                <c:pt idx="252">
                  <c:v>504.000000259839</c:v>
                </c:pt>
                <c:pt idx="253">
                  <c:v>506.00000009872019</c:v>
                </c:pt>
                <c:pt idx="254">
                  <c:v>507.99999993760139</c:v>
                </c:pt>
                <c:pt idx="255">
                  <c:v>509.99999977648258</c:v>
                </c:pt>
                <c:pt idx="256">
                  <c:v>512.00000024400651</c:v>
                </c:pt>
                <c:pt idx="257">
                  <c:v>514.00000008288771</c:v>
                </c:pt>
                <c:pt idx="258">
                  <c:v>515.9999999217689</c:v>
                </c:pt>
                <c:pt idx="259">
                  <c:v>517.9999997606501</c:v>
                </c:pt>
                <c:pt idx="260">
                  <c:v>520.00000022817403</c:v>
                </c:pt>
                <c:pt idx="261">
                  <c:v>522.00000006705523</c:v>
                </c:pt>
                <c:pt idx="262">
                  <c:v>523.99999990593642</c:v>
                </c:pt>
                <c:pt idx="263">
                  <c:v>526.00000037346035</c:v>
                </c:pt>
                <c:pt idx="264">
                  <c:v>528.00000021234155</c:v>
                </c:pt>
                <c:pt idx="265">
                  <c:v>530.00000005122274</c:v>
                </c:pt>
                <c:pt idx="266">
                  <c:v>531.99999989010394</c:v>
                </c:pt>
                <c:pt idx="267">
                  <c:v>534.00000035762787</c:v>
                </c:pt>
                <c:pt idx="268">
                  <c:v>536.00000019650906</c:v>
                </c:pt>
                <c:pt idx="269">
                  <c:v>538.00000003539026</c:v>
                </c:pt>
                <c:pt idx="270">
                  <c:v>539.99999987427145</c:v>
                </c:pt>
                <c:pt idx="271">
                  <c:v>542.00000034179538</c:v>
                </c:pt>
                <c:pt idx="272">
                  <c:v>544.00000018067658</c:v>
                </c:pt>
                <c:pt idx="273">
                  <c:v>546.00000001955777</c:v>
                </c:pt>
                <c:pt idx="274">
                  <c:v>547.99999985843897</c:v>
                </c:pt>
                <c:pt idx="275">
                  <c:v>550.0000003259629</c:v>
                </c:pt>
                <c:pt idx="276">
                  <c:v>552.0000001648441</c:v>
                </c:pt>
                <c:pt idx="277">
                  <c:v>554.00000000372529</c:v>
                </c:pt>
                <c:pt idx="278">
                  <c:v>555.99999984260648</c:v>
                </c:pt>
                <c:pt idx="279">
                  <c:v>558.00000031013042</c:v>
                </c:pt>
                <c:pt idx="280">
                  <c:v>560.00000014901161</c:v>
                </c:pt>
                <c:pt idx="281">
                  <c:v>561.99999998789281</c:v>
                </c:pt>
                <c:pt idx="282">
                  <c:v>563.999999826774</c:v>
                </c:pt>
                <c:pt idx="283">
                  <c:v>566.00000029429793</c:v>
                </c:pt>
                <c:pt idx="284">
                  <c:v>568.00000013317913</c:v>
                </c:pt>
                <c:pt idx="285">
                  <c:v>569.99999997206032</c:v>
                </c:pt>
                <c:pt idx="286">
                  <c:v>571.99999981094152</c:v>
                </c:pt>
                <c:pt idx="287">
                  <c:v>574.00000027846545</c:v>
                </c:pt>
                <c:pt idx="288">
                  <c:v>576.00000011734664</c:v>
                </c:pt>
                <c:pt idx="289">
                  <c:v>577.99999995622784</c:v>
                </c:pt>
                <c:pt idx="290">
                  <c:v>579.99999979510903</c:v>
                </c:pt>
                <c:pt idx="291">
                  <c:v>582.00000026263297</c:v>
                </c:pt>
                <c:pt idx="292">
                  <c:v>584.00000010151416</c:v>
                </c:pt>
                <c:pt idx="293">
                  <c:v>585.99999994039536</c:v>
                </c:pt>
                <c:pt idx="294">
                  <c:v>587.99999977927655</c:v>
                </c:pt>
                <c:pt idx="295">
                  <c:v>590.00000024680048</c:v>
                </c:pt>
                <c:pt idx="296">
                  <c:v>592.00000008568168</c:v>
                </c:pt>
                <c:pt idx="297">
                  <c:v>593.99999992456287</c:v>
                </c:pt>
                <c:pt idx="298">
                  <c:v>595.99999976344407</c:v>
                </c:pt>
                <c:pt idx="299">
                  <c:v>598.000000230968</c:v>
                </c:pt>
                <c:pt idx="300">
                  <c:v>600.00000006984919</c:v>
                </c:pt>
                <c:pt idx="301">
                  <c:v>601.99999990873039</c:v>
                </c:pt>
                <c:pt idx="302">
                  <c:v>604.00000037625432</c:v>
                </c:pt>
                <c:pt idx="303">
                  <c:v>606.00000021513551</c:v>
                </c:pt>
                <c:pt idx="304">
                  <c:v>608.00000005401671</c:v>
                </c:pt>
                <c:pt idx="305">
                  <c:v>609.9999998928979</c:v>
                </c:pt>
                <c:pt idx="306">
                  <c:v>612.00000036042184</c:v>
                </c:pt>
                <c:pt idx="307">
                  <c:v>614.00000019930303</c:v>
                </c:pt>
                <c:pt idx="308">
                  <c:v>616.00000003818423</c:v>
                </c:pt>
                <c:pt idx="309">
                  <c:v>617.99999987706542</c:v>
                </c:pt>
                <c:pt idx="310">
                  <c:v>620.00000034458935</c:v>
                </c:pt>
                <c:pt idx="311">
                  <c:v>622.00000018347055</c:v>
                </c:pt>
                <c:pt idx="312">
                  <c:v>624.00000002235174</c:v>
                </c:pt>
                <c:pt idx="313">
                  <c:v>625.99999986123294</c:v>
                </c:pt>
                <c:pt idx="314">
                  <c:v>628.00000032875687</c:v>
                </c:pt>
                <c:pt idx="315">
                  <c:v>630.00000016763806</c:v>
                </c:pt>
                <c:pt idx="316">
                  <c:v>632.00000000651926</c:v>
                </c:pt>
                <c:pt idx="317">
                  <c:v>633.99999984540045</c:v>
                </c:pt>
                <c:pt idx="318">
                  <c:v>636.00000031292439</c:v>
                </c:pt>
                <c:pt idx="319">
                  <c:v>638.00000015180558</c:v>
                </c:pt>
                <c:pt idx="320">
                  <c:v>639.99999999068677</c:v>
                </c:pt>
                <c:pt idx="321">
                  <c:v>641.99999982956797</c:v>
                </c:pt>
                <c:pt idx="322">
                  <c:v>644.0000002970919</c:v>
                </c:pt>
                <c:pt idx="323">
                  <c:v>646.0000001359731</c:v>
                </c:pt>
                <c:pt idx="324">
                  <c:v>647.99999997485429</c:v>
                </c:pt>
                <c:pt idx="325">
                  <c:v>649.99999981373549</c:v>
                </c:pt>
                <c:pt idx="326">
                  <c:v>652.00000028125942</c:v>
                </c:pt>
                <c:pt idx="327">
                  <c:v>654.00000012014061</c:v>
                </c:pt>
                <c:pt idx="328">
                  <c:v>655.99999995902181</c:v>
                </c:pt>
                <c:pt idx="329">
                  <c:v>657.999999797903</c:v>
                </c:pt>
                <c:pt idx="330">
                  <c:v>660.00000026542693</c:v>
                </c:pt>
                <c:pt idx="331">
                  <c:v>662.00000010430813</c:v>
                </c:pt>
                <c:pt idx="332">
                  <c:v>663.99999994318932</c:v>
                </c:pt>
                <c:pt idx="333">
                  <c:v>665.99999978207052</c:v>
                </c:pt>
                <c:pt idx="334">
                  <c:v>668.00000024959445</c:v>
                </c:pt>
                <c:pt idx="335">
                  <c:v>670.00000008847564</c:v>
                </c:pt>
                <c:pt idx="336">
                  <c:v>671.99999992735684</c:v>
                </c:pt>
                <c:pt idx="337">
                  <c:v>673.99999976623803</c:v>
                </c:pt>
                <c:pt idx="338">
                  <c:v>676.00000023376197</c:v>
                </c:pt>
                <c:pt idx="339">
                  <c:v>678.00000007264316</c:v>
                </c:pt>
                <c:pt idx="340">
                  <c:v>679.99999991152436</c:v>
                </c:pt>
                <c:pt idx="341">
                  <c:v>682.00000037904829</c:v>
                </c:pt>
                <c:pt idx="342">
                  <c:v>684.00000021792948</c:v>
                </c:pt>
                <c:pt idx="343">
                  <c:v>686.00000005681068</c:v>
                </c:pt>
                <c:pt idx="344">
                  <c:v>687.99999989569187</c:v>
                </c:pt>
                <c:pt idx="345">
                  <c:v>690.0000003632158</c:v>
                </c:pt>
                <c:pt idx="346">
                  <c:v>692.000000202097</c:v>
                </c:pt>
                <c:pt idx="347">
                  <c:v>694.00000004097819</c:v>
                </c:pt>
                <c:pt idx="348">
                  <c:v>695.99999987985939</c:v>
                </c:pt>
                <c:pt idx="349">
                  <c:v>698.00000034738332</c:v>
                </c:pt>
                <c:pt idx="350">
                  <c:v>700.00000018626451</c:v>
                </c:pt>
                <c:pt idx="351">
                  <c:v>702.00000002514571</c:v>
                </c:pt>
                <c:pt idx="352">
                  <c:v>703.9999998640269</c:v>
                </c:pt>
                <c:pt idx="353">
                  <c:v>706.00000033155084</c:v>
                </c:pt>
                <c:pt idx="354">
                  <c:v>708.00000017043203</c:v>
                </c:pt>
                <c:pt idx="355">
                  <c:v>710.00000000931323</c:v>
                </c:pt>
                <c:pt idx="356">
                  <c:v>711.99999984819442</c:v>
                </c:pt>
                <c:pt idx="357">
                  <c:v>714.00000031571835</c:v>
                </c:pt>
                <c:pt idx="358">
                  <c:v>716.00000015459955</c:v>
                </c:pt>
                <c:pt idx="359">
                  <c:v>717.99999999348074</c:v>
                </c:pt>
                <c:pt idx="360">
                  <c:v>719.99999983236194</c:v>
                </c:pt>
                <c:pt idx="361">
                  <c:v>722.00000029988587</c:v>
                </c:pt>
                <c:pt idx="362">
                  <c:v>724.00000013876706</c:v>
                </c:pt>
                <c:pt idx="363">
                  <c:v>725.99999997764826</c:v>
                </c:pt>
                <c:pt idx="364">
                  <c:v>727.99999981652945</c:v>
                </c:pt>
                <c:pt idx="365">
                  <c:v>730.00000028405339</c:v>
                </c:pt>
                <c:pt idx="366">
                  <c:v>732.00000012293458</c:v>
                </c:pt>
                <c:pt idx="367">
                  <c:v>733.99999996181577</c:v>
                </c:pt>
                <c:pt idx="368">
                  <c:v>735.99999980069697</c:v>
                </c:pt>
                <c:pt idx="369">
                  <c:v>738.0000002682209</c:v>
                </c:pt>
                <c:pt idx="370">
                  <c:v>740.0000001071021</c:v>
                </c:pt>
                <c:pt idx="371">
                  <c:v>741.99999994598329</c:v>
                </c:pt>
                <c:pt idx="372">
                  <c:v>743.99999978486449</c:v>
                </c:pt>
                <c:pt idx="373">
                  <c:v>746.00000025238842</c:v>
                </c:pt>
                <c:pt idx="374">
                  <c:v>748.00000009126961</c:v>
                </c:pt>
                <c:pt idx="375">
                  <c:v>749.99999993015081</c:v>
                </c:pt>
                <c:pt idx="376">
                  <c:v>751.999999769032</c:v>
                </c:pt>
                <c:pt idx="377">
                  <c:v>754.00000023655593</c:v>
                </c:pt>
                <c:pt idx="378">
                  <c:v>756.00000007543713</c:v>
                </c:pt>
                <c:pt idx="379">
                  <c:v>757.99999991431832</c:v>
                </c:pt>
                <c:pt idx="380">
                  <c:v>760.00000038184226</c:v>
                </c:pt>
                <c:pt idx="381">
                  <c:v>762.00000022072345</c:v>
                </c:pt>
                <c:pt idx="382">
                  <c:v>764.00000005960464</c:v>
                </c:pt>
                <c:pt idx="383">
                  <c:v>765.99999989848584</c:v>
                </c:pt>
                <c:pt idx="384">
                  <c:v>768.00000036600977</c:v>
                </c:pt>
                <c:pt idx="385">
                  <c:v>770.00000020489097</c:v>
                </c:pt>
                <c:pt idx="386">
                  <c:v>772.00000004377216</c:v>
                </c:pt>
                <c:pt idx="387">
                  <c:v>773.99999988265336</c:v>
                </c:pt>
                <c:pt idx="388">
                  <c:v>776.00000035017729</c:v>
                </c:pt>
                <c:pt idx="389">
                  <c:v>778.00000018905848</c:v>
                </c:pt>
                <c:pt idx="390">
                  <c:v>780.00000002793968</c:v>
                </c:pt>
                <c:pt idx="391">
                  <c:v>781.99999986682087</c:v>
                </c:pt>
                <c:pt idx="392">
                  <c:v>784.0000003343448</c:v>
                </c:pt>
                <c:pt idx="393">
                  <c:v>786.000000173226</c:v>
                </c:pt>
                <c:pt idx="394">
                  <c:v>788.00000001210719</c:v>
                </c:pt>
                <c:pt idx="395">
                  <c:v>789.99999985098839</c:v>
                </c:pt>
                <c:pt idx="396">
                  <c:v>792.00000031851232</c:v>
                </c:pt>
                <c:pt idx="397">
                  <c:v>794.00000015739352</c:v>
                </c:pt>
                <c:pt idx="398">
                  <c:v>795.99999999627471</c:v>
                </c:pt>
                <c:pt idx="399">
                  <c:v>797.9999998351559</c:v>
                </c:pt>
                <c:pt idx="400">
                  <c:v>800.00000030267984</c:v>
                </c:pt>
                <c:pt idx="401">
                  <c:v>802.00000014156103</c:v>
                </c:pt>
                <c:pt idx="402">
                  <c:v>803.99999998044223</c:v>
                </c:pt>
                <c:pt idx="403">
                  <c:v>805.99999981932342</c:v>
                </c:pt>
                <c:pt idx="404">
                  <c:v>808.00000028684735</c:v>
                </c:pt>
                <c:pt idx="405">
                  <c:v>810.00000012572855</c:v>
                </c:pt>
                <c:pt idx="406">
                  <c:v>811.99999996460974</c:v>
                </c:pt>
                <c:pt idx="407">
                  <c:v>813.99999980349094</c:v>
                </c:pt>
                <c:pt idx="408">
                  <c:v>816.00000027101487</c:v>
                </c:pt>
                <c:pt idx="409">
                  <c:v>818.00000010989606</c:v>
                </c:pt>
                <c:pt idx="410">
                  <c:v>819.99999994877726</c:v>
                </c:pt>
                <c:pt idx="411">
                  <c:v>821.99999978765845</c:v>
                </c:pt>
                <c:pt idx="412">
                  <c:v>824.00000025518239</c:v>
                </c:pt>
                <c:pt idx="413">
                  <c:v>826.00000009406358</c:v>
                </c:pt>
                <c:pt idx="414">
                  <c:v>827.99999993294477</c:v>
                </c:pt>
                <c:pt idx="415">
                  <c:v>829.99999977182597</c:v>
                </c:pt>
                <c:pt idx="416">
                  <c:v>832.0000002393499</c:v>
                </c:pt>
                <c:pt idx="417">
                  <c:v>834.0000000782311</c:v>
                </c:pt>
                <c:pt idx="418">
                  <c:v>835.99999991711229</c:v>
                </c:pt>
                <c:pt idx="419">
                  <c:v>837.99999975599349</c:v>
                </c:pt>
                <c:pt idx="420">
                  <c:v>840.00000022351742</c:v>
                </c:pt>
                <c:pt idx="421">
                  <c:v>842.00000006239861</c:v>
                </c:pt>
                <c:pt idx="422">
                  <c:v>843.99999990127981</c:v>
                </c:pt>
                <c:pt idx="423">
                  <c:v>846.00000036880374</c:v>
                </c:pt>
                <c:pt idx="424">
                  <c:v>848.00000020768493</c:v>
                </c:pt>
                <c:pt idx="425">
                  <c:v>850.00000004656613</c:v>
                </c:pt>
                <c:pt idx="426">
                  <c:v>851.99999988544732</c:v>
                </c:pt>
                <c:pt idx="427">
                  <c:v>854.00000035297126</c:v>
                </c:pt>
                <c:pt idx="428">
                  <c:v>856.00000019185245</c:v>
                </c:pt>
                <c:pt idx="429">
                  <c:v>858.00000003073364</c:v>
                </c:pt>
                <c:pt idx="430">
                  <c:v>859.99999986961484</c:v>
                </c:pt>
                <c:pt idx="431">
                  <c:v>862.00000033713877</c:v>
                </c:pt>
                <c:pt idx="432">
                  <c:v>864.00000017601997</c:v>
                </c:pt>
                <c:pt idx="433">
                  <c:v>866.00000001490116</c:v>
                </c:pt>
                <c:pt idx="434">
                  <c:v>867.99999985378236</c:v>
                </c:pt>
                <c:pt idx="435">
                  <c:v>870.00000032130629</c:v>
                </c:pt>
                <c:pt idx="436">
                  <c:v>872.00000016018748</c:v>
                </c:pt>
                <c:pt idx="437">
                  <c:v>873.99999999906868</c:v>
                </c:pt>
                <c:pt idx="438">
                  <c:v>875.99999983794987</c:v>
                </c:pt>
                <c:pt idx="439">
                  <c:v>878.0000003054738</c:v>
                </c:pt>
                <c:pt idx="440">
                  <c:v>880.000000144355</c:v>
                </c:pt>
                <c:pt idx="441">
                  <c:v>881.99999998323619</c:v>
                </c:pt>
                <c:pt idx="442">
                  <c:v>883.99999982211739</c:v>
                </c:pt>
                <c:pt idx="443">
                  <c:v>886.00000028964132</c:v>
                </c:pt>
                <c:pt idx="444">
                  <c:v>888.00000012852252</c:v>
                </c:pt>
                <c:pt idx="445">
                  <c:v>889.99999996740371</c:v>
                </c:pt>
                <c:pt idx="446">
                  <c:v>891.9999998062849</c:v>
                </c:pt>
                <c:pt idx="447">
                  <c:v>894.00000027380884</c:v>
                </c:pt>
                <c:pt idx="448">
                  <c:v>896.00000011269003</c:v>
                </c:pt>
                <c:pt idx="449">
                  <c:v>897.99999995157123</c:v>
                </c:pt>
                <c:pt idx="450">
                  <c:v>899.99999979045242</c:v>
                </c:pt>
                <c:pt idx="451">
                  <c:v>902.00000025797635</c:v>
                </c:pt>
                <c:pt idx="452">
                  <c:v>904.00000009685755</c:v>
                </c:pt>
                <c:pt idx="453">
                  <c:v>905.99999993573874</c:v>
                </c:pt>
                <c:pt idx="454">
                  <c:v>907.99999977461994</c:v>
                </c:pt>
                <c:pt idx="455">
                  <c:v>910.00000024214387</c:v>
                </c:pt>
                <c:pt idx="456">
                  <c:v>912.00000008102506</c:v>
                </c:pt>
                <c:pt idx="457">
                  <c:v>913.99999991990626</c:v>
                </c:pt>
                <c:pt idx="458">
                  <c:v>915.99999975878745</c:v>
                </c:pt>
                <c:pt idx="459">
                  <c:v>918.00000022631139</c:v>
                </c:pt>
                <c:pt idx="460">
                  <c:v>920.00000006519258</c:v>
                </c:pt>
                <c:pt idx="461">
                  <c:v>921.99999990407377</c:v>
                </c:pt>
                <c:pt idx="462">
                  <c:v>924.00000037159771</c:v>
                </c:pt>
                <c:pt idx="463">
                  <c:v>926.0000002104789</c:v>
                </c:pt>
                <c:pt idx="464">
                  <c:v>928.0000000493601</c:v>
                </c:pt>
                <c:pt idx="465">
                  <c:v>929.99999988824129</c:v>
                </c:pt>
                <c:pt idx="466">
                  <c:v>932.00000035576522</c:v>
                </c:pt>
                <c:pt idx="467">
                  <c:v>934.00000019464642</c:v>
                </c:pt>
                <c:pt idx="468">
                  <c:v>936.00000003352761</c:v>
                </c:pt>
                <c:pt idx="469">
                  <c:v>937.99999987240881</c:v>
                </c:pt>
                <c:pt idx="470">
                  <c:v>940.00000033993274</c:v>
                </c:pt>
                <c:pt idx="471">
                  <c:v>942.00000017881393</c:v>
                </c:pt>
                <c:pt idx="472">
                  <c:v>944.00000001769513</c:v>
                </c:pt>
                <c:pt idx="473">
                  <c:v>945.99999985657632</c:v>
                </c:pt>
                <c:pt idx="474">
                  <c:v>948.00000032410026</c:v>
                </c:pt>
                <c:pt idx="475">
                  <c:v>950.00000016298145</c:v>
                </c:pt>
                <c:pt idx="476">
                  <c:v>952.00000000186265</c:v>
                </c:pt>
                <c:pt idx="477">
                  <c:v>953.99999984074384</c:v>
                </c:pt>
                <c:pt idx="478">
                  <c:v>956.00000030826777</c:v>
                </c:pt>
                <c:pt idx="479">
                  <c:v>958.00000014714897</c:v>
                </c:pt>
                <c:pt idx="480">
                  <c:v>959.99999998603016</c:v>
                </c:pt>
                <c:pt idx="481">
                  <c:v>961.99999982491136</c:v>
                </c:pt>
                <c:pt idx="482">
                  <c:v>964.00000029243529</c:v>
                </c:pt>
                <c:pt idx="483">
                  <c:v>966.00000013131648</c:v>
                </c:pt>
                <c:pt idx="484">
                  <c:v>967.99999997019768</c:v>
                </c:pt>
                <c:pt idx="485">
                  <c:v>969.99999980907887</c:v>
                </c:pt>
                <c:pt idx="486">
                  <c:v>972.0000002766028</c:v>
                </c:pt>
                <c:pt idx="487">
                  <c:v>974.000000115484</c:v>
                </c:pt>
                <c:pt idx="488">
                  <c:v>975.99999995436519</c:v>
                </c:pt>
                <c:pt idx="489">
                  <c:v>977.99999979324639</c:v>
                </c:pt>
                <c:pt idx="490">
                  <c:v>980.00000026077032</c:v>
                </c:pt>
                <c:pt idx="491">
                  <c:v>982.00000009965152</c:v>
                </c:pt>
                <c:pt idx="492">
                  <c:v>983.99999993853271</c:v>
                </c:pt>
                <c:pt idx="493">
                  <c:v>985.9999997774139</c:v>
                </c:pt>
                <c:pt idx="494">
                  <c:v>988.00000024493784</c:v>
                </c:pt>
                <c:pt idx="495">
                  <c:v>990.00000008381903</c:v>
                </c:pt>
                <c:pt idx="496">
                  <c:v>991.99999992270023</c:v>
                </c:pt>
                <c:pt idx="497">
                  <c:v>993.99999976158142</c:v>
                </c:pt>
                <c:pt idx="498">
                  <c:v>996.00000022910535</c:v>
                </c:pt>
                <c:pt idx="499">
                  <c:v>998.00000006798655</c:v>
                </c:pt>
                <c:pt idx="500">
                  <c:v>999.99999990686774</c:v>
                </c:pt>
                <c:pt idx="501">
                  <c:v>1002.0000003743917</c:v>
                </c:pt>
                <c:pt idx="502">
                  <c:v>1004.0000002132729</c:v>
                </c:pt>
                <c:pt idx="503">
                  <c:v>1006.0000000521541</c:v>
                </c:pt>
                <c:pt idx="504">
                  <c:v>1007.9999998910353</c:v>
                </c:pt>
                <c:pt idx="505">
                  <c:v>1010.0000003585592</c:v>
                </c:pt>
                <c:pt idx="506">
                  <c:v>1012.0000001974404</c:v>
                </c:pt>
                <c:pt idx="507">
                  <c:v>1014.0000000363216</c:v>
                </c:pt>
                <c:pt idx="508">
                  <c:v>1015.9999998752028</c:v>
                </c:pt>
                <c:pt idx="509">
                  <c:v>1018.0000003427267</c:v>
                </c:pt>
                <c:pt idx="510">
                  <c:v>1020.0000001816079</c:v>
                </c:pt>
                <c:pt idx="511">
                  <c:v>1022.0000000204891</c:v>
                </c:pt>
                <c:pt idx="512">
                  <c:v>1023.9999998593703</c:v>
                </c:pt>
                <c:pt idx="513">
                  <c:v>1026.0000003268942</c:v>
                </c:pt>
                <c:pt idx="514">
                  <c:v>1028.0000001657754</c:v>
                </c:pt>
                <c:pt idx="515">
                  <c:v>1030.0000000046566</c:v>
                </c:pt>
                <c:pt idx="516">
                  <c:v>1031.9999998435378</c:v>
                </c:pt>
                <c:pt idx="517">
                  <c:v>1034.0000003110617</c:v>
                </c:pt>
                <c:pt idx="518">
                  <c:v>1036.0000001499429</c:v>
                </c:pt>
                <c:pt idx="519">
                  <c:v>1037.9999999888241</c:v>
                </c:pt>
                <c:pt idx="520">
                  <c:v>1039.9999998277053</c:v>
                </c:pt>
                <c:pt idx="521">
                  <c:v>1042.0000002952293</c:v>
                </c:pt>
                <c:pt idx="522">
                  <c:v>1044.0000001341105</c:v>
                </c:pt>
                <c:pt idx="523">
                  <c:v>1045.9999999729916</c:v>
                </c:pt>
                <c:pt idx="524">
                  <c:v>1047.9999998118728</c:v>
                </c:pt>
                <c:pt idx="525">
                  <c:v>1050.0000002793968</c:v>
                </c:pt>
                <c:pt idx="526">
                  <c:v>1052.000000118278</c:v>
                </c:pt>
                <c:pt idx="527">
                  <c:v>1053.9999999571592</c:v>
                </c:pt>
                <c:pt idx="528">
                  <c:v>1055.9999997960404</c:v>
                </c:pt>
                <c:pt idx="529">
                  <c:v>1058.0000002635643</c:v>
                </c:pt>
                <c:pt idx="530">
                  <c:v>1060.0000001024455</c:v>
                </c:pt>
                <c:pt idx="531">
                  <c:v>1061.9999999413267</c:v>
                </c:pt>
                <c:pt idx="532">
                  <c:v>1063.9999997802079</c:v>
                </c:pt>
                <c:pt idx="533">
                  <c:v>1066.0000002477318</c:v>
                </c:pt>
                <c:pt idx="534">
                  <c:v>1068.000000086613</c:v>
                </c:pt>
                <c:pt idx="535">
                  <c:v>1069.9999999254942</c:v>
                </c:pt>
                <c:pt idx="536">
                  <c:v>1071.9999997643754</c:v>
                </c:pt>
                <c:pt idx="537">
                  <c:v>1074.0000002318993</c:v>
                </c:pt>
                <c:pt idx="538">
                  <c:v>1076.0000000707805</c:v>
                </c:pt>
                <c:pt idx="539">
                  <c:v>1077.9999999096617</c:v>
                </c:pt>
                <c:pt idx="540">
                  <c:v>1080.0000003771856</c:v>
                </c:pt>
                <c:pt idx="541">
                  <c:v>1082.0000002160668</c:v>
                </c:pt>
                <c:pt idx="542">
                  <c:v>1084.000000054948</c:v>
                </c:pt>
                <c:pt idx="543">
                  <c:v>1085.9999998938292</c:v>
                </c:pt>
                <c:pt idx="544">
                  <c:v>1088.0000003613532</c:v>
                </c:pt>
                <c:pt idx="545">
                  <c:v>1090.0000002002344</c:v>
                </c:pt>
                <c:pt idx="546">
                  <c:v>1092.0000000391155</c:v>
                </c:pt>
                <c:pt idx="547">
                  <c:v>1093.9999998779967</c:v>
                </c:pt>
                <c:pt idx="548">
                  <c:v>1096.0000003455207</c:v>
                </c:pt>
                <c:pt idx="549">
                  <c:v>1098.0000001844019</c:v>
                </c:pt>
                <c:pt idx="550">
                  <c:v>1100.0000000232831</c:v>
                </c:pt>
                <c:pt idx="551">
                  <c:v>1101.9999998621643</c:v>
                </c:pt>
                <c:pt idx="552">
                  <c:v>1104.0000003296882</c:v>
                </c:pt>
                <c:pt idx="553">
                  <c:v>1106.0000001685694</c:v>
                </c:pt>
                <c:pt idx="554">
                  <c:v>1108.0000000074506</c:v>
                </c:pt>
                <c:pt idx="555">
                  <c:v>1109.9999998463318</c:v>
                </c:pt>
                <c:pt idx="556">
                  <c:v>1112.0000003138557</c:v>
                </c:pt>
                <c:pt idx="557">
                  <c:v>1114.0000001527369</c:v>
                </c:pt>
                <c:pt idx="558">
                  <c:v>1115.9999999916181</c:v>
                </c:pt>
                <c:pt idx="559">
                  <c:v>1117.9999998304993</c:v>
                </c:pt>
                <c:pt idx="560">
                  <c:v>1120.0000002980232</c:v>
                </c:pt>
                <c:pt idx="561">
                  <c:v>1122.0000001369044</c:v>
                </c:pt>
                <c:pt idx="562">
                  <c:v>1123.9999999757856</c:v>
                </c:pt>
                <c:pt idx="563">
                  <c:v>1125.9999998146668</c:v>
                </c:pt>
                <c:pt idx="564">
                  <c:v>1128.0000002821907</c:v>
                </c:pt>
                <c:pt idx="565">
                  <c:v>1130.0000001210719</c:v>
                </c:pt>
                <c:pt idx="566">
                  <c:v>1131.9999999599531</c:v>
                </c:pt>
                <c:pt idx="567">
                  <c:v>1133.9999997988343</c:v>
                </c:pt>
                <c:pt idx="568">
                  <c:v>1136.0000002663583</c:v>
                </c:pt>
                <c:pt idx="569">
                  <c:v>1138.0000001052395</c:v>
                </c:pt>
                <c:pt idx="570">
                  <c:v>1139.9999999441206</c:v>
                </c:pt>
                <c:pt idx="571">
                  <c:v>1141.9999997830018</c:v>
                </c:pt>
                <c:pt idx="572">
                  <c:v>1144.0000002505258</c:v>
                </c:pt>
                <c:pt idx="573">
                  <c:v>1146.000000089407</c:v>
                </c:pt>
                <c:pt idx="574">
                  <c:v>1147.9999999282882</c:v>
                </c:pt>
                <c:pt idx="575">
                  <c:v>1149.9999997671694</c:v>
                </c:pt>
                <c:pt idx="576">
                  <c:v>1152.0000002346933</c:v>
                </c:pt>
                <c:pt idx="577">
                  <c:v>1154.0000000735745</c:v>
                </c:pt>
                <c:pt idx="578">
                  <c:v>1155.9999999124557</c:v>
                </c:pt>
                <c:pt idx="579">
                  <c:v>1158.0000003799796</c:v>
                </c:pt>
                <c:pt idx="580">
                  <c:v>1160.0000002188608</c:v>
                </c:pt>
                <c:pt idx="581">
                  <c:v>1162.000000057742</c:v>
                </c:pt>
                <c:pt idx="582">
                  <c:v>1163.9999998966232</c:v>
                </c:pt>
                <c:pt idx="583">
                  <c:v>1166.0000003641471</c:v>
                </c:pt>
                <c:pt idx="584">
                  <c:v>1168.0000002030283</c:v>
                </c:pt>
                <c:pt idx="585">
                  <c:v>1170.0000000419095</c:v>
                </c:pt>
                <c:pt idx="586">
                  <c:v>1171.9999998807907</c:v>
                </c:pt>
                <c:pt idx="587">
                  <c:v>1174.0000003483146</c:v>
                </c:pt>
                <c:pt idx="588">
                  <c:v>1176.0000001871958</c:v>
                </c:pt>
                <c:pt idx="589">
                  <c:v>1178.000000026077</c:v>
                </c:pt>
                <c:pt idx="590">
                  <c:v>1179.9999998649582</c:v>
                </c:pt>
                <c:pt idx="591">
                  <c:v>1182.0000003324822</c:v>
                </c:pt>
                <c:pt idx="592">
                  <c:v>1184.0000001713634</c:v>
                </c:pt>
                <c:pt idx="593">
                  <c:v>1186.0000000102445</c:v>
                </c:pt>
                <c:pt idx="594">
                  <c:v>1187.9999998491257</c:v>
                </c:pt>
                <c:pt idx="595">
                  <c:v>1190.0000003166497</c:v>
                </c:pt>
                <c:pt idx="596">
                  <c:v>1192.0000001555309</c:v>
                </c:pt>
                <c:pt idx="597">
                  <c:v>1193.9999999944121</c:v>
                </c:pt>
                <c:pt idx="598">
                  <c:v>1195.9999998332933</c:v>
                </c:pt>
                <c:pt idx="599">
                  <c:v>1198.0000003008172</c:v>
                </c:pt>
              </c:numCache>
            </c:numRef>
          </c:xVal>
          <c:yVal>
            <c:numRef>
              <c:f>'INJ Q3'!$G$20:$G$619</c:f>
              <c:numCache>
                <c:formatCode>0.00</c:formatCode>
                <c:ptCount val="6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0.14999999999999858</c:v>
                </c:pt>
                <c:pt idx="36">
                  <c:v>1</c:v>
                </c:pt>
                <c:pt idx="37">
                  <c:v>1.1999999999999993</c:v>
                </c:pt>
                <c:pt idx="38">
                  <c:v>2.6999999999999993</c:v>
                </c:pt>
                <c:pt idx="39">
                  <c:v>3.8999999999999986</c:v>
                </c:pt>
                <c:pt idx="40">
                  <c:v>6.0500000000000007</c:v>
                </c:pt>
                <c:pt idx="41">
                  <c:v>9.8999999999999986</c:v>
                </c:pt>
                <c:pt idx="42">
                  <c:v>12.8</c:v>
                </c:pt>
                <c:pt idx="43">
                  <c:v>14.650000000000002</c:v>
                </c:pt>
                <c:pt idx="44">
                  <c:v>19.05</c:v>
                </c:pt>
                <c:pt idx="45">
                  <c:v>20.7</c:v>
                </c:pt>
                <c:pt idx="46">
                  <c:v>26.45</c:v>
                </c:pt>
                <c:pt idx="47">
                  <c:v>28.95</c:v>
                </c:pt>
                <c:pt idx="48">
                  <c:v>34.299999999999997</c:v>
                </c:pt>
                <c:pt idx="49">
                  <c:v>36.650000000000006</c:v>
                </c:pt>
                <c:pt idx="50">
                  <c:v>41.05</c:v>
                </c:pt>
                <c:pt idx="51">
                  <c:v>45.400000000000006</c:v>
                </c:pt>
                <c:pt idx="52">
                  <c:v>47.45</c:v>
                </c:pt>
                <c:pt idx="53">
                  <c:v>50.8</c:v>
                </c:pt>
                <c:pt idx="54">
                  <c:v>52</c:v>
                </c:pt>
                <c:pt idx="55">
                  <c:v>54.850000000000009</c:v>
                </c:pt>
                <c:pt idx="56">
                  <c:v>56</c:v>
                </c:pt>
                <c:pt idx="57">
                  <c:v>56.8</c:v>
                </c:pt>
                <c:pt idx="58">
                  <c:v>58.8</c:v>
                </c:pt>
                <c:pt idx="59">
                  <c:v>58.25</c:v>
                </c:pt>
                <c:pt idx="60">
                  <c:v>59</c:v>
                </c:pt>
                <c:pt idx="61">
                  <c:v>58.150000000000006</c:v>
                </c:pt>
                <c:pt idx="62">
                  <c:v>58.150000000000006</c:v>
                </c:pt>
                <c:pt idx="63">
                  <c:v>57.95</c:v>
                </c:pt>
                <c:pt idx="64">
                  <c:v>57.5</c:v>
                </c:pt>
                <c:pt idx="65">
                  <c:v>57.150000000000006</c:v>
                </c:pt>
                <c:pt idx="66">
                  <c:v>56.100000000000009</c:v>
                </c:pt>
                <c:pt idx="67">
                  <c:v>55</c:v>
                </c:pt>
                <c:pt idx="68">
                  <c:v>53.650000000000006</c:v>
                </c:pt>
                <c:pt idx="69">
                  <c:v>52.7</c:v>
                </c:pt>
                <c:pt idx="70">
                  <c:v>50.350000000000009</c:v>
                </c:pt>
                <c:pt idx="71">
                  <c:v>49.850000000000009</c:v>
                </c:pt>
                <c:pt idx="72">
                  <c:v>48.900000000000006</c:v>
                </c:pt>
                <c:pt idx="73">
                  <c:v>46.95</c:v>
                </c:pt>
                <c:pt idx="74">
                  <c:v>45.650000000000006</c:v>
                </c:pt>
                <c:pt idx="75">
                  <c:v>44.45</c:v>
                </c:pt>
                <c:pt idx="76">
                  <c:v>42.400000000000006</c:v>
                </c:pt>
                <c:pt idx="77">
                  <c:v>41.25</c:v>
                </c:pt>
                <c:pt idx="78">
                  <c:v>40.5</c:v>
                </c:pt>
                <c:pt idx="79">
                  <c:v>38.150000000000006</c:v>
                </c:pt>
                <c:pt idx="80">
                  <c:v>36.849999999999994</c:v>
                </c:pt>
                <c:pt idx="81">
                  <c:v>35.400000000000006</c:v>
                </c:pt>
                <c:pt idx="82">
                  <c:v>33.599999999999994</c:v>
                </c:pt>
                <c:pt idx="83">
                  <c:v>32.5</c:v>
                </c:pt>
                <c:pt idx="84">
                  <c:v>31.8</c:v>
                </c:pt>
                <c:pt idx="85">
                  <c:v>29.999999999999996</c:v>
                </c:pt>
                <c:pt idx="86">
                  <c:v>28.8</c:v>
                </c:pt>
                <c:pt idx="87">
                  <c:v>27.650000000000002</c:v>
                </c:pt>
                <c:pt idx="88">
                  <c:v>26.45</c:v>
                </c:pt>
                <c:pt idx="89">
                  <c:v>25.400000000000002</c:v>
                </c:pt>
                <c:pt idx="90">
                  <c:v>24.249999999999996</c:v>
                </c:pt>
                <c:pt idx="91">
                  <c:v>23.099999999999998</c:v>
                </c:pt>
                <c:pt idx="92">
                  <c:v>22.249999999999996</c:v>
                </c:pt>
                <c:pt idx="93">
                  <c:v>21.749999999999996</c:v>
                </c:pt>
                <c:pt idx="94">
                  <c:v>20.400000000000002</c:v>
                </c:pt>
                <c:pt idx="95">
                  <c:v>19.999999999999996</c:v>
                </c:pt>
                <c:pt idx="96">
                  <c:v>18.099999999999998</c:v>
                </c:pt>
                <c:pt idx="97">
                  <c:v>18.249999999999996</c:v>
                </c:pt>
                <c:pt idx="98">
                  <c:v>16.900000000000002</c:v>
                </c:pt>
                <c:pt idx="99">
                  <c:v>16.2</c:v>
                </c:pt>
                <c:pt idx="100">
                  <c:v>15.7</c:v>
                </c:pt>
                <c:pt idx="101">
                  <c:v>15.2</c:v>
                </c:pt>
                <c:pt idx="102">
                  <c:v>14.499999999999996</c:v>
                </c:pt>
                <c:pt idx="103">
                  <c:v>14.099999999999998</c:v>
                </c:pt>
                <c:pt idx="104">
                  <c:v>12.8</c:v>
                </c:pt>
                <c:pt idx="105">
                  <c:v>12.650000000000002</c:v>
                </c:pt>
                <c:pt idx="106">
                  <c:v>11.75</c:v>
                </c:pt>
                <c:pt idx="107">
                  <c:v>11.45</c:v>
                </c:pt>
                <c:pt idx="108">
                  <c:v>11</c:v>
                </c:pt>
                <c:pt idx="109">
                  <c:v>10.849999999999998</c:v>
                </c:pt>
                <c:pt idx="110">
                  <c:v>10.099999999999998</c:v>
                </c:pt>
                <c:pt idx="111">
                  <c:v>9.8999999999999986</c:v>
                </c:pt>
                <c:pt idx="112">
                  <c:v>9.75</c:v>
                </c:pt>
                <c:pt idx="113">
                  <c:v>9.25</c:v>
                </c:pt>
                <c:pt idx="114">
                  <c:v>8.8499999999999979</c:v>
                </c:pt>
                <c:pt idx="115">
                  <c:v>8.5</c:v>
                </c:pt>
                <c:pt idx="116">
                  <c:v>8.1499999999999986</c:v>
                </c:pt>
                <c:pt idx="117">
                  <c:v>7.75</c:v>
                </c:pt>
                <c:pt idx="118">
                  <c:v>7.3999999999999986</c:v>
                </c:pt>
                <c:pt idx="119">
                  <c:v>6.8000000000000007</c:v>
                </c:pt>
                <c:pt idx="120">
                  <c:v>6.4499999999999993</c:v>
                </c:pt>
                <c:pt idx="121">
                  <c:v>6.5999999999999979</c:v>
                </c:pt>
                <c:pt idx="122">
                  <c:v>6.5999999999999979</c:v>
                </c:pt>
                <c:pt idx="123">
                  <c:v>6.1499999999999986</c:v>
                </c:pt>
                <c:pt idx="124">
                  <c:v>5.8999999999999986</c:v>
                </c:pt>
                <c:pt idx="125">
                  <c:v>5.5999999999999979</c:v>
                </c:pt>
                <c:pt idx="126">
                  <c:v>5.4499999999999993</c:v>
                </c:pt>
                <c:pt idx="127">
                  <c:v>5.4499999999999993</c:v>
                </c:pt>
                <c:pt idx="128">
                  <c:v>4.8999999999999986</c:v>
                </c:pt>
                <c:pt idx="129">
                  <c:v>4.75</c:v>
                </c:pt>
                <c:pt idx="130">
                  <c:v>4.5999999999999979</c:v>
                </c:pt>
                <c:pt idx="131">
                  <c:v>4.5999999999999979</c:v>
                </c:pt>
                <c:pt idx="132">
                  <c:v>4.4499999999999993</c:v>
                </c:pt>
                <c:pt idx="133">
                  <c:v>4.3499999999999979</c:v>
                </c:pt>
                <c:pt idx="134">
                  <c:v>4.0500000000000007</c:v>
                </c:pt>
                <c:pt idx="135">
                  <c:v>3.8999999999999986</c:v>
                </c:pt>
                <c:pt idx="136">
                  <c:v>3.5999999999999979</c:v>
                </c:pt>
                <c:pt idx="137">
                  <c:v>3.6999999999999993</c:v>
                </c:pt>
                <c:pt idx="138">
                  <c:v>3.5999999999999979</c:v>
                </c:pt>
                <c:pt idx="139">
                  <c:v>3.3999999999999986</c:v>
                </c:pt>
                <c:pt idx="140">
                  <c:v>3.3499999999999979</c:v>
                </c:pt>
                <c:pt idx="141">
                  <c:v>3.1999999999999993</c:v>
                </c:pt>
                <c:pt idx="142">
                  <c:v>3.0500000000000007</c:v>
                </c:pt>
                <c:pt idx="143">
                  <c:v>3.0500000000000007</c:v>
                </c:pt>
                <c:pt idx="144">
                  <c:v>2.8999999999999986</c:v>
                </c:pt>
                <c:pt idx="145">
                  <c:v>2.75</c:v>
                </c:pt>
                <c:pt idx="146">
                  <c:v>2.5999999999999979</c:v>
                </c:pt>
                <c:pt idx="147">
                  <c:v>2.5999999999999979</c:v>
                </c:pt>
                <c:pt idx="148">
                  <c:v>2.4499999999999993</c:v>
                </c:pt>
                <c:pt idx="149">
                  <c:v>2.5500000000000007</c:v>
                </c:pt>
                <c:pt idx="150">
                  <c:v>2.3499999999999979</c:v>
                </c:pt>
                <c:pt idx="151">
                  <c:v>2.25</c:v>
                </c:pt>
                <c:pt idx="152">
                  <c:v>2.1999999999999993</c:v>
                </c:pt>
                <c:pt idx="153">
                  <c:v>2.1999999999999993</c:v>
                </c:pt>
                <c:pt idx="154">
                  <c:v>2.0999999999999979</c:v>
                </c:pt>
                <c:pt idx="155">
                  <c:v>2.0500000000000007</c:v>
                </c:pt>
                <c:pt idx="156">
                  <c:v>1.9499999999999993</c:v>
                </c:pt>
                <c:pt idx="157">
                  <c:v>2.0500000000000007</c:v>
                </c:pt>
                <c:pt idx="158">
                  <c:v>1.8499999999999979</c:v>
                </c:pt>
                <c:pt idx="159">
                  <c:v>1.75</c:v>
                </c:pt>
                <c:pt idx="160">
                  <c:v>1.75</c:v>
                </c:pt>
                <c:pt idx="161">
                  <c:v>1.6999999999999993</c:v>
                </c:pt>
                <c:pt idx="162">
                  <c:v>1.5999999999999979</c:v>
                </c:pt>
                <c:pt idx="163">
                  <c:v>1.5999999999999979</c:v>
                </c:pt>
                <c:pt idx="164">
                  <c:v>1.5500000000000007</c:v>
                </c:pt>
                <c:pt idx="165">
                  <c:v>1.5500000000000007</c:v>
                </c:pt>
                <c:pt idx="166">
                  <c:v>1.4499999999999993</c:v>
                </c:pt>
                <c:pt idx="167">
                  <c:v>1.3999999999999986</c:v>
                </c:pt>
                <c:pt idx="168">
                  <c:v>1.3499999999999979</c:v>
                </c:pt>
                <c:pt idx="169">
                  <c:v>1.25</c:v>
                </c:pt>
                <c:pt idx="170">
                  <c:v>1.25</c:v>
                </c:pt>
                <c:pt idx="171">
                  <c:v>1.1999999999999993</c:v>
                </c:pt>
                <c:pt idx="172">
                  <c:v>1.1999999999999993</c:v>
                </c:pt>
                <c:pt idx="173">
                  <c:v>1.0999999999999979</c:v>
                </c:pt>
                <c:pt idx="174">
                  <c:v>1.0999999999999979</c:v>
                </c:pt>
                <c:pt idx="175">
                  <c:v>1.0999999999999979</c:v>
                </c:pt>
                <c:pt idx="176">
                  <c:v>1.0500000000000007</c:v>
                </c:pt>
                <c:pt idx="177">
                  <c:v>1.0500000000000007</c:v>
                </c:pt>
                <c:pt idx="178">
                  <c:v>1.0500000000000007</c:v>
                </c:pt>
                <c:pt idx="179">
                  <c:v>0.94999999999999929</c:v>
                </c:pt>
                <c:pt idx="180">
                  <c:v>0.94999999999999929</c:v>
                </c:pt>
                <c:pt idx="181">
                  <c:v>0.89999999999999858</c:v>
                </c:pt>
                <c:pt idx="182">
                  <c:v>0.89999999999999858</c:v>
                </c:pt>
                <c:pt idx="183">
                  <c:v>0.89999999999999858</c:v>
                </c:pt>
                <c:pt idx="184">
                  <c:v>0.84999999999999787</c:v>
                </c:pt>
                <c:pt idx="185">
                  <c:v>0.89999999999999858</c:v>
                </c:pt>
                <c:pt idx="186">
                  <c:v>0.84999999999999787</c:v>
                </c:pt>
                <c:pt idx="187">
                  <c:v>0.89999999999999858</c:v>
                </c:pt>
                <c:pt idx="188">
                  <c:v>0.75</c:v>
                </c:pt>
                <c:pt idx="189">
                  <c:v>0.69999999999999929</c:v>
                </c:pt>
                <c:pt idx="190">
                  <c:v>0.75</c:v>
                </c:pt>
                <c:pt idx="191">
                  <c:v>0.69999999999999929</c:v>
                </c:pt>
                <c:pt idx="192">
                  <c:v>0.75</c:v>
                </c:pt>
                <c:pt idx="193">
                  <c:v>0.69999999999999929</c:v>
                </c:pt>
                <c:pt idx="194">
                  <c:v>0.59999999999999787</c:v>
                </c:pt>
                <c:pt idx="195">
                  <c:v>0.59999999999999787</c:v>
                </c:pt>
                <c:pt idx="196">
                  <c:v>0.59999999999999787</c:v>
                </c:pt>
                <c:pt idx="197">
                  <c:v>0.59999999999999787</c:v>
                </c:pt>
                <c:pt idx="198">
                  <c:v>0.55000000000000071</c:v>
                </c:pt>
                <c:pt idx="199">
                  <c:v>0.55000000000000071</c:v>
                </c:pt>
                <c:pt idx="200">
                  <c:v>0.55000000000000071</c:v>
                </c:pt>
                <c:pt idx="201">
                  <c:v>0.55000000000000071</c:v>
                </c:pt>
                <c:pt idx="202">
                  <c:v>0.55000000000000071</c:v>
                </c:pt>
                <c:pt idx="203">
                  <c:v>0.55000000000000071</c:v>
                </c:pt>
                <c:pt idx="204">
                  <c:v>0.5</c:v>
                </c:pt>
                <c:pt idx="205">
                  <c:v>0.55000000000000071</c:v>
                </c:pt>
                <c:pt idx="206">
                  <c:v>0.5</c:v>
                </c:pt>
                <c:pt idx="207">
                  <c:v>0.44999999999999929</c:v>
                </c:pt>
                <c:pt idx="208">
                  <c:v>0.5</c:v>
                </c:pt>
                <c:pt idx="209">
                  <c:v>0.44999999999999929</c:v>
                </c:pt>
                <c:pt idx="210">
                  <c:v>0.39999999999999858</c:v>
                </c:pt>
                <c:pt idx="211">
                  <c:v>0.39999999999999858</c:v>
                </c:pt>
                <c:pt idx="212">
                  <c:v>0.39999999999999858</c:v>
                </c:pt>
                <c:pt idx="213">
                  <c:v>0.39999999999999858</c:v>
                </c:pt>
                <c:pt idx="214">
                  <c:v>0.39999999999999858</c:v>
                </c:pt>
                <c:pt idx="215">
                  <c:v>0.34999999999999787</c:v>
                </c:pt>
                <c:pt idx="216">
                  <c:v>0.34999999999999787</c:v>
                </c:pt>
                <c:pt idx="217">
                  <c:v>0.34999999999999787</c:v>
                </c:pt>
                <c:pt idx="218">
                  <c:v>0.39999999999999858</c:v>
                </c:pt>
                <c:pt idx="219">
                  <c:v>0.34999999999999787</c:v>
                </c:pt>
                <c:pt idx="220">
                  <c:v>0.34999999999999787</c:v>
                </c:pt>
                <c:pt idx="221">
                  <c:v>0.34999999999999787</c:v>
                </c:pt>
                <c:pt idx="222">
                  <c:v>0.34999999999999787</c:v>
                </c:pt>
                <c:pt idx="223">
                  <c:v>0.34999999999999787</c:v>
                </c:pt>
                <c:pt idx="224">
                  <c:v>0.34999999999999787</c:v>
                </c:pt>
                <c:pt idx="225">
                  <c:v>0.34999999999999787</c:v>
                </c:pt>
                <c:pt idx="226">
                  <c:v>0.25</c:v>
                </c:pt>
                <c:pt idx="227">
                  <c:v>0.34999999999999787</c:v>
                </c:pt>
                <c:pt idx="228">
                  <c:v>0.34999999999999787</c:v>
                </c:pt>
                <c:pt idx="229">
                  <c:v>0.25</c:v>
                </c:pt>
                <c:pt idx="230">
                  <c:v>0.25</c:v>
                </c:pt>
                <c:pt idx="231">
                  <c:v>0.25</c:v>
                </c:pt>
                <c:pt idx="232">
                  <c:v>0.25</c:v>
                </c:pt>
                <c:pt idx="233">
                  <c:v>0.25</c:v>
                </c:pt>
                <c:pt idx="234">
                  <c:v>0.25</c:v>
                </c:pt>
                <c:pt idx="235">
                  <c:v>0.25</c:v>
                </c:pt>
                <c:pt idx="236">
                  <c:v>0.25</c:v>
                </c:pt>
                <c:pt idx="237">
                  <c:v>0.19999999999999929</c:v>
                </c:pt>
                <c:pt idx="238">
                  <c:v>0.25</c:v>
                </c:pt>
                <c:pt idx="239">
                  <c:v>0.19999999999999929</c:v>
                </c:pt>
                <c:pt idx="240">
                  <c:v>0.19999999999999929</c:v>
                </c:pt>
                <c:pt idx="241">
                  <c:v>0.19999999999999929</c:v>
                </c:pt>
                <c:pt idx="242">
                  <c:v>0.19999999999999929</c:v>
                </c:pt>
                <c:pt idx="243">
                  <c:v>9.9999999999997868E-2</c:v>
                </c:pt>
                <c:pt idx="244">
                  <c:v>0.19999999999999929</c:v>
                </c:pt>
                <c:pt idx="245">
                  <c:v>9.9999999999997868E-2</c:v>
                </c:pt>
                <c:pt idx="246">
                  <c:v>0.19999999999999929</c:v>
                </c:pt>
                <c:pt idx="247">
                  <c:v>0.19999999999999929</c:v>
                </c:pt>
                <c:pt idx="248">
                  <c:v>0.19999999999999929</c:v>
                </c:pt>
                <c:pt idx="249">
                  <c:v>9.9999999999997868E-2</c:v>
                </c:pt>
                <c:pt idx="250">
                  <c:v>9.9999999999997868E-2</c:v>
                </c:pt>
                <c:pt idx="251">
                  <c:v>9.9999999999997868E-2</c:v>
                </c:pt>
                <c:pt idx="252">
                  <c:v>9.9999999999997868E-2</c:v>
                </c:pt>
                <c:pt idx="253">
                  <c:v>0.19999999999999929</c:v>
                </c:pt>
                <c:pt idx="254">
                  <c:v>0.19999999999999929</c:v>
                </c:pt>
                <c:pt idx="255">
                  <c:v>9.9999999999997868E-2</c:v>
                </c:pt>
                <c:pt idx="256">
                  <c:v>9.9999999999997868E-2</c:v>
                </c:pt>
                <c:pt idx="257">
                  <c:v>9.9999999999997868E-2</c:v>
                </c:pt>
                <c:pt idx="258">
                  <c:v>9.9999999999997868E-2</c:v>
                </c:pt>
                <c:pt idx="259">
                  <c:v>9.9999999999997868E-2</c:v>
                </c:pt>
                <c:pt idx="260">
                  <c:v>9.9999999999997868E-2</c:v>
                </c:pt>
                <c:pt idx="261">
                  <c:v>9.9999999999997868E-2</c:v>
                </c:pt>
                <c:pt idx="262">
                  <c:v>9.9999999999997868E-2</c:v>
                </c:pt>
                <c:pt idx="263">
                  <c:v>9.9999999999997868E-2</c:v>
                </c:pt>
                <c:pt idx="264">
                  <c:v>9.9999999999997868E-2</c:v>
                </c:pt>
                <c:pt idx="265">
                  <c:v>9.9999999999997868E-2</c:v>
                </c:pt>
                <c:pt idx="266">
                  <c:v>9.9999999999997868E-2</c:v>
                </c:pt>
                <c:pt idx="267">
                  <c:v>9.9999999999997868E-2</c:v>
                </c:pt>
                <c:pt idx="268">
                  <c:v>9.9999999999997868E-2</c:v>
                </c:pt>
                <c:pt idx="269">
                  <c:v>9.9999999999997868E-2</c:v>
                </c:pt>
                <c:pt idx="270">
                  <c:v>9.9999999999997868E-2</c:v>
                </c:pt>
                <c:pt idx="271">
                  <c:v>9.9999999999997868E-2</c:v>
                </c:pt>
                <c:pt idx="272">
                  <c:v>9.9999999999997868E-2</c:v>
                </c:pt>
                <c:pt idx="273">
                  <c:v>9.9999999999997868E-2</c:v>
                </c:pt>
                <c:pt idx="274">
                  <c:v>9.9999999999997868E-2</c:v>
                </c:pt>
                <c:pt idx="275">
                  <c:v>9.9999999999997868E-2</c:v>
                </c:pt>
                <c:pt idx="276">
                  <c:v>9.9999999999997868E-2</c:v>
                </c:pt>
                <c:pt idx="277">
                  <c:v>9.9999999999997868E-2</c:v>
                </c:pt>
                <c:pt idx="278">
                  <c:v>9.9999999999997868E-2</c:v>
                </c:pt>
                <c:pt idx="279">
                  <c:v>9.9999999999997868E-2</c:v>
                </c:pt>
                <c:pt idx="280">
                  <c:v>9.9999999999997868E-2</c:v>
                </c:pt>
                <c:pt idx="281">
                  <c:v>9.9999999999997868E-2</c:v>
                </c:pt>
                <c:pt idx="282">
                  <c:v>9.9999999999997868E-2</c:v>
                </c:pt>
                <c:pt idx="283">
                  <c:v>0</c:v>
                </c:pt>
                <c:pt idx="284">
                  <c:v>9.9999999999997868E-2</c:v>
                </c:pt>
                <c:pt idx="285">
                  <c:v>9.9999999999997868E-2</c:v>
                </c:pt>
                <c:pt idx="286">
                  <c:v>9.9999999999997868E-2</c:v>
                </c:pt>
                <c:pt idx="287">
                  <c:v>9.9999999999997868E-2</c:v>
                </c:pt>
                <c:pt idx="288">
                  <c:v>9.9999999999997868E-2</c:v>
                </c:pt>
                <c:pt idx="289">
                  <c:v>9.9999999999997868E-2</c:v>
                </c:pt>
                <c:pt idx="290">
                  <c:v>5.0000000000000711E-2</c:v>
                </c:pt>
                <c:pt idx="291">
                  <c:v>5.0000000000000711E-2</c:v>
                </c:pt>
                <c:pt idx="292">
                  <c:v>5.0000000000000711E-2</c:v>
                </c:pt>
                <c:pt idx="293">
                  <c:v>5.0000000000000711E-2</c:v>
                </c:pt>
                <c:pt idx="294">
                  <c:v>9.9999999999997868E-2</c:v>
                </c:pt>
                <c:pt idx="295">
                  <c:v>5.0000000000000711E-2</c:v>
                </c:pt>
                <c:pt idx="296">
                  <c:v>0</c:v>
                </c:pt>
                <c:pt idx="297">
                  <c:v>0</c:v>
                </c:pt>
                <c:pt idx="298">
                  <c:v>5.0000000000000711E-2</c:v>
                </c:pt>
                <c:pt idx="299">
                  <c:v>5.0000000000000711E-2</c:v>
                </c:pt>
                <c:pt idx="300">
                  <c:v>0</c:v>
                </c:pt>
                <c:pt idx="301">
                  <c:v>5.0000000000000711E-2</c:v>
                </c:pt>
                <c:pt idx="302">
                  <c:v>9.9999999999997868E-2</c:v>
                </c:pt>
                <c:pt idx="303">
                  <c:v>9.9999999999997868E-2</c:v>
                </c:pt>
                <c:pt idx="304">
                  <c:v>5.0000000000000711E-2</c:v>
                </c:pt>
                <c:pt idx="305">
                  <c:v>5.0000000000000711E-2</c:v>
                </c:pt>
                <c:pt idx="306">
                  <c:v>5.0000000000000711E-2</c:v>
                </c:pt>
                <c:pt idx="307">
                  <c:v>5.0000000000000711E-2</c:v>
                </c:pt>
                <c:pt idx="308">
                  <c:v>5.0000000000000711E-2</c:v>
                </c:pt>
                <c:pt idx="309">
                  <c:v>0</c:v>
                </c:pt>
                <c:pt idx="310">
                  <c:v>0</c:v>
                </c:pt>
                <c:pt idx="311">
                  <c:v>5.0000000000000711E-2</c:v>
                </c:pt>
                <c:pt idx="312">
                  <c:v>5.0000000000000711E-2</c:v>
                </c:pt>
                <c:pt idx="313">
                  <c:v>5.0000000000000711E-2</c:v>
                </c:pt>
                <c:pt idx="314">
                  <c:v>5.0000000000000711E-2</c:v>
                </c:pt>
                <c:pt idx="315">
                  <c:v>5.0000000000000711E-2</c:v>
                </c:pt>
                <c:pt idx="316">
                  <c:v>5.0000000000000711E-2</c:v>
                </c:pt>
                <c:pt idx="317">
                  <c:v>5.0000000000000711E-2</c:v>
                </c:pt>
                <c:pt idx="318">
                  <c:v>0</c:v>
                </c:pt>
                <c:pt idx="319">
                  <c:v>5.0000000000000711E-2</c:v>
                </c:pt>
                <c:pt idx="320">
                  <c:v>5.0000000000000711E-2</c:v>
                </c:pt>
                <c:pt idx="321">
                  <c:v>5.0000000000000711E-2</c:v>
                </c:pt>
                <c:pt idx="322">
                  <c:v>5.0000000000000711E-2</c:v>
                </c:pt>
                <c:pt idx="323">
                  <c:v>5.0000000000000711E-2</c:v>
                </c:pt>
                <c:pt idx="324">
                  <c:v>5.0000000000000711E-2</c:v>
                </c:pt>
                <c:pt idx="325">
                  <c:v>5.0000000000000711E-2</c:v>
                </c:pt>
                <c:pt idx="326">
                  <c:v>5.0000000000000711E-2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5.0000000000000711E-2</c:v>
                </c:pt>
                <c:pt idx="337">
                  <c:v>0</c:v>
                </c:pt>
                <c:pt idx="338">
                  <c:v>5.0000000000000711E-2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5.0000000000000711E-2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5.0000000000000711E-2</c:v>
                </c:pt>
                <c:pt idx="357">
                  <c:v>5.0000000000000711E-2</c:v>
                </c:pt>
                <c:pt idx="358">
                  <c:v>0</c:v>
                </c:pt>
                <c:pt idx="359">
                  <c:v>5.0000000000000711E-2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5.0000000000000711E-2</c:v>
                </c:pt>
                <c:pt idx="365">
                  <c:v>5.0000000000000711E-2</c:v>
                </c:pt>
                <c:pt idx="366">
                  <c:v>0</c:v>
                </c:pt>
                <c:pt idx="367">
                  <c:v>5.0000000000000711E-2</c:v>
                </c:pt>
                <c:pt idx="368">
                  <c:v>0</c:v>
                </c:pt>
                <c:pt idx="369">
                  <c:v>5.0000000000000711E-2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0</c:v>
                </c:pt>
                <c:pt idx="375">
                  <c:v>0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0</c:v>
                </c:pt>
                <c:pt idx="399">
                  <c:v>0</c:v>
                </c:pt>
                <c:pt idx="400">
                  <c:v>0</c:v>
                </c:pt>
                <c:pt idx="401">
                  <c:v>0</c:v>
                </c:pt>
                <c:pt idx="402">
                  <c:v>0</c:v>
                </c:pt>
                <c:pt idx="403">
                  <c:v>0</c:v>
                </c:pt>
                <c:pt idx="404">
                  <c:v>5.0000000000000711E-2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0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0</c:v>
                </c:pt>
                <c:pt idx="420">
                  <c:v>0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0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0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0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55D-1A41-A7EF-D8A1D1E240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489983"/>
        <c:axId val="1"/>
      </c:scatterChart>
      <c:valAx>
        <c:axId val="99948998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Time from injection, 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Concentration above bkg,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89983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>
              <a:noFill/>
            </a:ln>
          </c:spPr>
          <c:marker>
            <c:symbol val="diamond"/>
            <c:size val="4"/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'INJ Q4'!$C$20:$C$884</c:f>
              <c:numCache>
                <c:formatCode>0.00</c:formatCode>
                <c:ptCount val="865"/>
                <c:pt idx="0">
                  <c:v>0</c:v>
                </c:pt>
                <c:pt idx="1">
                  <c:v>2.0000004675239325</c:v>
                </c:pt>
                <c:pt idx="2">
                  <c:v>4.000000306405127</c:v>
                </c:pt>
                <c:pt idx="3">
                  <c:v>6.0000001452863216</c:v>
                </c:pt>
                <c:pt idx="4">
                  <c:v>7.9999999841675162</c:v>
                </c:pt>
                <c:pt idx="5">
                  <c:v>10.000000451691449</c:v>
                </c:pt>
                <c:pt idx="6">
                  <c:v>12.000000290572643</c:v>
                </c:pt>
                <c:pt idx="7">
                  <c:v>14.000000129453838</c:v>
                </c:pt>
                <c:pt idx="8">
                  <c:v>15.999999968335032</c:v>
                </c:pt>
                <c:pt idx="9">
                  <c:v>18.000000435858965</c:v>
                </c:pt>
                <c:pt idx="10">
                  <c:v>20.00000027474016</c:v>
                </c:pt>
                <c:pt idx="11">
                  <c:v>22.000000113621354</c:v>
                </c:pt>
                <c:pt idx="12">
                  <c:v>23.999999952502549</c:v>
                </c:pt>
                <c:pt idx="13">
                  <c:v>26.000000420026481</c:v>
                </c:pt>
                <c:pt idx="14">
                  <c:v>28.000000258907676</c:v>
                </c:pt>
                <c:pt idx="15">
                  <c:v>30.00000009778887</c:v>
                </c:pt>
                <c:pt idx="16">
                  <c:v>31.999999936670065</c:v>
                </c:pt>
                <c:pt idx="17">
                  <c:v>34.000000404193997</c:v>
                </c:pt>
                <c:pt idx="18">
                  <c:v>36.000000243075192</c:v>
                </c:pt>
                <c:pt idx="19">
                  <c:v>38.000000081956387</c:v>
                </c:pt>
                <c:pt idx="20">
                  <c:v>39.999999920837581</c:v>
                </c:pt>
                <c:pt idx="21">
                  <c:v>42.000000388361514</c:v>
                </c:pt>
                <c:pt idx="22">
                  <c:v>44.000000227242708</c:v>
                </c:pt>
                <c:pt idx="23">
                  <c:v>46.000000066123903</c:v>
                </c:pt>
                <c:pt idx="24">
                  <c:v>47.999999905005097</c:v>
                </c:pt>
                <c:pt idx="25">
                  <c:v>50.00000037252903</c:v>
                </c:pt>
                <c:pt idx="26">
                  <c:v>52.000000211410224</c:v>
                </c:pt>
                <c:pt idx="27">
                  <c:v>54.000000050291419</c:v>
                </c:pt>
                <c:pt idx="28">
                  <c:v>55.999999889172614</c:v>
                </c:pt>
                <c:pt idx="29">
                  <c:v>58.000000356696546</c:v>
                </c:pt>
                <c:pt idx="30">
                  <c:v>60.000000195577741</c:v>
                </c:pt>
                <c:pt idx="31">
                  <c:v>62.000000034458935</c:v>
                </c:pt>
                <c:pt idx="32">
                  <c:v>63.99999987334013</c:v>
                </c:pt>
                <c:pt idx="33">
                  <c:v>66.000000340864062</c:v>
                </c:pt>
                <c:pt idx="34">
                  <c:v>68.000000179745257</c:v>
                </c:pt>
                <c:pt idx="35">
                  <c:v>70.000000018626451</c:v>
                </c:pt>
                <c:pt idx="36">
                  <c:v>71.999999857507646</c:v>
                </c:pt>
                <c:pt idx="37">
                  <c:v>74.000000325031579</c:v>
                </c:pt>
                <c:pt idx="38">
                  <c:v>76.000000163912773</c:v>
                </c:pt>
                <c:pt idx="39">
                  <c:v>78.000000002793968</c:v>
                </c:pt>
                <c:pt idx="40">
                  <c:v>80.0000004703179</c:v>
                </c:pt>
                <c:pt idx="41">
                  <c:v>82.000000309199095</c:v>
                </c:pt>
                <c:pt idx="42">
                  <c:v>84.000000148080289</c:v>
                </c:pt>
                <c:pt idx="43">
                  <c:v>85.999999986961484</c:v>
                </c:pt>
                <c:pt idx="44">
                  <c:v>88.000000454485416</c:v>
                </c:pt>
                <c:pt idx="45">
                  <c:v>90.000000293366611</c:v>
                </c:pt>
                <c:pt idx="46">
                  <c:v>92.000000132247806</c:v>
                </c:pt>
                <c:pt idx="47">
                  <c:v>93.999999971129</c:v>
                </c:pt>
                <c:pt idx="48">
                  <c:v>96.000000438652933</c:v>
                </c:pt>
                <c:pt idx="49">
                  <c:v>98.000000277534127</c:v>
                </c:pt>
                <c:pt idx="50">
                  <c:v>100.00000011641532</c:v>
                </c:pt>
                <c:pt idx="51">
                  <c:v>101.99999995529652</c:v>
                </c:pt>
                <c:pt idx="52">
                  <c:v>104.00000042282045</c:v>
                </c:pt>
                <c:pt idx="53">
                  <c:v>106.00000026170164</c:v>
                </c:pt>
                <c:pt idx="54">
                  <c:v>108.00000010058284</c:v>
                </c:pt>
                <c:pt idx="55">
                  <c:v>109.99999993946403</c:v>
                </c:pt>
                <c:pt idx="56">
                  <c:v>112.00000040698797</c:v>
                </c:pt>
                <c:pt idx="57">
                  <c:v>114.00000024586916</c:v>
                </c:pt>
                <c:pt idx="58">
                  <c:v>116.00000008475035</c:v>
                </c:pt>
                <c:pt idx="59">
                  <c:v>117.99999992363155</c:v>
                </c:pt>
                <c:pt idx="60">
                  <c:v>120.00000039115548</c:v>
                </c:pt>
                <c:pt idx="61">
                  <c:v>122.00000023003668</c:v>
                </c:pt>
                <c:pt idx="62">
                  <c:v>124.00000006891787</c:v>
                </c:pt>
                <c:pt idx="63">
                  <c:v>125.99999990779907</c:v>
                </c:pt>
                <c:pt idx="64">
                  <c:v>128.000000375323</c:v>
                </c:pt>
                <c:pt idx="65">
                  <c:v>130.00000021420419</c:v>
                </c:pt>
                <c:pt idx="66">
                  <c:v>132.00000005308539</c:v>
                </c:pt>
                <c:pt idx="67">
                  <c:v>133.99999989196658</c:v>
                </c:pt>
                <c:pt idx="68">
                  <c:v>136.00000035949051</c:v>
                </c:pt>
                <c:pt idx="69">
                  <c:v>138.00000019837171</c:v>
                </c:pt>
                <c:pt idx="70">
                  <c:v>140.0000000372529</c:v>
                </c:pt>
                <c:pt idx="71">
                  <c:v>141.9999998761341</c:v>
                </c:pt>
                <c:pt idx="72">
                  <c:v>144.00000034365803</c:v>
                </c:pt>
                <c:pt idx="73">
                  <c:v>146.00000018253922</c:v>
                </c:pt>
                <c:pt idx="74">
                  <c:v>148.00000002142042</c:v>
                </c:pt>
                <c:pt idx="75">
                  <c:v>149.99999986030161</c:v>
                </c:pt>
                <c:pt idx="76">
                  <c:v>152.00000032782555</c:v>
                </c:pt>
                <c:pt idx="77">
                  <c:v>154.00000016670674</c:v>
                </c:pt>
                <c:pt idx="78">
                  <c:v>156.00000000558794</c:v>
                </c:pt>
                <c:pt idx="79">
                  <c:v>158.00000047311187</c:v>
                </c:pt>
                <c:pt idx="80">
                  <c:v>160.00000031199306</c:v>
                </c:pt>
                <c:pt idx="81">
                  <c:v>162.00000015087426</c:v>
                </c:pt>
                <c:pt idx="82">
                  <c:v>163.99999998975545</c:v>
                </c:pt>
                <c:pt idx="83">
                  <c:v>166.00000045727938</c:v>
                </c:pt>
                <c:pt idx="84">
                  <c:v>168.00000029616058</c:v>
                </c:pt>
                <c:pt idx="85">
                  <c:v>170.00000013504177</c:v>
                </c:pt>
                <c:pt idx="86">
                  <c:v>171.99999997392297</c:v>
                </c:pt>
                <c:pt idx="87">
                  <c:v>174.0000004414469</c:v>
                </c:pt>
                <c:pt idx="88">
                  <c:v>176.00000028032809</c:v>
                </c:pt>
                <c:pt idx="89">
                  <c:v>178.00000011920929</c:v>
                </c:pt>
                <c:pt idx="90">
                  <c:v>179.99999995809048</c:v>
                </c:pt>
                <c:pt idx="91">
                  <c:v>182.00000042561442</c:v>
                </c:pt>
                <c:pt idx="92">
                  <c:v>184.00000026449561</c:v>
                </c:pt>
                <c:pt idx="93">
                  <c:v>186.00000010337681</c:v>
                </c:pt>
                <c:pt idx="94">
                  <c:v>187.999999942258</c:v>
                </c:pt>
                <c:pt idx="95">
                  <c:v>190.00000040978193</c:v>
                </c:pt>
                <c:pt idx="96">
                  <c:v>192.00000024866313</c:v>
                </c:pt>
                <c:pt idx="97">
                  <c:v>194.00000008754432</c:v>
                </c:pt>
                <c:pt idx="98">
                  <c:v>195.99999992642552</c:v>
                </c:pt>
                <c:pt idx="99">
                  <c:v>198.00000039394945</c:v>
                </c:pt>
                <c:pt idx="100">
                  <c:v>200.00000023283064</c:v>
                </c:pt>
                <c:pt idx="101">
                  <c:v>202.00000007171184</c:v>
                </c:pt>
                <c:pt idx="102">
                  <c:v>203.99999991059303</c:v>
                </c:pt>
                <c:pt idx="103">
                  <c:v>206.00000037811697</c:v>
                </c:pt>
                <c:pt idx="104">
                  <c:v>208.00000021699816</c:v>
                </c:pt>
                <c:pt idx="105">
                  <c:v>210.00000005587935</c:v>
                </c:pt>
                <c:pt idx="106">
                  <c:v>211.99999989476055</c:v>
                </c:pt>
                <c:pt idx="107">
                  <c:v>214.00000036228448</c:v>
                </c:pt>
                <c:pt idx="108">
                  <c:v>216.00000020116568</c:v>
                </c:pt>
                <c:pt idx="109">
                  <c:v>218.00000004004687</c:v>
                </c:pt>
                <c:pt idx="110">
                  <c:v>219.99999987892807</c:v>
                </c:pt>
                <c:pt idx="111">
                  <c:v>222.000000346452</c:v>
                </c:pt>
                <c:pt idx="112">
                  <c:v>224.00000018533319</c:v>
                </c:pt>
                <c:pt idx="113">
                  <c:v>226.00000002421439</c:v>
                </c:pt>
                <c:pt idx="114">
                  <c:v>227.99999986309558</c:v>
                </c:pt>
                <c:pt idx="115">
                  <c:v>230.00000033061951</c:v>
                </c:pt>
                <c:pt idx="116">
                  <c:v>232.00000016950071</c:v>
                </c:pt>
                <c:pt idx="117">
                  <c:v>234.0000000083819</c:v>
                </c:pt>
                <c:pt idx="118">
                  <c:v>236.00000047590584</c:v>
                </c:pt>
                <c:pt idx="119">
                  <c:v>238.00000031478703</c:v>
                </c:pt>
                <c:pt idx="120">
                  <c:v>240.00000015366822</c:v>
                </c:pt>
                <c:pt idx="121">
                  <c:v>241.99999999254942</c:v>
                </c:pt>
                <c:pt idx="122">
                  <c:v>244.00000046007335</c:v>
                </c:pt>
                <c:pt idx="123">
                  <c:v>246.00000029895455</c:v>
                </c:pt>
                <c:pt idx="124">
                  <c:v>248.00000013783574</c:v>
                </c:pt>
                <c:pt idx="125">
                  <c:v>249.99999997671694</c:v>
                </c:pt>
                <c:pt idx="126">
                  <c:v>252.00000044424087</c:v>
                </c:pt>
                <c:pt idx="127">
                  <c:v>254.00000028312206</c:v>
                </c:pt>
                <c:pt idx="128">
                  <c:v>256.00000012200326</c:v>
                </c:pt>
                <c:pt idx="129">
                  <c:v>257.99999996088445</c:v>
                </c:pt>
                <c:pt idx="130">
                  <c:v>260.00000042840838</c:v>
                </c:pt>
                <c:pt idx="131">
                  <c:v>262.00000026728958</c:v>
                </c:pt>
                <c:pt idx="132">
                  <c:v>264.00000010617077</c:v>
                </c:pt>
                <c:pt idx="133">
                  <c:v>265.99999994505197</c:v>
                </c:pt>
                <c:pt idx="134">
                  <c:v>268.0000004125759</c:v>
                </c:pt>
                <c:pt idx="135">
                  <c:v>270.0000002514571</c:v>
                </c:pt>
                <c:pt idx="136">
                  <c:v>272.00000009033829</c:v>
                </c:pt>
                <c:pt idx="137">
                  <c:v>273.99999992921948</c:v>
                </c:pt>
                <c:pt idx="138">
                  <c:v>276.00000039674342</c:v>
                </c:pt>
                <c:pt idx="139">
                  <c:v>278.00000023562461</c:v>
                </c:pt>
                <c:pt idx="140">
                  <c:v>280.00000007450581</c:v>
                </c:pt>
                <c:pt idx="141">
                  <c:v>281.999999913387</c:v>
                </c:pt>
                <c:pt idx="142">
                  <c:v>284.00000038091093</c:v>
                </c:pt>
                <c:pt idx="143">
                  <c:v>286.00000021979213</c:v>
                </c:pt>
                <c:pt idx="144">
                  <c:v>288.00000005867332</c:v>
                </c:pt>
                <c:pt idx="145">
                  <c:v>289.99999989755452</c:v>
                </c:pt>
                <c:pt idx="146">
                  <c:v>292.00000036507845</c:v>
                </c:pt>
                <c:pt idx="147">
                  <c:v>294.00000020395964</c:v>
                </c:pt>
                <c:pt idx="148">
                  <c:v>296.00000004284084</c:v>
                </c:pt>
                <c:pt idx="149">
                  <c:v>297.99999988172203</c:v>
                </c:pt>
                <c:pt idx="150">
                  <c:v>300.00000034924597</c:v>
                </c:pt>
                <c:pt idx="151">
                  <c:v>302.00000018812716</c:v>
                </c:pt>
                <c:pt idx="152">
                  <c:v>304.00000002700835</c:v>
                </c:pt>
                <c:pt idx="153">
                  <c:v>305.99999986588955</c:v>
                </c:pt>
                <c:pt idx="154">
                  <c:v>308.00000033341348</c:v>
                </c:pt>
                <c:pt idx="155">
                  <c:v>310.00000017229468</c:v>
                </c:pt>
                <c:pt idx="156">
                  <c:v>312.00000001117587</c:v>
                </c:pt>
                <c:pt idx="157">
                  <c:v>314.0000004786998</c:v>
                </c:pt>
                <c:pt idx="158">
                  <c:v>316.000000317581</c:v>
                </c:pt>
                <c:pt idx="159">
                  <c:v>318.00000015646219</c:v>
                </c:pt>
                <c:pt idx="160">
                  <c:v>319.99999999534339</c:v>
                </c:pt>
                <c:pt idx="161">
                  <c:v>322.00000046286732</c:v>
                </c:pt>
                <c:pt idx="162">
                  <c:v>324.00000030174851</c:v>
                </c:pt>
                <c:pt idx="163">
                  <c:v>326.00000014062971</c:v>
                </c:pt>
                <c:pt idx="164">
                  <c:v>327.9999999795109</c:v>
                </c:pt>
                <c:pt idx="165">
                  <c:v>330.00000044703484</c:v>
                </c:pt>
                <c:pt idx="166">
                  <c:v>332.00000028591603</c:v>
                </c:pt>
                <c:pt idx="167">
                  <c:v>334.00000012479722</c:v>
                </c:pt>
                <c:pt idx="168">
                  <c:v>335.99999996367842</c:v>
                </c:pt>
                <c:pt idx="169">
                  <c:v>338.00000043120235</c:v>
                </c:pt>
                <c:pt idx="170">
                  <c:v>340.00000027008355</c:v>
                </c:pt>
                <c:pt idx="171">
                  <c:v>342.00000010896474</c:v>
                </c:pt>
                <c:pt idx="172">
                  <c:v>343.99999994784594</c:v>
                </c:pt>
                <c:pt idx="173">
                  <c:v>346.00000041536987</c:v>
                </c:pt>
                <c:pt idx="174">
                  <c:v>348.00000025425106</c:v>
                </c:pt>
                <c:pt idx="175">
                  <c:v>350.00000009313226</c:v>
                </c:pt>
                <c:pt idx="176">
                  <c:v>351.99999993201345</c:v>
                </c:pt>
                <c:pt idx="177">
                  <c:v>354.00000039953738</c:v>
                </c:pt>
                <c:pt idx="178">
                  <c:v>356.00000023841858</c:v>
                </c:pt>
                <c:pt idx="179">
                  <c:v>358.00000007729977</c:v>
                </c:pt>
                <c:pt idx="180">
                  <c:v>359.99999991618097</c:v>
                </c:pt>
                <c:pt idx="181">
                  <c:v>362.0000003837049</c:v>
                </c:pt>
                <c:pt idx="182">
                  <c:v>364.0000002225861</c:v>
                </c:pt>
                <c:pt idx="183">
                  <c:v>366.00000006146729</c:v>
                </c:pt>
                <c:pt idx="184">
                  <c:v>367.99999990034848</c:v>
                </c:pt>
                <c:pt idx="185">
                  <c:v>370.00000036787242</c:v>
                </c:pt>
                <c:pt idx="186">
                  <c:v>372.00000020675361</c:v>
                </c:pt>
                <c:pt idx="187">
                  <c:v>374.00000004563481</c:v>
                </c:pt>
                <c:pt idx="188">
                  <c:v>375.999999884516</c:v>
                </c:pt>
                <c:pt idx="189">
                  <c:v>378.00000035203993</c:v>
                </c:pt>
                <c:pt idx="190">
                  <c:v>380.00000019092113</c:v>
                </c:pt>
                <c:pt idx="191">
                  <c:v>382.00000002980232</c:v>
                </c:pt>
                <c:pt idx="192">
                  <c:v>383.99999986868352</c:v>
                </c:pt>
                <c:pt idx="193">
                  <c:v>386.00000033620745</c:v>
                </c:pt>
                <c:pt idx="194">
                  <c:v>388.00000017508864</c:v>
                </c:pt>
                <c:pt idx="195">
                  <c:v>390.00000001396984</c:v>
                </c:pt>
                <c:pt idx="196">
                  <c:v>392.00000048149377</c:v>
                </c:pt>
                <c:pt idx="197">
                  <c:v>394.00000032037497</c:v>
                </c:pt>
                <c:pt idx="198">
                  <c:v>396.00000015925616</c:v>
                </c:pt>
                <c:pt idx="199">
                  <c:v>397.99999999813735</c:v>
                </c:pt>
                <c:pt idx="200">
                  <c:v>400.00000046566129</c:v>
                </c:pt>
                <c:pt idx="201">
                  <c:v>402.00000030454248</c:v>
                </c:pt>
                <c:pt idx="202">
                  <c:v>404.00000014342368</c:v>
                </c:pt>
                <c:pt idx="203">
                  <c:v>405.99999998230487</c:v>
                </c:pt>
                <c:pt idx="204">
                  <c:v>408.0000004498288</c:v>
                </c:pt>
                <c:pt idx="205">
                  <c:v>410.00000028871</c:v>
                </c:pt>
                <c:pt idx="206">
                  <c:v>412.00000012759119</c:v>
                </c:pt>
                <c:pt idx="207">
                  <c:v>413.99999996647239</c:v>
                </c:pt>
                <c:pt idx="208">
                  <c:v>416.00000043399632</c:v>
                </c:pt>
                <c:pt idx="209">
                  <c:v>418.00000027287751</c:v>
                </c:pt>
                <c:pt idx="210">
                  <c:v>420.00000011175871</c:v>
                </c:pt>
                <c:pt idx="211">
                  <c:v>421.9999999506399</c:v>
                </c:pt>
                <c:pt idx="212">
                  <c:v>424.00000041816384</c:v>
                </c:pt>
                <c:pt idx="213">
                  <c:v>426.00000025704503</c:v>
                </c:pt>
                <c:pt idx="214">
                  <c:v>428.00000009592623</c:v>
                </c:pt>
                <c:pt idx="215">
                  <c:v>429.99999993480742</c:v>
                </c:pt>
                <c:pt idx="216">
                  <c:v>432.00000040233135</c:v>
                </c:pt>
                <c:pt idx="217">
                  <c:v>434.00000024121255</c:v>
                </c:pt>
                <c:pt idx="218">
                  <c:v>436.00000008009374</c:v>
                </c:pt>
                <c:pt idx="219">
                  <c:v>437.99999991897494</c:v>
                </c:pt>
                <c:pt idx="220">
                  <c:v>440.00000038649887</c:v>
                </c:pt>
                <c:pt idx="221">
                  <c:v>442.00000022538006</c:v>
                </c:pt>
                <c:pt idx="222">
                  <c:v>444.00000006426126</c:v>
                </c:pt>
                <c:pt idx="223">
                  <c:v>445.99999990314245</c:v>
                </c:pt>
                <c:pt idx="224">
                  <c:v>448.00000037066638</c:v>
                </c:pt>
                <c:pt idx="225">
                  <c:v>450.00000020954758</c:v>
                </c:pt>
                <c:pt idx="226">
                  <c:v>452.00000004842877</c:v>
                </c:pt>
                <c:pt idx="227">
                  <c:v>453.99999988730997</c:v>
                </c:pt>
                <c:pt idx="228">
                  <c:v>456.0000003548339</c:v>
                </c:pt>
                <c:pt idx="229">
                  <c:v>458.0000001937151</c:v>
                </c:pt>
                <c:pt idx="230">
                  <c:v>460.00000003259629</c:v>
                </c:pt>
                <c:pt idx="231">
                  <c:v>461.99999987147748</c:v>
                </c:pt>
                <c:pt idx="232">
                  <c:v>464.00000033900142</c:v>
                </c:pt>
                <c:pt idx="233">
                  <c:v>466.00000017788261</c:v>
                </c:pt>
                <c:pt idx="234">
                  <c:v>468.00000001676381</c:v>
                </c:pt>
                <c:pt idx="235">
                  <c:v>469.999999855645</c:v>
                </c:pt>
                <c:pt idx="236">
                  <c:v>472.00000032316893</c:v>
                </c:pt>
                <c:pt idx="237">
                  <c:v>474.00000016205013</c:v>
                </c:pt>
                <c:pt idx="238">
                  <c:v>476.00000000093132</c:v>
                </c:pt>
                <c:pt idx="239">
                  <c:v>478.00000046845526</c:v>
                </c:pt>
                <c:pt idx="240">
                  <c:v>480.00000030733645</c:v>
                </c:pt>
                <c:pt idx="241">
                  <c:v>482.00000014621764</c:v>
                </c:pt>
                <c:pt idx="242">
                  <c:v>483.99999998509884</c:v>
                </c:pt>
                <c:pt idx="243">
                  <c:v>486.00000045262277</c:v>
                </c:pt>
                <c:pt idx="244">
                  <c:v>488.00000029150397</c:v>
                </c:pt>
                <c:pt idx="245">
                  <c:v>490.00000013038516</c:v>
                </c:pt>
                <c:pt idx="246">
                  <c:v>491.99999996926636</c:v>
                </c:pt>
                <c:pt idx="247">
                  <c:v>494.00000043679029</c:v>
                </c:pt>
                <c:pt idx="248">
                  <c:v>496.00000027567148</c:v>
                </c:pt>
                <c:pt idx="249">
                  <c:v>498.00000011455268</c:v>
                </c:pt>
                <c:pt idx="250">
                  <c:v>499.99999995343387</c:v>
                </c:pt>
                <c:pt idx="251">
                  <c:v>502.0000004209578</c:v>
                </c:pt>
                <c:pt idx="252">
                  <c:v>504.000000259839</c:v>
                </c:pt>
                <c:pt idx="253">
                  <c:v>506.00000009872019</c:v>
                </c:pt>
                <c:pt idx="254">
                  <c:v>507.99999993760139</c:v>
                </c:pt>
                <c:pt idx="255">
                  <c:v>510.00000040512532</c:v>
                </c:pt>
                <c:pt idx="256">
                  <c:v>512.00000024400651</c:v>
                </c:pt>
                <c:pt idx="257">
                  <c:v>514.00000008288771</c:v>
                </c:pt>
                <c:pt idx="258">
                  <c:v>515.9999999217689</c:v>
                </c:pt>
                <c:pt idx="259">
                  <c:v>518.00000038929284</c:v>
                </c:pt>
                <c:pt idx="260">
                  <c:v>520.00000022817403</c:v>
                </c:pt>
                <c:pt idx="261">
                  <c:v>522.00000006705523</c:v>
                </c:pt>
                <c:pt idx="262">
                  <c:v>523.99999990593642</c:v>
                </c:pt>
                <c:pt idx="263">
                  <c:v>526.00000037346035</c:v>
                </c:pt>
                <c:pt idx="264">
                  <c:v>528.00000021234155</c:v>
                </c:pt>
                <c:pt idx="265">
                  <c:v>530.00000005122274</c:v>
                </c:pt>
                <c:pt idx="266">
                  <c:v>531.99999989010394</c:v>
                </c:pt>
                <c:pt idx="267">
                  <c:v>534.00000035762787</c:v>
                </c:pt>
                <c:pt idx="268">
                  <c:v>536.00000019650906</c:v>
                </c:pt>
                <c:pt idx="269">
                  <c:v>538.00000003539026</c:v>
                </c:pt>
                <c:pt idx="270">
                  <c:v>539.99999987427145</c:v>
                </c:pt>
                <c:pt idx="271">
                  <c:v>542.00000034179538</c:v>
                </c:pt>
                <c:pt idx="272">
                  <c:v>544.00000018067658</c:v>
                </c:pt>
                <c:pt idx="273">
                  <c:v>546.00000001955777</c:v>
                </c:pt>
                <c:pt idx="274">
                  <c:v>547.99999985843897</c:v>
                </c:pt>
                <c:pt idx="275">
                  <c:v>550.0000003259629</c:v>
                </c:pt>
                <c:pt idx="276">
                  <c:v>552.0000001648441</c:v>
                </c:pt>
                <c:pt idx="277">
                  <c:v>554.00000000372529</c:v>
                </c:pt>
                <c:pt idx="278">
                  <c:v>556.00000047124922</c:v>
                </c:pt>
                <c:pt idx="279">
                  <c:v>558.00000031013042</c:v>
                </c:pt>
                <c:pt idx="280">
                  <c:v>560.00000014901161</c:v>
                </c:pt>
                <c:pt idx="281">
                  <c:v>561.99999998789281</c:v>
                </c:pt>
                <c:pt idx="282">
                  <c:v>564.00000045541674</c:v>
                </c:pt>
                <c:pt idx="283">
                  <c:v>566.00000029429793</c:v>
                </c:pt>
                <c:pt idx="284">
                  <c:v>568.00000013317913</c:v>
                </c:pt>
                <c:pt idx="285">
                  <c:v>569.99999997206032</c:v>
                </c:pt>
                <c:pt idx="286">
                  <c:v>572.00000043958426</c:v>
                </c:pt>
                <c:pt idx="287">
                  <c:v>574.00000027846545</c:v>
                </c:pt>
                <c:pt idx="288">
                  <c:v>576.00000011734664</c:v>
                </c:pt>
                <c:pt idx="289">
                  <c:v>577.99999995622784</c:v>
                </c:pt>
                <c:pt idx="290">
                  <c:v>580.00000042375177</c:v>
                </c:pt>
                <c:pt idx="291">
                  <c:v>582.00000026263297</c:v>
                </c:pt>
                <c:pt idx="292">
                  <c:v>584.00000010151416</c:v>
                </c:pt>
                <c:pt idx="293">
                  <c:v>585.99999994039536</c:v>
                </c:pt>
                <c:pt idx="294">
                  <c:v>588.00000040791929</c:v>
                </c:pt>
                <c:pt idx="295">
                  <c:v>590.00000024680048</c:v>
                </c:pt>
                <c:pt idx="296">
                  <c:v>592.00000008568168</c:v>
                </c:pt>
                <c:pt idx="297">
                  <c:v>593.99999992456287</c:v>
                </c:pt>
                <c:pt idx="298">
                  <c:v>596.0000003920868</c:v>
                </c:pt>
                <c:pt idx="299">
                  <c:v>598.000000230968</c:v>
                </c:pt>
                <c:pt idx="300">
                  <c:v>600.00000006984919</c:v>
                </c:pt>
                <c:pt idx="301">
                  <c:v>601.99999990873039</c:v>
                </c:pt>
                <c:pt idx="302">
                  <c:v>604.00000037625432</c:v>
                </c:pt>
                <c:pt idx="303">
                  <c:v>606.00000021513551</c:v>
                </c:pt>
                <c:pt idx="304">
                  <c:v>608.00000005401671</c:v>
                </c:pt>
                <c:pt idx="305">
                  <c:v>609.9999998928979</c:v>
                </c:pt>
                <c:pt idx="306">
                  <c:v>612.00000036042184</c:v>
                </c:pt>
                <c:pt idx="307">
                  <c:v>614.00000019930303</c:v>
                </c:pt>
                <c:pt idx="308">
                  <c:v>616.00000003818423</c:v>
                </c:pt>
                <c:pt idx="309">
                  <c:v>617.99999987706542</c:v>
                </c:pt>
                <c:pt idx="310">
                  <c:v>620.00000034458935</c:v>
                </c:pt>
                <c:pt idx="311">
                  <c:v>622.00000018347055</c:v>
                </c:pt>
                <c:pt idx="312">
                  <c:v>624.00000002235174</c:v>
                </c:pt>
                <c:pt idx="313">
                  <c:v>625.99999986123294</c:v>
                </c:pt>
                <c:pt idx="314">
                  <c:v>628.00000032875687</c:v>
                </c:pt>
                <c:pt idx="315">
                  <c:v>630.00000016763806</c:v>
                </c:pt>
                <c:pt idx="316">
                  <c:v>632.00000000651926</c:v>
                </c:pt>
                <c:pt idx="317">
                  <c:v>634.00000047404319</c:v>
                </c:pt>
                <c:pt idx="318">
                  <c:v>636.00000031292439</c:v>
                </c:pt>
                <c:pt idx="319">
                  <c:v>638.00000015180558</c:v>
                </c:pt>
                <c:pt idx="320">
                  <c:v>639.99999999068677</c:v>
                </c:pt>
                <c:pt idx="321">
                  <c:v>642.00000045821071</c:v>
                </c:pt>
                <c:pt idx="322">
                  <c:v>644.0000002970919</c:v>
                </c:pt>
                <c:pt idx="323">
                  <c:v>646.0000001359731</c:v>
                </c:pt>
                <c:pt idx="324">
                  <c:v>647.99999997485429</c:v>
                </c:pt>
                <c:pt idx="325">
                  <c:v>650.00000044237822</c:v>
                </c:pt>
                <c:pt idx="326">
                  <c:v>652.00000028125942</c:v>
                </c:pt>
                <c:pt idx="327">
                  <c:v>654.00000012014061</c:v>
                </c:pt>
                <c:pt idx="328">
                  <c:v>655.99999995902181</c:v>
                </c:pt>
                <c:pt idx="329">
                  <c:v>658.00000042654574</c:v>
                </c:pt>
                <c:pt idx="330">
                  <c:v>660.00000026542693</c:v>
                </c:pt>
                <c:pt idx="331">
                  <c:v>662.00000010430813</c:v>
                </c:pt>
                <c:pt idx="332">
                  <c:v>663.99999994318932</c:v>
                </c:pt>
                <c:pt idx="333">
                  <c:v>666.00000041071326</c:v>
                </c:pt>
                <c:pt idx="334">
                  <c:v>668.00000024959445</c:v>
                </c:pt>
                <c:pt idx="335">
                  <c:v>670.00000008847564</c:v>
                </c:pt>
                <c:pt idx="336">
                  <c:v>671.99999992735684</c:v>
                </c:pt>
                <c:pt idx="337">
                  <c:v>674.00000039488077</c:v>
                </c:pt>
                <c:pt idx="338">
                  <c:v>676.00000023376197</c:v>
                </c:pt>
                <c:pt idx="339">
                  <c:v>678.00000007264316</c:v>
                </c:pt>
                <c:pt idx="340">
                  <c:v>679.99999991152436</c:v>
                </c:pt>
                <c:pt idx="341">
                  <c:v>682.00000037904829</c:v>
                </c:pt>
                <c:pt idx="342">
                  <c:v>684.00000021792948</c:v>
                </c:pt>
                <c:pt idx="343">
                  <c:v>686.00000005681068</c:v>
                </c:pt>
                <c:pt idx="344">
                  <c:v>687.99999989569187</c:v>
                </c:pt>
                <c:pt idx="345">
                  <c:v>690.0000003632158</c:v>
                </c:pt>
                <c:pt idx="346">
                  <c:v>692.000000202097</c:v>
                </c:pt>
                <c:pt idx="347">
                  <c:v>694.00000004097819</c:v>
                </c:pt>
                <c:pt idx="348">
                  <c:v>695.99999987985939</c:v>
                </c:pt>
                <c:pt idx="349">
                  <c:v>698.00000034738332</c:v>
                </c:pt>
                <c:pt idx="350">
                  <c:v>700.00000018626451</c:v>
                </c:pt>
                <c:pt idx="351">
                  <c:v>702.00000002514571</c:v>
                </c:pt>
                <c:pt idx="352">
                  <c:v>703.9999998640269</c:v>
                </c:pt>
                <c:pt idx="353">
                  <c:v>706.00000033155084</c:v>
                </c:pt>
                <c:pt idx="354">
                  <c:v>708.00000017043203</c:v>
                </c:pt>
                <c:pt idx="355">
                  <c:v>710.00000000931323</c:v>
                </c:pt>
                <c:pt idx="356">
                  <c:v>712.00000047683716</c:v>
                </c:pt>
                <c:pt idx="357">
                  <c:v>714.00000031571835</c:v>
                </c:pt>
                <c:pt idx="358">
                  <c:v>716.00000015459955</c:v>
                </c:pt>
                <c:pt idx="359">
                  <c:v>717.99999999348074</c:v>
                </c:pt>
                <c:pt idx="360">
                  <c:v>720.00000046100467</c:v>
                </c:pt>
                <c:pt idx="361">
                  <c:v>722.00000029988587</c:v>
                </c:pt>
                <c:pt idx="362">
                  <c:v>724.00000013876706</c:v>
                </c:pt>
                <c:pt idx="363">
                  <c:v>725.99999997764826</c:v>
                </c:pt>
                <c:pt idx="364">
                  <c:v>728.00000044517219</c:v>
                </c:pt>
                <c:pt idx="365">
                  <c:v>730.00000028405339</c:v>
                </c:pt>
                <c:pt idx="366">
                  <c:v>732.00000012293458</c:v>
                </c:pt>
                <c:pt idx="367">
                  <c:v>733.99999996181577</c:v>
                </c:pt>
                <c:pt idx="368">
                  <c:v>736.00000042933971</c:v>
                </c:pt>
                <c:pt idx="369">
                  <c:v>738.0000002682209</c:v>
                </c:pt>
                <c:pt idx="370">
                  <c:v>740.0000001071021</c:v>
                </c:pt>
                <c:pt idx="371">
                  <c:v>741.99999994598329</c:v>
                </c:pt>
                <c:pt idx="372">
                  <c:v>744.00000041350722</c:v>
                </c:pt>
                <c:pt idx="373">
                  <c:v>746.00000025238842</c:v>
                </c:pt>
                <c:pt idx="374">
                  <c:v>748.00000009126961</c:v>
                </c:pt>
                <c:pt idx="375">
                  <c:v>749.99999993015081</c:v>
                </c:pt>
                <c:pt idx="376">
                  <c:v>752.00000039767474</c:v>
                </c:pt>
                <c:pt idx="377">
                  <c:v>754.00000023655593</c:v>
                </c:pt>
                <c:pt idx="378">
                  <c:v>756.00000007543713</c:v>
                </c:pt>
                <c:pt idx="379">
                  <c:v>757.99999991431832</c:v>
                </c:pt>
                <c:pt idx="380">
                  <c:v>760.00000038184226</c:v>
                </c:pt>
                <c:pt idx="381">
                  <c:v>762.00000022072345</c:v>
                </c:pt>
                <c:pt idx="382">
                  <c:v>764.00000005960464</c:v>
                </c:pt>
                <c:pt idx="383">
                  <c:v>765.99999989848584</c:v>
                </c:pt>
                <c:pt idx="384">
                  <c:v>768.00000036600977</c:v>
                </c:pt>
                <c:pt idx="385">
                  <c:v>770.00000020489097</c:v>
                </c:pt>
                <c:pt idx="386">
                  <c:v>772.00000004377216</c:v>
                </c:pt>
                <c:pt idx="387">
                  <c:v>773.99999988265336</c:v>
                </c:pt>
                <c:pt idx="388">
                  <c:v>776.00000035017729</c:v>
                </c:pt>
                <c:pt idx="389">
                  <c:v>778.00000018905848</c:v>
                </c:pt>
                <c:pt idx="390">
                  <c:v>780.00000002793968</c:v>
                </c:pt>
                <c:pt idx="391">
                  <c:v>781.99999986682087</c:v>
                </c:pt>
                <c:pt idx="392">
                  <c:v>784.0000003343448</c:v>
                </c:pt>
                <c:pt idx="393">
                  <c:v>786.000000173226</c:v>
                </c:pt>
                <c:pt idx="394">
                  <c:v>788.00000001210719</c:v>
                </c:pt>
                <c:pt idx="395">
                  <c:v>790.00000047963113</c:v>
                </c:pt>
                <c:pt idx="396">
                  <c:v>792.00000031851232</c:v>
                </c:pt>
                <c:pt idx="397">
                  <c:v>794.00000015739352</c:v>
                </c:pt>
                <c:pt idx="398">
                  <c:v>795.99999999627471</c:v>
                </c:pt>
                <c:pt idx="399">
                  <c:v>798.00000046379864</c:v>
                </c:pt>
                <c:pt idx="400">
                  <c:v>800.00000030267984</c:v>
                </c:pt>
                <c:pt idx="401">
                  <c:v>802.00000014156103</c:v>
                </c:pt>
                <c:pt idx="402">
                  <c:v>803.99999998044223</c:v>
                </c:pt>
                <c:pt idx="403">
                  <c:v>806.00000044796616</c:v>
                </c:pt>
                <c:pt idx="404">
                  <c:v>808.00000028684735</c:v>
                </c:pt>
                <c:pt idx="405">
                  <c:v>810.00000012572855</c:v>
                </c:pt>
                <c:pt idx="406">
                  <c:v>811.99999996460974</c:v>
                </c:pt>
                <c:pt idx="407">
                  <c:v>814.00000043213367</c:v>
                </c:pt>
                <c:pt idx="408">
                  <c:v>816.00000027101487</c:v>
                </c:pt>
                <c:pt idx="409">
                  <c:v>818.00000010989606</c:v>
                </c:pt>
                <c:pt idx="410">
                  <c:v>819.99999994877726</c:v>
                </c:pt>
                <c:pt idx="411">
                  <c:v>822.00000041630119</c:v>
                </c:pt>
                <c:pt idx="412">
                  <c:v>824.00000025518239</c:v>
                </c:pt>
                <c:pt idx="413">
                  <c:v>826.00000009406358</c:v>
                </c:pt>
                <c:pt idx="414">
                  <c:v>827.99999993294477</c:v>
                </c:pt>
                <c:pt idx="415">
                  <c:v>830.00000040046871</c:v>
                </c:pt>
                <c:pt idx="416">
                  <c:v>832.0000002393499</c:v>
                </c:pt>
                <c:pt idx="417">
                  <c:v>834.0000000782311</c:v>
                </c:pt>
                <c:pt idx="418">
                  <c:v>835.99999991711229</c:v>
                </c:pt>
                <c:pt idx="419">
                  <c:v>838.00000038463622</c:v>
                </c:pt>
                <c:pt idx="420">
                  <c:v>840.00000022351742</c:v>
                </c:pt>
                <c:pt idx="421">
                  <c:v>842.00000006239861</c:v>
                </c:pt>
                <c:pt idx="422">
                  <c:v>843.99999990127981</c:v>
                </c:pt>
                <c:pt idx="423">
                  <c:v>846.00000036880374</c:v>
                </c:pt>
                <c:pt idx="424">
                  <c:v>848.00000020768493</c:v>
                </c:pt>
                <c:pt idx="425">
                  <c:v>850.00000004656613</c:v>
                </c:pt>
                <c:pt idx="426">
                  <c:v>851.99999988544732</c:v>
                </c:pt>
                <c:pt idx="427">
                  <c:v>854.00000035297126</c:v>
                </c:pt>
                <c:pt idx="428">
                  <c:v>856.00000019185245</c:v>
                </c:pt>
                <c:pt idx="429">
                  <c:v>858.00000003073364</c:v>
                </c:pt>
                <c:pt idx="430">
                  <c:v>859.99999986961484</c:v>
                </c:pt>
                <c:pt idx="431">
                  <c:v>862.00000033713877</c:v>
                </c:pt>
                <c:pt idx="432">
                  <c:v>864.00000017601997</c:v>
                </c:pt>
                <c:pt idx="433">
                  <c:v>866.00000001490116</c:v>
                </c:pt>
                <c:pt idx="434">
                  <c:v>867.99999985378236</c:v>
                </c:pt>
                <c:pt idx="435">
                  <c:v>870.00000032130629</c:v>
                </c:pt>
                <c:pt idx="436">
                  <c:v>872.00000016018748</c:v>
                </c:pt>
                <c:pt idx="437">
                  <c:v>873.99999999906868</c:v>
                </c:pt>
                <c:pt idx="438">
                  <c:v>876.00000046659261</c:v>
                </c:pt>
                <c:pt idx="439">
                  <c:v>878.0000003054738</c:v>
                </c:pt>
                <c:pt idx="440">
                  <c:v>880.000000144355</c:v>
                </c:pt>
                <c:pt idx="441">
                  <c:v>881.99999998323619</c:v>
                </c:pt>
                <c:pt idx="442">
                  <c:v>884.00000045076013</c:v>
                </c:pt>
                <c:pt idx="443">
                  <c:v>886.00000028964132</c:v>
                </c:pt>
                <c:pt idx="444">
                  <c:v>888.00000012852252</c:v>
                </c:pt>
                <c:pt idx="445">
                  <c:v>889.99999996740371</c:v>
                </c:pt>
                <c:pt idx="446">
                  <c:v>892.00000043492764</c:v>
                </c:pt>
                <c:pt idx="447">
                  <c:v>894.00000027380884</c:v>
                </c:pt>
                <c:pt idx="448">
                  <c:v>896.00000011269003</c:v>
                </c:pt>
                <c:pt idx="449">
                  <c:v>897.99999995157123</c:v>
                </c:pt>
                <c:pt idx="450">
                  <c:v>900.00000041909516</c:v>
                </c:pt>
                <c:pt idx="451">
                  <c:v>902.00000025797635</c:v>
                </c:pt>
                <c:pt idx="452">
                  <c:v>904.00000009685755</c:v>
                </c:pt>
                <c:pt idx="453">
                  <c:v>905.99999993573874</c:v>
                </c:pt>
                <c:pt idx="454">
                  <c:v>908.00000040326267</c:v>
                </c:pt>
                <c:pt idx="455">
                  <c:v>910.00000024214387</c:v>
                </c:pt>
                <c:pt idx="456">
                  <c:v>912.00000008102506</c:v>
                </c:pt>
                <c:pt idx="457">
                  <c:v>913.99999991990626</c:v>
                </c:pt>
                <c:pt idx="458">
                  <c:v>916.00000038743019</c:v>
                </c:pt>
                <c:pt idx="459">
                  <c:v>918.00000022631139</c:v>
                </c:pt>
                <c:pt idx="460">
                  <c:v>920.00000006519258</c:v>
                </c:pt>
                <c:pt idx="461">
                  <c:v>921.99999990407377</c:v>
                </c:pt>
                <c:pt idx="462">
                  <c:v>924.00000037159771</c:v>
                </c:pt>
                <c:pt idx="463">
                  <c:v>926.0000002104789</c:v>
                </c:pt>
                <c:pt idx="464">
                  <c:v>928.0000000493601</c:v>
                </c:pt>
                <c:pt idx="465">
                  <c:v>929.99999988824129</c:v>
                </c:pt>
                <c:pt idx="466">
                  <c:v>932.00000035576522</c:v>
                </c:pt>
                <c:pt idx="467">
                  <c:v>934.00000019464642</c:v>
                </c:pt>
                <c:pt idx="468">
                  <c:v>936.00000003352761</c:v>
                </c:pt>
                <c:pt idx="469">
                  <c:v>937.99999987240881</c:v>
                </c:pt>
                <c:pt idx="470">
                  <c:v>940.00000033993274</c:v>
                </c:pt>
                <c:pt idx="471">
                  <c:v>942.00000017881393</c:v>
                </c:pt>
                <c:pt idx="472">
                  <c:v>944.00000001769513</c:v>
                </c:pt>
                <c:pt idx="473">
                  <c:v>945.99999985657632</c:v>
                </c:pt>
                <c:pt idx="474">
                  <c:v>948.00000032410026</c:v>
                </c:pt>
                <c:pt idx="475">
                  <c:v>950.00000016298145</c:v>
                </c:pt>
                <c:pt idx="476">
                  <c:v>952.00000000186265</c:v>
                </c:pt>
                <c:pt idx="477">
                  <c:v>954.00000046938658</c:v>
                </c:pt>
                <c:pt idx="478">
                  <c:v>956.00000030826777</c:v>
                </c:pt>
                <c:pt idx="479">
                  <c:v>958.00000014714897</c:v>
                </c:pt>
                <c:pt idx="480">
                  <c:v>959.99999998603016</c:v>
                </c:pt>
                <c:pt idx="481">
                  <c:v>962.00000045355409</c:v>
                </c:pt>
                <c:pt idx="482">
                  <c:v>964.00000029243529</c:v>
                </c:pt>
                <c:pt idx="483">
                  <c:v>966.00000013131648</c:v>
                </c:pt>
                <c:pt idx="484">
                  <c:v>967.99999997019768</c:v>
                </c:pt>
                <c:pt idx="485">
                  <c:v>970.00000043772161</c:v>
                </c:pt>
                <c:pt idx="486">
                  <c:v>972.0000002766028</c:v>
                </c:pt>
                <c:pt idx="487">
                  <c:v>974.000000115484</c:v>
                </c:pt>
                <c:pt idx="488">
                  <c:v>975.99999995436519</c:v>
                </c:pt>
                <c:pt idx="489">
                  <c:v>978.00000042188913</c:v>
                </c:pt>
                <c:pt idx="490">
                  <c:v>980.00000026077032</c:v>
                </c:pt>
                <c:pt idx="491">
                  <c:v>982.00000009965152</c:v>
                </c:pt>
                <c:pt idx="492">
                  <c:v>983.99999993853271</c:v>
                </c:pt>
                <c:pt idx="493">
                  <c:v>986.00000040605664</c:v>
                </c:pt>
                <c:pt idx="494">
                  <c:v>988.00000024493784</c:v>
                </c:pt>
                <c:pt idx="495">
                  <c:v>990.00000008381903</c:v>
                </c:pt>
                <c:pt idx="496">
                  <c:v>991.99999992270023</c:v>
                </c:pt>
                <c:pt idx="497">
                  <c:v>994.00000039022416</c:v>
                </c:pt>
                <c:pt idx="498">
                  <c:v>996.00000022910535</c:v>
                </c:pt>
                <c:pt idx="499">
                  <c:v>998.00000006798655</c:v>
                </c:pt>
                <c:pt idx="500">
                  <c:v>999.99999990686774</c:v>
                </c:pt>
                <c:pt idx="501">
                  <c:v>1002.0000003743917</c:v>
                </c:pt>
                <c:pt idx="502">
                  <c:v>1004.0000002132729</c:v>
                </c:pt>
                <c:pt idx="503">
                  <c:v>1006.0000000521541</c:v>
                </c:pt>
                <c:pt idx="504">
                  <c:v>1007.9999998910353</c:v>
                </c:pt>
                <c:pt idx="505">
                  <c:v>1010.0000003585592</c:v>
                </c:pt>
                <c:pt idx="506">
                  <c:v>1012.0000001974404</c:v>
                </c:pt>
                <c:pt idx="507">
                  <c:v>1014.0000000363216</c:v>
                </c:pt>
                <c:pt idx="508">
                  <c:v>1015.9999998752028</c:v>
                </c:pt>
                <c:pt idx="509">
                  <c:v>1018.0000003427267</c:v>
                </c:pt>
                <c:pt idx="510">
                  <c:v>1020.0000001816079</c:v>
                </c:pt>
                <c:pt idx="511">
                  <c:v>1022.0000000204891</c:v>
                </c:pt>
                <c:pt idx="512">
                  <c:v>1023.9999998593703</c:v>
                </c:pt>
                <c:pt idx="513">
                  <c:v>1026.0000003268942</c:v>
                </c:pt>
                <c:pt idx="514">
                  <c:v>1028.0000001657754</c:v>
                </c:pt>
                <c:pt idx="515">
                  <c:v>1030.0000000046566</c:v>
                </c:pt>
                <c:pt idx="516">
                  <c:v>1032.0000004721805</c:v>
                </c:pt>
                <c:pt idx="517">
                  <c:v>1034.0000003110617</c:v>
                </c:pt>
                <c:pt idx="518">
                  <c:v>1036.0000001499429</c:v>
                </c:pt>
                <c:pt idx="519">
                  <c:v>1037.9999999888241</c:v>
                </c:pt>
                <c:pt idx="520">
                  <c:v>1040.0000004563481</c:v>
                </c:pt>
                <c:pt idx="521">
                  <c:v>1042.0000002952293</c:v>
                </c:pt>
                <c:pt idx="522">
                  <c:v>1044.0000001341105</c:v>
                </c:pt>
                <c:pt idx="523">
                  <c:v>1045.9999999729916</c:v>
                </c:pt>
                <c:pt idx="524">
                  <c:v>1048.0000004405156</c:v>
                </c:pt>
                <c:pt idx="525">
                  <c:v>1050.0000002793968</c:v>
                </c:pt>
                <c:pt idx="526">
                  <c:v>1052.000000118278</c:v>
                </c:pt>
                <c:pt idx="527">
                  <c:v>1053.9999999571592</c:v>
                </c:pt>
                <c:pt idx="528">
                  <c:v>1056.0000004246831</c:v>
                </c:pt>
                <c:pt idx="529">
                  <c:v>1058.0000002635643</c:v>
                </c:pt>
                <c:pt idx="530">
                  <c:v>1060.0000001024455</c:v>
                </c:pt>
                <c:pt idx="531">
                  <c:v>1061.9999999413267</c:v>
                </c:pt>
                <c:pt idx="532">
                  <c:v>1064.0000004088506</c:v>
                </c:pt>
                <c:pt idx="533">
                  <c:v>1066.0000002477318</c:v>
                </c:pt>
                <c:pt idx="534">
                  <c:v>1068.000000086613</c:v>
                </c:pt>
                <c:pt idx="535">
                  <c:v>1069.9999999254942</c:v>
                </c:pt>
                <c:pt idx="536">
                  <c:v>1072.0000003930181</c:v>
                </c:pt>
                <c:pt idx="537">
                  <c:v>1074.0000002318993</c:v>
                </c:pt>
                <c:pt idx="538">
                  <c:v>1076.0000000707805</c:v>
                </c:pt>
                <c:pt idx="539">
                  <c:v>1077.9999999096617</c:v>
                </c:pt>
                <c:pt idx="540">
                  <c:v>1080.0000003771856</c:v>
                </c:pt>
                <c:pt idx="541">
                  <c:v>1082.0000002160668</c:v>
                </c:pt>
                <c:pt idx="542">
                  <c:v>1084.000000054948</c:v>
                </c:pt>
                <c:pt idx="543">
                  <c:v>1085.9999998938292</c:v>
                </c:pt>
                <c:pt idx="544">
                  <c:v>1088.0000003613532</c:v>
                </c:pt>
                <c:pt idx="545">
                  <c:v>1090.0000002002344</c:v>
                </c:pt>
                <c:pt idx="546">
                  <c:v>1092.0000000391155</c:v>
                </c:pt>
                <c:pt idx="547">
                  <c:v>1093.9999998779967</c:v>
                </c:pt>
                <c:pt idx="548">
                  <c:v>1096.0000003455207</c:v>
                </c:pt>
                <c:pt idx="549">
                  <c:v>1098.0000001844019</c:v>
                </c:pt>
                <c:pt idx="550">
                  <c:v>1100.0000000232831</c:v>
                </c:pt>
                <c:pt idx="551">
                  <c:v>1101.9999998621643</c:v>
                </c:pt>
                <c:pt idx="552">
                  <c:v>1104.0000003296882</c:v>
                </c:pt>
                <c:pt idx="553">
                  <c:v>1106.0000001685694</c:v>
                </c:pt>
                <c:pt idx="554">
                  <c:v>1108.0000000074506</c:v>
                </c:pt>
                <c:pt idx="555">
                  <c:v>1110.0000004749745</c:v>
                </c:pt>
                <c:pt idx="556">
                  <c:v>1112.0000003138557</c:v>
                </c:pt>
                <c:pt idx="557">
                  <c:v>1114.0000001527369</c:v>
                </c:pt>
                <c:pt idx="558">
                  <c:v>1115.9999999916181</c:v>
                </c:pt>
                <c:pt idx="559">
                  <c:v>1118.000000459142</c:v>
                </c:pt>
                <c:pt idx="560">
                  <c:v>1120.0000002980232</c:v>
                </c:pt>
                <c:pt idx="561">
                  <c:v>1122.0000001369044</c:v>
                </c:pt>
                <c:pt idx="562">
                  <c:v>1123.9999999757856</c:v>
                </c:pt>
                <c:pt idx="563">
                  <c:v>1126.0000004433095</c:v>
                </c:pt>
                <c:pt idx="564">
                  <c:v>1128.0000002821907</c:v>
                </c:pt>
                <c:pt idx="565">
                  <c:v>1130.0000001210719</c:v>
                </c:pt>
                <c:pt idx="566">
                  <c:v>1131.9999999599531</c:v>
                </c:pt>
                <c:pt idx="567">
                  <c:v>1134.0000004274771</c:v>
                </c:pt>
                <c:pt idx="568">
                  <c:v>1136.0000002663583</c:v>
                </c:pt>
                <c:pt idx="569">
                  <c:v>1138.0000001052395</c:v>
                </c:pt>
                <c:pt idx="570">
                  <c:v>1139.9999999441206</c:v>
                </c:pt>
                <c:pt idx="571">
                  <c:v>1142.0000004116446</c:v>
                </c:pt>
                <c:pt idx="572">
                  <c:v>1144.0000002505258</c:v>
                </c:pt>
                <c:pt idx="573">
                  <c:v>1146.000000089407</c:v>
                </c:pt>
                <c:pt idx="574">
                  <c:v>1147.9999999282882</c:v>
                </c:pt>
                <c:pt idx="575">
                  <c:v>1150.0000003958121</c:v>
                </c:pt>
                <c:pt idx="576">
                  <c:v>1152.0000002346933</c:v>
                </c:pt>
                <c:pt idx="577">
                  <c:v>1154.0000000735745</c:v>
                </c:pt>
                <c:pt idx="578">
                  <c:v>1155.9999999124557</c:v>
                </c:pt>
                <c:pt idx="579">
                  <c:v>1158.0000003799796</c:v>
                </c:pt>
                <c:pt idx="580">
                  <c:v>1160.0000002188608</c:v>
                </c:pt>
                <c:pt idx="581">
                  <c:v>1162.000000057742</c:v>
                </c:pt>
                <c:pt idx="582">
                  <c:v>1163.9999998966232</c:v>
                </c:pt>
                <c:pt idx="583">
                  <c:v>1166.0000003641471</c:v>
                </c:pt>
                <c:pt idx="584">
                  <c:v>1168.0000002030283</c:v>
                </c:pt>
                <c:pt idx="585">
                  <c:v>1170.0000000419095</c:v>
                </c:pt>
                <c:pt idx="586">
                  <c:v>1171.9999998807907</c:v>
                </c:pt>
                <c:pt idx="587">
                  <c:v>1174.0000003483146</c:v>
                </c:pt>
                <c:pt idx="588">
                  <c:v>1176.0000001871958</c:v>
                </c:pt>
                <c:pt idx="589">
                  <c:v>1178.000000026077</c:v>
                </c:pt>
                <c:pt idx="590">
                  <c:v>1179.9999998649582</c:v>
                </c:pt>
                <c:pt idx="591">
                  <c:v>1182.0000003324822</c:v>
                </c:pt>
                <c:pt idx="592">
                  <c:v>1184.0000001713634</c:v>
                </c:pt>
                <c:pt idx="593">
                  <c:v>1186.0000000102445</c:v>
                </c:pt>
                <c:pt idx="594">
                  <c:v>1188.0000004777685</c:v>
                </c:pt>
                <c:pt idx="595">
                  <c:v>1190.0000003166497</c:v>
                </c:pt>
                <c:pt idx="596">
                  <c:v>1192.0000001555309</c:v>
                </c:pt>
                <c:pt idx="597">
                  <c:v>1193.9999999944121</c:v>
                </c:pt>
                <c:pt idx="598">
                  <c:v>1196.000000461936</c:v>
                </c:pt>
                <c:pt idx="599">
                  <c:v>1198.0000003008172</c:v>
                </c:pt>
                <c:pt idx="600">
                  <c:v>1200.0000001396984</c:v>
                </c:pt>
                <c:pt idx="601">
                  <c:v>1201.9999999785796</c:v>
                </c:pt>
                <c:pt idx="602">
                  <c:v>1204.0000004461035</c:v>
                </c:pt>
                <c:pt idx="603">
                  <c:v>1206.0000002849847</c:v>
                </c:pt>
                <c:pt idx="604">
                  <c:v>1208.0000001238659</c:v>
                </c:pt>
                <c:pt idx="605">
                  <c:v>1209.9999999627471</c:v>
                </c:pt>
                <c:pt idx="606">
                  <c:v>1212.000000430271</c:v>
                </c:pt>
                <c:pt idx="607">
                  <c:v>1214.0000002691522</c:v>
                </c:pt>
                <c:pt idx="608">
                  <c:v>1216.0000001080334</c:v>
                </c:pt>
                <c:pt idx="609">
                  <c:v>1217.9999999469146</c:v>
                </c:pt>
                <c:pt idx="610">
                  <c:v>1220.0000004144385</c:v>
                </c:pt>
                <c:pt idx="611">
                  <c:v>1222.0000002533197</c:v>
                </c:pt>
                <c:pt idx="612">
                  <c:v>1224.0000000922009</c:v>
                </c:pt>
                <c:pt idx="613">
                  <c:v>1225.9999999310821</c:v>
                </c:pt>
                <c:pt idx="614">
                  <c:v>1228.0000003986061</c:v>
                </c:pt>
                <c:pt idx="615">
                  <c:v>1230.0000002374873</c:v>
                </c:pt>
                <c:pt idx="616">
                  <c:v>1232.0000000763685</c:v>
                </c:pt>
                <c:pt idx="617">
                  <c:v>1233.9999999152496</c:v>
                </c:pt>
                <c:pt idx="618">
                  <c:v>1236.0000003827736</c:v>
                </c:pt>
                <c:pt idx="619">
                  <c:v>1238.0000002216548</c:v>
                </c:pt>
                <c:pt idx="620">
                  <c:v>1240.000000060536</c:v>
                </c:pt>
                <c:pt idx="621">
                  <c:v>1241.9999998994172</c:v>
                </c:pt>
                <c:pt idx="622">
                  <c:v>1244.0000003669411</c:v>
                </c:pt>
                <c:pt idx="623">
                  <c:v>1246.0000002058223</c:v>
                </c:pt>
                <c:pt idx="624">
                  <c:v>1248.0000000447035</c:v>
                </c:pt>
                <c:pt idx="625">
                  <c:v>1249.9999998835847</c:v>
                </c:pt>
                <c:pt idx="626">
                  <c:v>1252.0000003511086</c:v>
                </c:pt>
                <c:pt idx="627">
                  <c:v>1254.0000001899898</c:v>
                </c:pt>
                <c:pt idx="628">
                  <c:v>1256.000000028871</c:v>
                </c:pt>
                <c:pt idx="629">
                  <c:v>1257.9999998677522</c:v>
                </c:pt>
                <c:pt idx="630">
                  <c:v>1260.0000003352761</c:v>
                </c:pt>
                <c:pt idx="631">
                  <c:v>1262.0000001741573</c:v>
                </c:pt>
                <c:pt idx="632">
                  <c:v>1264.0000000130385</c:v>
                </c:pt>
                <c:pt idx="633">
                  <c:v>1266.0000004805624</c:v>
                </c:pt>
                <c:pt idx="634">
                  <c:v>1268.0000003194436</c:v>
                </c:pt>
                <c:pt idx="635">
                  <c:v>1270.0000001583248</c:v>
                </c:pt>
                <c:pt idx="636">
                  <c:v>1271.999999997206</c:v>
                </c:pt>
                <c:pt idx="637">
                  <c:v>1274.00000046473</c:v>
                </c:pt>
                <c:pt idx="638">
                  <c:v>1276.0000003036112</c:v>
                </c:pt>
                <c:pt idx="639">
                  <c:v>1278.0000001424924</c:v>
                </c:pt>
                <c:pt idx="640">
                  <c:v>1279.9999999813735</c:v>
                </c:pt>
                <c:pt idx="641">
                  <c:v>1282.0000004488975</c:v>
                </c:pt>
                <c:pt idx="642">
                  <c:v>1284.0000002877787</c:v>
                </c:pt>
                <c:pt idx="643">
                  <c:v>1286.0000001266599</c:v>
                </c:pt>
                <c:pt idx="644">
                  <c:v>1287.9999999655411</c:v>
                </c:pt>
                <c:pt idx="645">
                  <c:v>1290.000000433065</c:v>
                </c:pt>
                <c:pt idx="646">
                  <c:v>1292.0000002719462</c:v>
                </c:pt>
                <c:pt idx="647">
                  <c:v>1294.0000001108274</c:v>
                </c:pt>
                <c:pt idx="648">
                  <c:v>1295.9999999497086</c:v>
                </c:pt>
                <c:pt idx="649">
                  <c:v>1298.0000004172325</c:v>
                </c:pt>
                <c:pt idx="650">
                  <c:v>1300.0000002561137</c:v>
                </c:pt>
                <c:pt idx="651">
                  <c:v>1302.0000000949949</c:v>
                </c:pt>
                <c:pt idx="652">
                  <c:v>1303.9999999338761</c:v>
                </c:pt>
                <c:pt idx="653">
                  <c:v>1306.0000004014</c:v>
                </c:pt>
                <c:pt idx="654">
                  <c:v>1308.0000002402812</c:v>
                </c:pt>
                <c:pt idx="655">
                  <c:v>1310.0000000791624</c:v>
                </c:pt>
                <c:pt idx="656">
                  <c:v>1311.9999999180436</c:v>
                </c:pt>
                <c:pt idx="657">
                  <c:v>1314.0000003855675</c:v>
                </c:pt>
                <c:pt idx="658">
                  <c:v>1316.0000002244487</c:v>
                </c:pt>
                <c:pt idx="659">
                  <c:v>1318.0000000633299</c:v>
                </c:pt>
                <c:pt idx="660">
                  <c:v>1319.9999999022111</c:v>
                </c:pt>
                <c:pt idx="661">
                  <c:v>1322.0000003697351</c:v>
                </c:pt>
                <c:pt idx="662">
                  <c:v>1324.0000002086163</c:v>
                </c:pt>
                <c:pt idx="663">
                  <c:v>1326.0000000474975</c:v>
                </c:pt>
                <c:pt idx="664">
                  <c:v>1327.9999998863786</c:v>
                </c:pt>
                <c:pt idx="665">
                  <c:v>1330.0000003539026</c:v>
                </c:pt>
                <c:pt idx="666">
                  <c:v>1332.0000001927838</c:v>
                </c:pt>
                <c:pt idx="667">
                  <c:v>1334.000000031665</c:v>
                </c:pt>
                <c:pt idx="668">
                  <c:v>1335.9999998705462</c:v>
                </c:pt>
                <c:pt idx="669">
                  <c:v>1338.0000003380701</c:v>
                </c:pt>
                <c:pt idx="670">
                  <c:v>1340.0000001769513</c:v>
                </c:pt>
                <c:pt idx="671">
                  <c:v>1342.0000000158325</c:v>
                </c:pt>
                <c:pt idx="672">
                  <c:v>1343.9999998547137</c:v>
                </c:pt>
                <c:pt idx="673">
                  <c:v>1346.0000003222376</c:v>
                </c:pt>
                <c:pt idx="674">
                  <c:v>1348.0000001611188</c:v>
                </c:pt>
                <c:pt idx="675">
                  <c:v>1350</c:v>
                </c:pt>
                <c:pt idx="676">
                  <c:v>1352.0000004675239</c:v>
                </c:pt>
                <c:pt idx="677">
                  <c:v>1354.0000003064051</c:v>
                </c:pt>
                <c:pt idx="678">
                  <c:v>1356.0000001452863</c:v>
                </c:pt>
                <c:pt idx="679">
                  <c:v>1357.9999999841675</c:v>
                </c:pt>
                <c:pt idx="680">
                  <c:v>1360.0000004516914</c:v>
                </c:pt>
                <c:pt idx="681">
                  <c:v>1362.0000002905726</c:v>
                </c:pt>
                <c:pt idx="682">
                  <c:v>1364.0000001294538</c:v>
                </c:pt>
                <c:pt idx="683">
                  <c:v>1365.999999968335</c:v>
                </c:pt>
                <c:pt idx="684">
                  <c:v>1368.000000435859</c:v>
                </c:pt>
                <c:pt idx="685">
                  <c:v>1370.0000002747402</c:v>
                </c:pt>
                <c:pt idx="686">
                  <c:v>1372.0000001136214</c:v>
                </c:pt>
                <c:pt idx="687">
                  <c:v>1373.9999999525025</c:v>
                </c:pt>
                <c:pt idx="688">
                  <c:v>1376.0000004200265</c:v>
                </c:pt>
                <c:pt idx="689">
                  <c:v>1378.0000002589077</c:v>
                </c:pt>
              </c:numCache>
            </c:numRef>
          </c:xVal>
          <c:yVal>
            <c:numRef>
              <c:f>'INJ Q4'!$G$20:$G$884</c:f>
              <c:numCache>
                <c:formatCode>0.00</c:formatCode>
                <c:ptCount val="86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0.10000000000000142</c:v>
                </c:pt>
                <c:pt idx="44">
                  <c:v>0.10000000000000142</c:v>
                </c:pt>
                <c:pt idx="45">
                  <c:v>0.60000000000000142</c:v>
                </c:pt>
                <c:pt idx="46">
                  <c:v>0.75</c:v>
                </c:pt>
                <c:pt idx="47">
                  <c:v>1.0500000000000007</c:v>
                </c:pt>
                <c:pt idx="48">
                  <c:v>2.4000000000000021</c:v>
                </c:pt>
                <c:pt idx="49">
                  <c:v>3.4499999999999993</c:v>
                </c:pt>
                <c:pt idx="50">
                  <c:v>5.6000000000000014</c:v>
                </c:pt>
                <c:pt idx="51">
                  <c:v>8.1500000000000021</c:v>
                </c:pt>
                <c:pt idx="52">
                  <c:v>5.4499999999999993</c:v>
                </c:pt>
                <c:pt idx="53">
                  <c:v>10.95</c:v>
                </c:pt>
                <c:pt idx="54">
                  <c:v>18.400000000000002</c:v>
                </c:pt>
                <c:pt idx="55">
                  <c:v>19.2</c:v>
                </c:pt>
                <c:pt idx="56">
                  <c:v>25.099999999999998</c:v>
                </c:pt>
                <c:pt idx="57">
                  <c:v>26.2</c:v>
                </c:pt>
                <c:pt idx="58">
                  <c:v>28.349999999999998</c:v>
                </c:pt>
                <c:pt idx="59">
                  <c:v>33.900000000000006</c:v>
                </c:pt>
                <c:pt idx="60">
                  <c:v>34.450000000000003</c:v>
                </c:pt>
                <c:pt idx="61">
                  <c:v>40.400000000000006</c:v>
                </c:pt>
                <c:pt idx="62">
                  <c:v>57.55</c:v>
                </c:pt>
                <c:pt idx="63">
                  <c:v>54.25</c:v>
                </c:pt>
                <c:pt idx="64">
                  <c:v>58.399999999999991</c:v>
                </c:pt>
                <c:pt idx="65">
                  <c:v>59.05</c:v>
                </c:pt>
                <c:pt idx="66">
                  <c:v>59.399999999999991</c:v>
                </c:pt>
                <c:pt idx="67">
                  <c:v>58.7</c:v>
                </c:pt>
                <c:pt idx="68">
                  <c:v>59</c:v>
                </c:pt>
                <c:pt idx="69">
                  <c:v>61.899999999999991</c:v>
                </c:pt>
                <c:pt idx="70">
                  <c:v>63.849999999999994</c:v>
                </c:pt>
                <c:pt idx="71">
                  <c:v>63.45</c:v>
                </c:pt>
                <c:pt idx="72">
                  <c:v>62.55</c:v>
                </c:pt>
                <c:pt idx="73">
                  <c:v>59.899999999999991</c:v>
                </c:pt>
                <c:pt idx="74">
                  <c:v>60.2</c:v>
                </c:pt>
                <c:pt idx="75">
                  <c:v>58.149999999999991</c:v>
                </c:pt>
                <c:pt idx="76">
                  <c:v>57.5</c:v>
                </c:pt>
                <c:pt idx="77">
                  <c:v>54.75</c:v>
                </c:pt>
                <c:pt idx="78">
                  <c:v>56.95</c:v>
                </c:pt>
                <c:pt idx="79">
                  <c:v>51.349999999999994</c:v>
                </c:pt>
                <c:pt idx="80">
                  <c:v>50.399999999999991</c:v>
                </c:pt>
                <c:pt idx="81">
                  <c:v>50.2</c:v>
                </c:pt>
                <c:pt idx="82">
                  <c:v>48.399999999999991</c:v>
                </c:pt>
                <c:pt idx="83">
                  <c:v>44.3</c:v>
                </c:pt>
                <c:pt idx="84">
                  <c:v>46.3</c:v>
                </c:pt>
                <c:pt idx="85">
                  <c:v>42.8</c:v>
                </c:pt>
                <c:pt idx="86">
                  <c:v>42.400000000000006</c:v>
                </c:pt>
                <c:pt idx="87">
                  <c:v>41.05</c:v>
                </c:pt>
                <c:pt idx="88">
                  <c:v>36.650000000000006</c:v>
                </c:pt>
                <c:pt idx="89">
                  <c:v>39</c:v>
                </c:pt>
                <c:pt idx="90">
                  <c:v>34.75</c:v>
                </c:pt>
                <c:pt idx="91">
                  <c:v>34.599999999999994</c:v>
                </c:pt>
                <c:pt idx="92">
                  <c:v>35.5</c:v>
                </c:pt>
                <c:pt idx="93">
                  <c:v>31.000000000000004</c:v>
                </c:pt>
                <c:pt idx="94">
                  <c:v>31.000000000000004</c:v>
                </c:pt>
                <c:pt idx="95">
                  <c:v>31.2</c:v>
                </c:pt>
                <c:pt idx="96">
                  <c:v>28.000000000000004</c:v>
                </c:pt>
                <c:pt idx="97">
                  <c:v>29.250000000000004</c:v>
                </c:pt>
                <c:pt idx="98">
                  <c:v>25.599999999999998</c:v>
                </c:pt>
                <c:pt idx="99">
                  <c:v>24.400000000000002</c:v>
                </c:pt>
                <c:pt idx="100">
                  <c:v>23.900000000000002</c:v>
                </c:pt>
                <c:pt idx="101">
                  <c:v>23.400000000000002</c:v>
                </c:pt>
                <c:pt idx="102">
                  <c:v>23.8</c:v>
                </c:pt>
                <c:pt idx="103">
                  <c:v>21.750000000000004</c:v>
                </c:pt>
                <c:pt idx="104">
                  <c:v>21.250000000000004</c:v>
                </c:pt>
                <c:pt idx="105">
                  <c:v>20.45</c:v>
                </c:pt>
                <c:pt idx="106">
                  <c:v>19.250000000000004</c:v>
                </c:pt>
                <c:pt idx="107">
                  <c:v>17.900000000000002</c:v>
                </c:pt>
                <c:pt idx="108">
                  <c:v>17.55</c:v>
                </c:pt>
                <c:pt idx="109">
                  <c:v>17.55</c:v>
                </c:pt>
                <c:pt idx="110">
                  <c:v>16.349999999999998</c:v>
                </c:pt>
                <c:pt idx="111">
                  <c:v>17.000000000000004</c:v>
                </c:pt>
                <c:pt idx="112">
                  <c:v>15.7</c:v>
                </c:pt>
                <c:pt idx="113">
                  <c:v>15.150000000000002</c:v>
                </c:pt>
                <c:pt idx="114">
                  <c:v>15.599999999999998</c:v>
                </c:pt>
                <c:pt idx="115">
                  <c:v>13.250000000000004</c:v>
                </c:pt>
                <c:pt idx="116">
                  <c:v>14.000000000000004</c:v>
                </c:pt>
                <c:pt idx="117">
                  <c:v>12.750000000000004</c:v>
                </c:pt>
                <c:pt idx="118">
                  <c:v>14.000000000000004</c:v>
                </c:pt>
                <c:pt idx="119">
                  <c:v>11.7</c:v>
                </c:pt>
                <c:pt idx="120">
                  <c:v>10.850000000000001</c:v>
                </c:pt>
                <c:pt idx="121">
                  <c:v>11.2</c:v>
                </c:pt>
                <c:pt idx="122">
                  <c:v>10.850000000000001</c:v>
                </c:pt>
                <c:pt idx="123">
                  <c:v>11.400000000000002</c:v>
                </c:pt>
                <c:pt idx="124">
                  <c:v>10.199999999999999</c:v>
                </c:pt>
                <c:pt idx="125">
                  <c:v>10.199999999999999</c:v>
                </c:pt>
                <c:pt idx="126">
                  <c:v>9.25</c:v>
                </c:pt>
                <c:pt idx="127">
                  <c:v>8.9000000000000021</c:v>
                </c:pt>
                <c:pt idx="128">
                  <c:v>8.6999999999999993</c:v>
                </c:pt>
                <c:pt idx="129">
                  <c:v>8.8000000000000007</c:v>
                </c:pt>
                <c:pt idx="130">
                  <c:v>8.8000000000000007</c:v>
                </c:pt>
                <c:pt idx="131">
                  <c:v>8.6500000000000021</c:v>
                </c:pt>
                <c:pt idx="132">
                  <c:v>7.8000000000000007</c:v>
                </c:pt>
                <c:pt idx="133">
                  <c:v>8.4000000000000021</c:v>
                </c:pt>
                <c:pt idx="134">
                  <c:v>7.8500000000000014</c:v>
                </c:pt>
                <c:pt idx="135">
                  <c:v>8.1500000000000021</c:v>
                </c:pt>
                <c:pt idx="136">
                  <c:v>7.5500000000000007</c:v>
                </c:pt>
                <c:pt idx="137">
                  <c:v>7.4499999999999993</c:v>
                </c:pt>
                <c:pt idx="138">
                  <c:v>6.6500000000000021</c:v>
                </c:pt>
                <c:pt idx="139">
                  <c:v>7.4499999999999993</c:v>
                </c:pt>
                <c:pt idx="140">
                  <c:v>6.1500000000000021</c:v>
                </c:pt>
                <c:pt idx="141">
                  <c:v>6.1999999999999993</c:v>
                </c:pt>
                <c:pt idx="142">
                  <c:v>5.6000000000000014</c:v>
                </c:pt>
                <c:pt idx="143">
                  <c:v>5.8000000000000007</c:v>
                </c:pt>
                <c:pt idx="144">
                  <c:v>5.6000000000000014</c:v>
                </c:pt>
                <c:pt idx="145">
                  <c:v>5.4499999999999993</c:v>
                </c:pt>
                <c:pt idx="146">
                  <c:v>5.8500000000000014</c:v>
                </c:pt>
                <c:pt idx="147">
                  <c:v>4.8000000000000007</c:v>
                </c:pt>
                <c:pt idx="148">
                  <c:v>4.9499999999999993</c:v>
                </c:pt>
                <c:pt idx="149">
                  <c:v>4.4499999999999993</c:v>
                </c:pt>
                <c:pt idx="150">
                  <c:v>4.6500000000000021</c:v>
                </c:pt>
                <c:pt idx="151">
                  <c:v>4.3000000000000007</c:v>
                </c:pt>
                <c:pt idx="152">
                  <c:v>4.3000000000000007</c:v>
                </c:pt>
                <c:pt idx="153">
                  <c:v>4.25</c:v>
                </c:pt>
                <c:pt idx="154">
                  <c:v>4.25</c:v>
                </c:pt>
                <c:pt idx="155">
                  <c:v>3.8000000000000007</c:v>
                </c:pt>
                <c:pt idx="156">
                  <c:v>3.75</c:v>
                </c:pt>
                <c:pt idx="157">
                  <c:v>3.9499999999999993</c:v>
                </c:pt>
                <c:pt idx="158">
                  <c:v>3.75</c:v>
                </c:pt>
                <c:pt idx="159">
                  <c:v>3.75</c:v>
                </c:pt>
                <c:pt idx="160">
                  <c:v>3.6500000000000021</c:v>
                </c:pt>
                <c:pt idx="161">
                  <c:v>3.6000000000000014</c:v>
                </c:pt>
                <c:pt idx="162">
                  <c:v>3.25</c:v>
                </c:pt>
                <c:pt idx="163">
                  <c:v>3.1500000000000021</c:v>
                </c:pt>
                <c:pt idx="164">
                  <c:v>3.1500000000000021</c:v>
                </c:pt>
                <c:pt idx="165">
                  <c:v>2.9499999999999993</c:v>
                </c:pt>
                <c:pt idx="166">
                  <c:v>3.0500000000000007</c:v>
                </c:pt>
                <c:pt idx="167">
                  <c:v>3.0500000000000007</c:v>
                </c:pt>
                <c:pt idx="168">
                  <c:v>2.9499999999999993</c:v>
                </c:pt>
                <c:pt idx="169">
                  <c:v>2.9000000000000021</c:v>
                </c:pt>
                <c:pt idx="170">
                  <c:v>2.75</c:v>
                </c:pt>
                <c:pt idx="171">
                  <c:v>2.6000000000000014</c:v>
                </c:pt>
                <c:pt idx="172">
                  <c:v>2.75</c:v>
                </c:pt>
                <c:pt idx="173">
                  <c:v>2.4499999999999993</c:v>
                </c:pt>
                <c:pt idx="174">
                  <c:v>2.4000000000000021</c:v>
                </c:pt>
                <c:pt idx="175">
                  <c:v>2.25</c:v>
                </c:pt>
                <c:pt idx="176">
                  <c:v>2.1999999999999993</c:v>
                </c:pt>
                <c:pt idx="177">
                  <c:v>2.1999999999999993</c:v>
                </c:pt>
                <c:pt idx="178">
                  <c:v>2.1999999999999993</c:v>
                </c:pt>
                <c:pt idx="179">
                  <c:v>2.0500000000000007</c:v>
                </c:pt>
                <c:pt idx="180">
                  <c:v>2.0500000000000007</c:v>
                </c:pt>
                <c:pt idx="181">
                  <c:v>1.8000000000000007</c:v>
                </c:pt>
                <c:pt idx="182">
                  <c:v>1.8000000000000007</c:v>
                </c:pt>
                <c:pt idx="183">
                  <c:v>1.9499999999999993</c:v>
                </c:pt>
                <c:pt idx="184">
                  <c:v>1.9000000000000021</c:v>
                </c:pt>
                <c:pt idx="185">
                  <c:v>1.6999999999999993</c:v>
                </c:pt>
                <c:pt idx="186">
                  <c:v>1.75</c:v>
                </c:pt>
                <c:pt idx="187">
                  <c:v>1.8000000000000007</c:v>
                </c:pt>
                <c:pt idx="188">
                  <c:v>1.6500000000000021</c:v>
                </c:pt>
                <c:pt idx="189">
                  <c:v>1.6999999999999993</c:v>
                </c:pt>
                <c:pt idx="190">
                  <c:v>1.5500000000000007</c:v>
                </c:pt>
                <c:pt idx="191">
                  <c:v>1.5500000000000007</c:v>
                </c:pt>
                <c:pt idx="192">
                  <c:v>1.6999999999999993</c:v>
                </c:pt>
                <c:pt idx="193">
                  <c:v>1.4499999999999993</c:v>
                </c:pt>
                <c:pt idx="194">
                  <c:v>1.5500000000000007</c:v>
                </c:pt>
                <c:pt idx="195">
                  <c:v>1.4499999999999993</c:v>
                </c:pt>
                <c:pt idx="196">
                  <c:v>1.4499999999999993</c:v>
                </c:pt>
                <c:pt idx="197">
                  <c:v>1.3000000000000007</c:v>
                </c:pt>
                <c:pt idx="198">
                  <c:v>1.25</c:v>
                </c:pt>
                <c:pt idx="199">
                  <c:v>1.25</c:v>
                </c:pt>
                <c:pt idx="200">
                  <c:v>1.25</c:v>
                </c:pt>
                <c:pt idx="201">
                  <c:v>1.25</c:v>
                </c:pt>
                <c:pt idx="202">
                  <c:v>1.3000000000000007</c:v>
                </c:pt>
                <c:pt idx="203">
                  <c:v>1.25</c:v>
                </c:pt>
                <c:pt idx="204">
                  <c:v>1.3000000000000007</c:v>
                </c:pt>
                <c:pt idx="205">
                  <c:v>1.25</c:v>
                </c:pt>
                <c:pt idx="206">
                  <c:v>1.1999999999999993</c:v>
                </c:pt>
                <c:pt idx="207">
                  <c:v>1.1999999999999993</c:v>
                </c:pt>
                <c:pt idx="208">
                  <c:v>1.1000000000000014</c:v>
                </c:pt>
                <c:pt idx="209">
                  <c:v>1.1000000000000014</c:v>
                </c:pt>
                <c:pt idx="210">
                  <c:v>1.0500000000000007</c:v>
                </c:pt>
                <c:pt idx="211">
                  <c:v>1.0500000000000007</c:v>
                </c:pt>
                <c:pt idx="212">
                  <c:v>0.90000000000000213</c:v>
                </c:pt>
                <c:pt idx="213">
                  <c:v>0.90000000000000213</c:v>
                </c:pt>
                <c:pt idx="214">
                  <c:v>0.90000000000000213</c:v>
                </c:pt>
                <c:pt idx="215">
                  <c:v>0.94999999999999929</c:v>
                </c:pt>
                <c:pt idx="216">
                  <c:v>0.94999999999999929</c:v>
                </c:pt>
                <c:pt idx="217">
                  <c:v>1.0500000000000007</c:v>
                </c:pt>
                <c:pt idx="218">
                  <c:v>0.90000000000000213</c:v>
                </c:pt>
                <c:pt idx="219">
                  <c:v>0.80000000000000071</c:v>
                </c:pt>
                <c:pt idx="220">
                  <c:v>0.90000000000000213</c:v>
                </c:pt>
                <c:pt idx="221">
                  <c:v>0.90000000000000213</c:v>
                </c:pt>
                <c:pt idx="222">
                  <c:v>0.80000000000000071</c:v>
                </c:pt>
                <c:pt idx="223">
                  <c:v>0.85000000000000142</c:v>
                </c:pt>
                <c:pt idx="224">
                  <c:v>0.75</c:v>
                </c:pt>
                <c:pt idx="225">
                  <c:v>0.75</c:v>
                </c:pt>
                <c:pt idx="226">
                  <c:v>0.85000000000000142</c:v>
                </c:pt>
                <c:pt idx="227">
                  <c:v>0.75</c:v>
                </c:pt>
                <c:pt idx="228">
                  <c:v>0.75</c:v>
                </c:pt>
                <c:pt idx="229">
                  <c:v>0.75</c:v>
                </c:pt>
                <c:pt idx="230">
                  <c:v>0.75</c:v>
                </c:pt>
                <c:pt idx="231">
                  <c:v>0.69999999999999929</c:v>
                </c:pt>
                <c:pt idx="232">
                  <c:v>0.75</c:v>
                </c:pt>
                <c:pt idx="233">
                  <c:v>0.69999999999999929</c:v>
                </c:pt>
                <c:pt idx="234">
                  <c:v>0.69999999999999929</c:v>
                </c:pt>
                <c:pt idx="235">
                  <c:v>0.60000000000000142</c:v>
                </c:pt>
                <c:pt idx="236">
                  <c:v>0.60000000000000142</c:v>
                </c:pt>
                <c:pt idx="237">
                  <c:v>0.60000000000000142</c:v>
                </c:pt>
                <c:pt idx="238">
                  <c:v>0.55000000000000071</c:v>
                </c:pt>
                <c:pt idx="239">
                  <c:v>0.60000000000000142</c:v>
                </c:pt>
                <c:pt idx="240">
                  <c:v>0.60000000000000142</c:v>
                </c:pt>
                <c:pt idx="241">
                  <c:v>0.60000000000000142</c:v>
                </c:pt>
                <c:pt idx="242">
                  <c:v>0.55000000000000071</c:v>
                </c:pt>
                <c:pt idx="243">
                  <c:v>0.60000000000000142</c:v>
                </c:pt>
                <c:pt idx="244">
                  <c:v>0.55000000000000071</c:v>
                </c:pt>
                <c:pt idx="245">
                  <c:v>0.55000000000000071</c:v>
                </c:pt>
                <c:pt idx="246">
                  <c:v>0.55000000000000071</c:v>
                </c:pt>
                <c:pt idx="247">
                  <c:v>0.55000000000000071</c:v>
                </c:pt>
                <c:pt idx="248">
                  <c:v>0.55000000000000071</c:v>
                </c:pt>
                <c:pt idx="249">
                  <c:v>0.55000000000000071</c:v>
                </c:pt>
                <c:pt idx="250">
                  <c:v>0.55000000000000071</c:v>
                </c:pt>
                <c:pt idx="251">
                  <c:v>0.55000000000000071</c:v>
                </c:pt>
                <c:pt idx="252">
                  <c:v>0.55000000000000071</c:v>
                </c:pt>
                <c:pt idx="253">
                  <c:v>0.55000000000000071</c:v>
                </c:pt>
                <c:pt idx="254">
                  <c:v>0.40000000000000213</c:v>
                </c:pt>
                <c:pt idx="255">
                  <c:v>0.44999999999999929</c:v>
                </c:pt>
                <c:pt idx="256">
                  <c:v>0.44999999999999929</c:v>
                </c:pt>
                <c:pt idx="257">
                  <c:v>0.40000000000000213</c:v>
                </c:pt>
                <c:pt idx="258">
                  <c:v>0.55000000000000071</c:v>
                </c:pt>
                <c:pt idx="259">
                  <c:v>0.44999999999999929</c:v>
                </c:pt>
                <c:pt idx="260">
                  <c:v>0.40000000000000213</c:v>
                </c:pt>
                <c:pt idx="261">
                  <c:v>0.40000000000000213</c:v>
                </c:pt>
                <c:pt idx="262">
                  <c:v>0.40000000000000213</c:v>
                </c:pt>
                <c:pt idx="263">
                  <c:v>0.40000000000000213</c:v>
                </c:pt>
                <c:pt idx="264">
                  <c:v>0.40000000000000213</c:v>
                </c:pt>
                <c:pt idx="265">
                  <c:v>0.40000000000000213</c:v>
                </c:pt>
                <c:pt idx="266">
                  <c:v>0.40000000000000213</c:v>
                </c:pt>
                <c:pt idx="267">
                  <c:v>0.40000000000000213</c:v>
                </c:pt>
                <c:pt idx="268">
                  <c:v>0.40000000000000213</c:v>
                </c:pt>
                <c:pt idx="269">
                  <c:v>0.40000000000000213</c:v>
                </c:pt>
                <c:pt idx="270">
                  <c:v>0.35000000000000142</c:v>
                </c:pt>
                <c:pt idx="271">
                  <c:v>0.40000000000000213</c:v>
                </c:pt>
                <c:pt idx="272">
                  <c:v>0.40000000000000213</c:v>
                </c:pt>
                <c:pt idx="273">
                  <c:v>0.40000000000000213</c:v>
                </c:pt>
                <c:pt idx="274">
                  <c:v>0.40000000000000213</c:v>
                </c:pt>
                <c:pt idx="275">
                  <c:v>0.40000000000000213</c:v>
                </c:pt>
                <c:pt idx="276">
                  <c:v>0.40000000000000213</c:v>
                </c:pt>
                <c:pt idx="277">
                  <c:v>0.40000000000000213</c:v>
                </c:pt>
                <c:pt idx="278">
                  <c:v>0.40000000000000213</c:v>
                </c:pt>
                <c:pt idx="279">
                  <c:v>0.40000000000000213</c:v>
                </c:pt>
                <c:pt idx="280">
                  <c:v>0.35000000000000142</c:v>
                </c:pt>
                <c:pt idx="281">
                  <c:v>0.40000000000000213</c:v>
                </c:pt>
                <c:pt idx="282">
                  <c:v>0.40000000000000213</c:v>
                </c:pt>
                <c:pt idx="283">
                  <c:v>0.40000000000000213</c:v>
                </c:pt>
                <c:pt idx="284">
                  <c:v>0.25</c:v>
                </c:pt>
                <c:pt idx="285">
                  <c:v>0.30000000000000071</c:v>
                </c:pt>
                <c:pt idx="286">
                  <c:v>0.40000000000000213</c:v>
                </c:pt>
                <c:pt idx="287">
                  <c:v>0.40000000000000213</c:v>
                </c:pt>
                <c:pt idx="288">
                  <c:v>0.25</c:v>
                </c:pt>
                <c:pt idx="289">
                  <c:v>0.35000000000000142</c:v>
                </c:pt>
                <c:pt idx="290">
                  <c:v>0.35000000000000142</c:v>
                </c:pt>
                <c:pt idx="291">
                  <c:v>0.30000000000000071</c:v>
                </c:pt>
                <c:pt idx="292">
                  <c:v>0.25</c:v>
                </c:pt>
                <c:pt idx="293">
                  <c:v>0.25</c:v>
                </c:pt>
                <c:pt idx="294">
                  <c:v>0.30000000000000071</c:v>
                </c:pt>
                <c:pt idx="295">
                  <c:v>0.25</c:v>
                </c:pt>
                <c:pt idx="296">
                  <c:v>0.25</c:v>
                </c:pt>
                <c:pt idx="297">
                  <c:v>0.30000000000000071</c:v>
                </c:pt>
                <c:pt idx="298">
                  <c:v>0.25</c:v>
                </c:pt>
                <c:pt idx="299">
                  <c:v>0.25</c:v>
                </c:pt>
                <c:pt idx="300">
                  <c:v>0.25</c:v>
                </c:pt>
                <c:pt idx="301">
                  <c:v>0.35000000000000142</c:v>
                </c:pt>
                <c:pt idx="302">
                  <c:v>0.25</c:v>
                </c:pt>
                <c:pt idx="303">
                  <c:v>0.25</c:v>
                </c:pt>
                <c:pt idx="304">
                  <c:v>0.19999999999999929</c:v>
                </c:pt>
                <c:pt idx="305">
                  <c:v>0.19999999999999929</c:v>
                </c:pt>
                <c:pt idx="306">
                  <c:v>0.19999999999999929</c:v>
                </c:pt>
                <c:pt idx="307">
                  <c:v>0.19999999999999929</c:v>
                </c:pt>
                <c:pt idx="308">
                  <c:v>0.19999999999999929</c:v>
                </c:pt>
                <c:pt idx="309">
                  <c:v>0.19999999999999929</c:v>
                </c:pt>
                <c:pt idx="310">
                  <c:v>0.30000000000000071</c:v>
                </c:pt>
                <c:pt idx="311">
                  <c:v>0.19999999999999929</c:v>
                </c:pt>
                <c:pt idx="312">
                  <c:v>0.19999999999999929</c:v>
                </c:pt>
                <c:pt idx="313">
                  <c:v>0.19999999999999929</c:v>
                </c:pt>
                <c:pt idx="314">
                  <c:v>0.19999999999999929</c:v>
                </c:pt>
                <c:pt idx="315">
                  <c:v>0.25</c:v>
                </c:pt>
                <c:pt idx="316">
                  <c:v>0.19999999999999929</c:v>
                </c:pt>
                <c:pt idx="317">
                  <c:v>0.19999999999999929</c:v>
                </c:pt>
                <c:pt idx="318">
                  <c:v>0.19999999999999929</c:v>
                </c:pt>
                <c:pt idx="319">
                  <c:v>0.19999999999999929</c:v>
                </c:pt>
                <c:pt idx="320">
                  <c:v>0.19999999999999929</c:v>
                </c:pt>
                <c:pt idx="321">
                  <c:v>0.19999999999999929</c:v>
                </c:pt>
                <c:pt idx="322">
                  <c:v>0.19999999999999929</c:v>
                </c:pt>
                <c:pt idx="323">
                  <c:v>0.19999999999999929</c:v>
                </c:pt>
                <c:pt idx="324">
                  <c:v>0.19999999999999929</c:v>
                </c:pt>
                <c:pt idx="325">
                  <c:v>0.19999999999999929</c:v>
                </c:pt>
                <c:pt idx="326">
                  <c:v>0.19999999999999929</c:v>
                </c:pt>
                <c:pt idx="327">
                  <c:v>0.19999999999999929</c:v>
                </c:pt>
                <c:pt idx="328">
                  <c:v>0.19999999999999929</c:v>
                </c:pt>
                <c:pt idx="329">
                  <c:v>0.19999999999999929</c:v>
                </c:pt>
                <c:pt idx="330">
                  <c:v>0.25</c:v>
                </c:pt>
                <c:pt idx="331">
                  <c:v>0.19999999999999929</c:v>
                </c:pt>
                <c:pt idx="332">
                  <c:v>0.19999999999999929</c:v>
                </c:pt>
                <c:pt idx="333">
                  <c:v>0.19999999999999929</c:v>
                </c:pt>
                <c:pt idx="334">
                  <c:v>0.19999999999999929</c:v>
                </c:pt>
                <c:pt idx="335">
                  <c:v>0.19999999999999929</c:v>
                </c:pt>
                <c:pt idx="336">
                  <c:v>0.19999999999999929</c:v>
                </c:pt>
                <c:pt idx="337">
                  <c:v>0.19999999999999929</c:v>
                </c:pt>
                <c:pt idx="338">
                  <c:v>0.19999999999999929</c:v>
                </c:pt>
                <c:pt idx="339">
                  <c:v>0.19999999999999929</c:v>
                </c:pt>
                <c:pt idx="340">
                  <c:v>0.19999999999999929</c:v>
                </c:pt>
                <c:pt idx="341">
                  <c:v>0.19999999999999929</c:v>
                </c:pt>
                <c:pt idx="342">
                  <c:v>0.19999999999999929</c:v>
                </c:pt>
                <c:pt idx="343">
                  <c:v>0.19999999999999929</c:v>
                </c:pt>
                <c:pt idx="344">
                  <c:v>0.19999999999999929</c:v>
                </c:pt>
                <c:pt idx="345">
                  <c:v>0.19999999999999929</c:v>
                </c:pt>
                <c:pt idx="346">
                  <c:v>0.19999999999999929</c:v>
                </c:pt>
                <c:pt idx="347">
                  <c:v>0.10000000000000142</c:v>
                </c:pt>
                <c:pt idx="348">
                  <c:v>0.19999999999999929</c:v>
                </c:pt>
                <c:pt idx="349">
                  <c:v>0.19999999999999929</c:v>
                </c:pt>
                <c:pt idx="350">
                  <c:v>0.19999999999999929</c:v>
                </c:pt>
                <c:pt idx="351">
                  <c:v>0.19999999999999929</c:v>
                </c:pt>
                <c:pt idx="352">
                  <c:v>0.19999999999999929</c:v>
                </c:pt>
                <c:pt idx="353">
                  <c:v>0.19999999999999929</c:v>
                </c:pt>
                <c:pt idx="354">
                  <c:v>0.19999999999999929</c:v>
                </c:pt>
                <c:pt idx="355">
                  <c:v>0.19999999999999929</c:v>
                </c:pt>
                <c:pt idx="356">
                  <c:v>0.19999999999999929</c:v>
                </c:pt>
                <c:pt idx="357">
                  <c:v>0.19999999999999929</c:v>
                </c:pt>
                <c:pt idx="358">
                  <c:v>0.19999999999999929</c:v>
                </c:pt>
                <c:pt idx="359">
                  <c:v>0.19999999999999929</c:v>
                </c:pt>
                <c:pt idx="360">
                  <c:v>0.19999999999999929</c:v>
                </c:pt>
                <c:pt idx="361">
                  <c:v>0.19999999999999929</c:v>
                </c:pt>
                <c:pt idx="362">
                  <c:v>0.19999999999999929</c:v>
                </c:pt>
                <c:pt idx="363">
                  <c:v>0.19999999999999929</c:v>
                </c:pt>
                <c:pt idx="364">
                  <c:v>0.19999999999999929</c:v>
                </c:pt>
                <c:pt idx="365">
                  <c:v>0.19999999999999929</c:v>
                </c:pt>
                <c:pt idx="366">
                  <c:v>0.19999999999999929</c:v>
                </c:pt>
                <c:pt idx="367">
                  <c:v>0.10000000000000142</c:v>
                </c:pt>
                <c:pt idx="368">
                  <c:v>0.19999999999999929</c:v>
                </c:pt>
                <c:pt idx="369">
                  <c:v>0.19999999999999929</c:v>
                </c:pt>
                <c:pt idx="370">
                  <c:v>0.19999999999999929</c:v>
                </c:pt>
                <c:pt idx="371">
                  <c:v>0.19999999999999929</c:v>
                </c:pt>
                <c:pt idx="372">
                  <c:v>0.19999999999999929</c:v>
                </c:pt>
                <c:pt idx="373">
                  <c:v>0.10000000000000142</c:v>
                </c:pt>
                <c:pt idx="374">
                  <c:v>0.19999999999999929</c:v>
                </c:pt>
                <c:pt idx="375">
                  <c:v>0.10000000000000142</c:v>
                </c:pt>
                <c:pt idx="376">
                  <c:v>0.19999999999999929</c:v>
                </c:pt>
                <c:pt idx="377">
                  <c:v>0.10000000000000142</c:v>
                </c:pt>
                <c:pt idx="378">
                  <c:v>0.19999999999999929</c:v>
                </c:pt>
                <c:pt idx="379">
                  <c:v>0.19999999999999929</c:v>
                </c:pt>
                <c:pt idx="380">
                  <c:v>0.10000000000000142</c:v>
                </c:pt>
                <c:pt idx="381">
                  <c:v>0.10000000000000142</c:v>
                </c:pt>
                <c:pt idx="382">
                  <c:v>0.19999999999999929</c:v>
                </c:pt>
                <c:pt idx="383">
                  <c:v>0.19999999999999929</c:v>
                </c:pt>
                <c:pt idx="384">
                  <c:v>0.19999999999999929</c:v>
                </c:pt>
                <c:pt idx="385">
                  <c:v>0.19999999999999929</c:v>
                </c:pt>
                <c:pt idx="386">
                  <c:v>0.19999999999999929</c:v>
                </c:pt>
                <c:pt idx="387">
                  <c:v>0.19999999999999929</c:v>
                </c:pt>
                <c:pt idx="388">
                  <c:v>0.19999999999999929</c:v>
                </c:pt>
                <c:pt idx="389">
                  <c:v>0.19999999999999929</c:v>
                </c:pt>
                <c:pt idx="390">
                  <c:v>0.10000000000000142</c:v>
                </c:pt>
                <c:pt idx="391">
                  <c:v>0.10000000000000142</c:v>
                </c:pt>
                <c:pt idx="392">
                  <c:v>0.10000000000000142</c:v>
                </c:pt>
                <c:pt idx="393">
                  <c:v>0.19999999999999929</c:v>
                </c:pt>
                <c:pt idx="394">
                  <c:v>0.10000000000000142</c:v>
                </c:pt>
                <c:pt idx="395">
                  <c:v>0.10000000000000142</c:v>
                </c:pt>
                <c:pt idx="396">
                  <c:v>0.10000000000000142</c:v>
                </c:pt>
                <c:pt idx="397">
                  <c:v>0.10000000000000142</c:v>
                </c:pt>
                <c:pt idx="398">
                  <c:v>0.10000000000000142</c:v>
                </c:pt>
                <c:pt idx="399">
                  <c:v>0.10000000000000142</c:v>
                </c:pt>
                <c:pt idx="400">
                  <c:v>0.19999999999999929</c:v>
                </c:pt>
                <c:pt idx="401">
                  <c:v>0.10000000000000142</c:v>
                </c:pt>
                <c:pt idx="402">
                  <c:v>0.19999999999999929</c:v>
                </c:pt>
                <c:pt idx="403">
                  <c:v>0.19999999999999929</c:v>
                </c:pt>
                <c:pt idx="404">
                  <c:v>0.10000000000000142</c:v>
                </c:pt>
                <c:pt idx="405">
                  <c:v>0.10000000000000142</c:v>
                </c:pt>
                <c:pt idx="406">
                  <c:v>0.10000000000000142</c:v>
                </c:pt>
                <c:pt idx="407">
                  <c:v>0.10000000000000142</c:v>
                </c:pt>
                <c:pt idx="408">
                  <c:v>0.10000000000000142</c:v>
                </c:pt>
                <c:pt idx="409">
                  <c:v>0.10000000000000142</c:v>
                </c:pt>
                <c:pt idx="410">
                  <c:v>0.10000000000000142</c:v>
                </c:pt>
                <c:pt idx="411">
                  <c:v>0.10000000000000142</c:v>
                </c:pt>
                <c:pt idx="412">
                  <c:v>0.10000000000000142</c:v>
                </c:pt>
                <c:pt idx="413">
                  <c:v>0.10000000000000142</c:v>
                </c:pt>
                <c:pt idx="414">
                  <c:v>0.10000000000000142</c:v>
                </c:pt>
                <c:pt idx="415">
                  <c:v>0.10000000000000142</c:v>
                </c:pt>
                <c:pt idx="416">
                  <c:v>0.10000000000000142</c:v>
                </c:pt>
                <c:pt idx="417">
                  <c:v>0.10000000000000142</c:v>
                </c:pt>
                <c:pt idx="418">
                  <c:v>0.10000000000000142</c:v>
                </c:pt>
                <c:pt idx="419">
                  <c:v>0.10000000000000142</c:v>
                </c:pt>
                <c:pt idx="420">
                  <c:v>0.19999999999999929</c:v>
                </c:pt>
                <c:pt idx="421">
                  <c:v>0.10000000000000142</c:v>
                </c:pt>
                <c:pt idx="422">
                  <c:v>0.10000000000000142</c:v>
                </c:pt>
                <c:pt idx="423">
                  <c:v>0.10000000000000142</c:v>
                </c:pt>
                <c:pt idx="424">
                  <c:v>0.19999999999999929</c:v>
                </c:pt>
                <c:pt idx="425">
                  <c:v>0.10000000000000142</c:v>
                </c:pt>
                <c:pt idx="426">
                  <c:v>0.10000000000000142</c:v>
                </c:pt>
                <c:pt idx="427">
                  <c:v>0.10000000000000142</c:v>
                </c:pt>
                <c:pt idx="428">
                  <c:v>0.10000000000000142</c:v>
                </c:pt>
                <c:pt idx="429">
                  <c:v>0.10000000000000142</c:v>
                </c:pt>
                <c:pt idx="430">
                  <c:v>0.10000000000000142</c:v>
                </c:pt>
                <c:pt idx="431">
                  <c:v>0.10000000000000142</c:v>
                </c:pt>
                <c:pt idx="432">
                  <c:v>0.10000000000000142</c:v>
                </c:pt>
                <c:pt idx="433">
                  <c:v>0.10000000000000142</c:v>
                </c:pt>
                <c:pt idx="434">
                  <c:v>0.10000000000000142</c:v>
                </c:pt>
                <c:pt idx="435">
                  <c:v>0.15000000000000213</c:v>
                </c:pt>
                <c:pt idx="436">
                  <c:v>0.10000000000000142</c:v>
                </c:pt>
                <c:pt idx="437">
                  <c:v>0.10000000000000142</c:v>
                </c:pt>
                <c:pt idx="438">
                  <c:v>0.10000000000000142</c:v>
                </c:pt>
                <c:pt idx="439">
                  <c:v>0.10000000000000142</c:v>
                </c:pt>
                <c:pt idx="440">
                  <c:v>0.10000000000000142</c:v>
                </c:pt>
                <c:pt idx="441">
                  <c:v>0.10000000000000142</c:v>
                </c:pt>
                <c:pt idx="442">
                  <c:v>0.10000000000000142</c:v>
                </c:pt>
                <c:pt idx="443">
                  <c:v>0.19999999999999929</c:v>
                </c:pt>
                <c:pt idx="444">
                  <c:v>0.15000000000000213</c:v>
                </c:pt>
                <c:pt idx="445">
                  <c:v>0.10000000000000142</c:v>
                </c:pt>
                <c:pt idx="446">
                  <c:v>0.10000000000000142</c:v>
                </c:pt>
                <c:pt idx="447">
                  <c:v>0.10000000000000142</c:v>
                </c:pt>
                <c:pt idx="448">
                  <c:v>0</c:v>
                </c:pt>
                <c:pt idx="449">
                  <c:v>0.10000000000000142</c:v>
                </c:pt>
                <c:pt idx="450">
                  <c:v>0.10000000000000142</c:v>
                </c:pt>
                <c:pt idx="451">
                  <c:v>0.10000000000000142</c:v>
                </c:pt>
                <c:pt idx="452">
                  <c:v>0.10000000000000142</c:v>
                </c:pt>
                <c:pt idx="453">
                  <c:v>0.10000000000000142</c:v>
                </c:pt>
                <c:pt idx="454">
                  <c:v>0.10000000000000142</c:v>
                </c:pt>
                <c:pt idx="455">
                  <c:v>0.10000000000000142</c:v>
                </c:pt>
                <c:pt idx="456">
                  <c:v>0.10000000000000142</c:v>
                </c:pt>
                <c:pt idx="457">
                  <c:v>0.10000000000000142</c:v>
                </c:pt>
                <c:pt idx="458">
                  <c:v>0.10000000000000142</c:v>
                </c:pt>
                <c:pt idx="459">
                  <c:v>5.0000000000000711E-2</c:v>
                </c:pt>
                <c:pt idx="460">
                  <c:v>0.10000000000000142</c:v>
                </c:pt>
                <c:pt idx="461">
                  <c:v>0.10000000000000142</c:v>
                </c:pt>
                <c:pt idx="462">
                  <c:v>0.10000000000000142</c:v>
                </c:pt>
                <c:pt idx="463">
                  <c:v>0.10000000000000142</c:v>
                </c:pt>
                <c:pt idx="464">
                  <c:v>0.10000000000000142</c:v>
                </c:pt>
                <c:pt idx="465">
                  <c:v>5.0000000000000711E-2</c:v>
                </c:pt>
                <c:pt idx="466">
                  <c:v>0.10000000000000142</c:v>
                </c:pt>
                <c:pt idx="467">
                  <c:v>0.10000000000000142</c:v>
                </c:pt>
                <c:pt idx="468">
                  <c:v>0.10000000000000142</c:v>
                </c:pt>
                <c:pt idx="469">
                  <c:v>5.0000000000000711E-2</c:v>
                </c:pt>
                <c:pt idx="470">
                  <c:v>0.10000000000000142</c:v>
                </c:pt>
                <c:pt idx="471">
                  <c:v>0.10000000000000142</c:v>
                </c:pt>
                <c:pt idx="472">
                  <c:v>0.10000000000000142</c:v>
                </c:pt>
                <c:pt idx="473">
                  <c:v>0.10000000000000142</c:v>
                </c:pt>
                <c:pt idx="474">
                  <c:v>0.10000000000000142</c:v>
                </c:pt>
                <c:pt idx="475">
                  <c:v>0</c:v>
                </c:pt>
                <c:pt idx="476">
                  <c:v>0.10000000000000142</c:v>
                </c:pt>
                <c:pt idx="477">
                  <c:v>5.0000000000000711E-2</c:v>
                </c:pt>
                <c:pt idx="478">
                  <c:v>0</c:v>
                </c:pt>
                <c:pt idx="479">
                  <c:v>0.10000000000000142</c:v>
                </c:pt>
                <c:pt idx="480">
                  <c:v>0.10000000000000142</c:v>
                </c:pt>
                <c:pt idx="481">
                  <c:v>0.10000000000000142</c:v>
                </c:pt>
                <c:pt idx="482">
                  <c:v>0.10000000000000142</c:v>
                </c:pt>
                <c:pt idx="483">
                  <c:v>5.0000000000000711E-2</c:v>
                </c:pt>
                <c:pt idx="484">
                  <c:v>0</c:v>
                </c:pt>
                <c:pt idx="485">
                  <c:v>0.10000000000000142</c:v>
                </c:pt>
                <c:pt idx="486">
                  <c:v>0.10000000000000142</c:v>
                </c:pt>
                <c:pt idx="487">
                  <c:v>0</c:v>
                </c:pt>
                <c:pt idx="488">
                  <c:v>5.0000000000000711E-2</c:v>
                </c:pt>
                <c:pt idx="489">
                  <c:v>0.10000000000000142</c:v>
                </c:pt>
                <c:pt idx="490">
                  <c:v>0.10000000000000142</c:v>
                </c:pt>
                <c:pt idx="491">
                  <c:v>0.10000000000000142</c:v>
                </c:pt>
                <c:pt idx="492">
                  <c:v>0</c:v>
                </c:pt>
                <c:pt idx="493">
                  <c:v>0.10000000000000142</c:v>
                </c:pt>
                <c:pt idx="494">
                  <c:v>0.10000000000000142</c:v>
                </c:pt>
                <c:pt idx="495">
                  <c:v>0.10000000000000142</c:v>
                </c:pt>
                <c:pt idx="496">
                  <c:v>0.10000000000000142</c:v>
                </c:pt>
                <c:pt idx="497">
                  <c:v>0.10000000000000142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0.10000000000000142</c:v>
                </c:pt>
                <c:pt idx="503">
                  <c:v>0.10000000000000142</c:v>
                </c:pt>
                <c:pt idx="504">
                  <c:v>0</c:v>
                </c:pt>
                <c:pt idx="505">
                  <c:v>0.10000000000000142</c:v>
                </c:pt>
                <c:pt idx="506">
                  <c:v>0.10000000000000142</c:v>
                </c:pt>
                <c:pt idx="507">
                  <c:v>0.10000000000000142</c:v>
                </c:pt>
                <c:pt idx="508">
                  <c:v>0.10000000000000142</c:v>
                </c:pt>
                <c:pt idx="509">
                  <c:v>0</c:v>
                </c:pt>
                <c:pt idx="510">
                  <c:v>0.10000000000000142</c:v>
                </c:pt>
                <c:pt idx="511">
                  <c:v>0</c:v>
                </c:pt>
                <c:pt idx="512">
                  <c:v>0.10000000000000142</c:v>
                </c:pt>
                <c:pt idx="513">
                  <c:v>0.10000000000000142</c:v>
                </c:pt>
                <c:pt idx="514">
                  <c:v>0.10000000000000142</c:v>
                </c:pt>
                <c:pt idx="515">
                  <c:v>0.10000000000000142</c:v>
                </c:pt>
                <c:pt idx="516">
                  <c:v>0</c:v>
                </c:pt>
                <c:pt idx="517">
                  <c:v>0</c:v>
                </c:pt>
                <c:pt idx="518">
                  <c:v>0.10000000000000142</c:v>
                </c:pt>
                <c:pt idx="519">
                  <c:v>0.10000000000000142</c:v>
                </c:pt>
                <c:pt idx="520">
                  <c:v>0</c:v>
                </c:pt>
                <c:pt idx="521">
                  <c:v>0.10000000000000142</c:v>
                </c:pt>
                <c:pt idx="522">
                  <c:v>0.10000000000000142</c:v>
                </c:pt>
                <c:pt idx="523">
                  <c:v>0.10000000000000142</c:v>
                </c:pt>
                <c:pt idx="524">
                  <c:v>0</c:v>
                </c:pt>
                <c:pt idx="525">
                  <c:v>0.10000000000000142</c:v>
                </c:pt>
                <c:pt idx="526">
                  <c:v>0.10000000000000142</c:v>
                </c:pt>
                <c:pt idx="527">
                  <c:v>0.10000000000000142</c:v>
                </c:pt>
                <c:pt idx="528">
                  <c:v>0</c:v>
                </c:pt>
                <c:pt idx="529">
                  <c:v>0</c:v>
                </c:pt>
                <c:pt idx="530">
                  <c:v>0.10000000000000142</c:v>
                </c:pt>
                <c:pt idx="531">
                  <c:v>0.10000000000000142</c:v>
                </c:pt>
                <c:pt idx="532">
                  <c:v>0.10000000000000142</c:v>
                </c:pt>
                <c:pt idx="533">
                  <c:v>0</c:v>
                </c:pt>
                <c:pt idx="534">
                  <c:v>0</c:v>
                </c:pt>
                <c:pt idx="535">
                  <c:v>0.10000000000000142</c:v>
                </c:pt>
                <c:pt idx="536">
                  <c:v>0</c:v>
                </c:pt>
                <c:pt idx="537">
                  <c:v>0.10000000000000142</c:v>
                </c:pt>
                <c:pt idx="538">
                  <c:v>0</c:v>
                </c:pt>
                <c:pt idx="539">
                  <c:v>0.10000000000000142</c:v>
                </c:pt>
                <c:pt idx="540">
                  <c:v>0.10000000000000142</c:v>
                </c:pt>
                <c:pt idx="541">
                  <c:v>0.10000000000000142</c:v>
                </c:pt>
                <c:pt idx="542">
                  <c:v>0.10000000000000142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0.10000000000000142</c:v>
                </c:pt>
                <c:pt idx="547">
                  <c:v>0.10000000000000142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0.10000000000000142</c:v>
                </c:pt>
                <c:pt idx="552">
                  <c:v>0.10000000000000142</c:v>
                </c:pt>
                <c:pt idx="553">
                  <c:v>0.10000000000000142</c:v>
                </c:pt>
                <c:pt idx="554">
                  <c:v>0.10000000000000142</c:v>
                </c:pt>
                <c:pt idx="555">
                  <c:v>0.10000000000000142</c:v>
                </c:pt>
                <c:pt idx="556">
                  <c:v>0.10000000000000142</c:v>
                </c:pt>
                <c:pt idx="557">
                  <c:v>0</c:v>
                </c:pt>
                <c:pt idx="558">
                  <c:v>0.10000000000000142</c:v>
                </c:pt>
                <c:pt idx="559">
                  <c:v>0</c:v>
                </c:pt>
                <c:pt idx="560">
                  <c:v>0.10000000000000142</c:v>
                </c:pt>
                <c:pt idx="561">
                  <c:v>0.10000000000000142</c:v>
                </c:pt>
                <c:pt idx="562">
                  <c:v>0.10000000000000142</c:v>
                </c:pt>
                <c:pt idx="563">
                  <c:v>0</c:v>
                </c:pt>
                <c:pt idx="564">
                  <c:v>0</c:v>
                </c:pt>
                <c:pt idx="565">
                  <c:v>0.10000000000000142</c:v>
                </c:pt>
                <c:pt idx="566">
                  <c:v>0</c:v>
                </c:pt>
                <c:pt idx="567">
                  <c:v>0.10000000000000142</c:v>
                </c:pt>
                <c:pt idx="568">
                  <c:v>0.10000000000000142</c:v>
                </c:pt>
                <c:pt idx="569">
                  <c:v>0</c:v>
                </c:pt>
                <c:pt idx="570">
                  <c:v>0.10000000000000142</c:v>
                </c:pt>
                <c:pt idx="571">
                  <c:v>0.10000000000000142</c:v>
                </c:pt>
                <c:pt idx="572">
                  <c:v>0</c:v>
                </c:pt>
                <c:pt idx="573">
                  <c:v>0.10000000000000142</c:v>
                </c:pt>
                <c:pt idx="574">
                  <c:v>0.10000000000000142</c:v>
                </c:pt>
                <c:pt idx="575">
                  <c:v>0.10000000000000142</c:v>
                </c:pt>
                <c:pt idx="576">
                  <c:v>0</c:v>
                </c:pt>
                <c:pt idx="577">
                  <c:v>0.10000000000000142</c:v>
                </c:pt>
                <c:pt idx="578">
                  <c:v>0</c:v>
                </c:pt>
                <c:pt idx="579">
                  <c:v>0</c:v>
                </c:pt>
                <c:pt idx="580">
                  <c:v>0</c:v>
                </c:pt>
                <c:pt idx="581">
                  <c:v>0.10000000000000142</c:v>
                </c:pt>
                <c:pt idx="582">
                  <c:v>0</c:v>
                </c:pt>
                <c:pt idx="583">
                  <c:v>0</c:v>
                </c:pt>
                <c:pt idx="584">
                  <c:v>0.10000000000000142</c:v>
                </c:pt>
                <c:pt idx="585">
                  <c:v>0.10000000000000142</c:v>
                </c:pt>
                <c:pt idx="586">
                  <c:v>0</c:v>
                </c:pt>
                <c:pt idx="587">
                  <c:v>0</c:v>
                </c:pt>
                <c:pt idx="588">
                  <c:v>0.10000000000000142</c:v>
                </c:pt>
                <c:pt idx="589">
                  <c:v>0</c:v>
                </c:pt>
                <c:pt idx="590">
                  <c:v>0.15000000000000213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0.10000000000000142</c:v>
                </c:pt>
                <c:pt idx="599">
                  <c:v>0</c:v>
                </c:pt>
                <c:pt idx="600">
                  <c:v>0</c:v>
                </c:pt>
                <c:pt idx="601">
                  <c:v>0.10000000000000142</c:v>
                </c:pt>
                <c:pt idx="602">
                  <c:v>0.10000000000000142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0.10000000000000142</c:v>
                </c:pt>
                <c:pt idx="607">
                  <c:v>0</c:v>
                </c:pt>
                <c:pt idx="608">
                  <c:v>0.10000000000000142</c:v>
                </c:pt>
                <c:pt idx="609">
                  <c:v>0.10000000000000142</c:v>
                </c:pt>
                <c:pt idx="610">
                  <c:v>0.10000000000000142</c:v>
                </c:pt>
                <c:pt idx="611">
                  <c:v>0.10000000000000142</c:v>
                </c:pt>
                <c:pt idx="612">
                  <c:v>0</c:v>
                </c:pt>
                <c:pt idx="613">
                  <c:v>0</c:v>
                </c:pt>
                <c:pt idx="614">
                  <c:v>0.10000000000000142</c:v>
                </c:pt>
                <c:pt idx="615">
                  <c:v>0.10000000000000142</c:v>
                </c:pt>
                <c:pt idx="616">
                  <c:v>0.10000000000000142</c:v>
                </c:pt>
                <c:pt idx="617">
                  <c:v>0.10000000000000142</c:v>
                </c:pt>
                <c:pt idx="618">
                  <c:v>0.10000000000000142</c:v>
                </c:pt>
                <c:pt idx="619">
                  <c:v>0</c:v>
                </c:pt>
                <c:pt idx="620">
                  <c:v>0</c:v>
                </c:pt>
                <c:pt idx="621">
                  <c:v>0</c:v>
                </c:pt>
                <c:pt idx="622">
                  <c:v>0.10000000000000142</c:v>
                </c:pt>
                <c:pt idx="623">
                  <c:v>0.10000000000000142</c:v>
                </c:pt>
                <c:pt idx="624">
                  <c:v>0.10000000000000142</c:v>
                </c:pt>
                <c:pt idx="625">
                  <c:v>0</c:v>
                </c:pt>
                <c:pt idx="626">
                  <c:v>0.10000000000000142</c:v>
                </c:pt>
                <c:pt idx="627">
                  <c:v>0</c:v>
                </c:pt>
                <c:pt idx="628">
                  <c:v>0.10000000000000142</c:v>
                </c:pt>
                <c:pt idx="629">
                  <c:v>0.10000000000000142</c:v>
                </c:pt>
                <c:pt idx="630">
                  <c:v>0</c:v>
                </c:pt>
                <c:pt idx="631">
                  <c:v>0.10000000000000142</c:v>
                </c:pt>
                <c:pt idx="632">
                  <c:v>0.10000000000000142</c:v>
                </c:pt>
                <c:pt idx="633">
                  <c:v>0.10000000000000142</c:v>
                </c:pt>
                <c:pt idx="634">
                  <c:v>0.10000000000000142</c:v>
                </c:pt>
                <c:pt idx="635">
                  <c:v>0.10000000000000142</c:v>
                </c:pt>
                <c:pt idx="636">
                  <c:v>0</c:v>
                </c:pt>
                <c:pt idx="637">
                  <c:v>0.10000000000000142</c:v>
                </c:pt>
                <c:pt idx="638">
                  <c:v>0.10000000000000142</c:v>
                </c:pt>
                <c:pt idx="639">
                  <c:v>0.10000000000000142</c:v>
                </c:pt>
                <c:pt idx="640">
                  <c:v>0.10000000000000142</c:v>
                </c:pt>
                <c:pt idx="641">
                  <c:v>0</c:v>
                </c:pt>
                <c:pt idx="642">
                  <c:v>0</c:v>
                </c:pt>
                <c:pt idx="643">
                  <c:v>0.10000000000000142</c:v>
                </c:pt>
                <c:pt idx="644">
                  <c:v>0.10000000000000142</c:v>
                </c:pt>
                <c:pt idx="645">
                  <c:v>0.10000000000000142</c:v>
                </c:pt>
                <c:pt idx="646">
                  <c:v>0.10000000000000142</c:v>
                </c:pt>
                <c:pt idx="647">
                  <c:v>0</c:v>
                </c:pt>
                <c:pt idx="648">
                  <c:v>0.10000000000000142</c:v>
                </c:pt>
                <c:pt idx="649">
                  <c:v>0.10000000000000142</c:v>
                </c:pt>
                <c:pt idx="650">
                  <c:v>0</c:v>
                </c:pt>
                <c:pt idx="651">
                  <c:v>0.10000000000000142</c:v>
                </c:pt>
                <c:pt idx="652">
                  <c:v>0.10000000000000142</c:v>
                </c:pt>
                <c:pt idx="653">
                  <c:v>0.10000000000000142</c:v>
                </c:pt>
                <c:pt idx="654">
                  <c:v>0.10000000000000142</c:v>
                </c:pt>
                <c:pt idx="655">
                  <c:v>0.10000000000000142</c:v>
                </c:pt>
                <c:pt idx="656">
                  <c:v>0.10000000000000142</c:v>
                </c:pt>
                <c:pt idx="657">
                  <c:v>0.10000000000000142</c:v>
                </c:pt>
                <c:pt idx="658">
                  <c:v>0</c:v>
                </c:pt>
                <c:pt idx="659">
                  <c:v>0</c:v>
                </c:pt>
                <c:pt idx="660">
                  <c:v>0.10000000000000142</c:v>
                </c:pt>
                <c:pt idx="661">
                  <c:v>0.10000000000000142</c:v>
                </c:pt>
                <c:pt idx="662">
                  <c:v>0.10000000000000142</c:v>
                </c:pt>
                <c:pt idx="663">
                  <c:v>0</c:v>
                </c:pt>
                <c:pt idx="664">
                  <c:v>0</c:v>
                </c:pt>
                <c:pt idx="665">
                  <c:v>0.10000000000000142</c:v>
                </c:pt>
                <c:pt idx="666">
                  <c:v>0.10000000000000142</c:v>
                </c:pt>
                <c:pt idx="667">
                  <c:v>0.10000000000000142</c:v>
                </c:pt>
                <c:pt idx="668">
                  <c:v>0.10000000000000142</c:v>
                </c:pt>
                <c:pt idx="669">
                  <c:v>0.10000000000000142</c:v>
                </c:pt>
                <c:pt idx="670">
                  <c:v>0.10000000000000142</c:v>
                </c:pt>
                <c:pt idx="671">
                  <c:v>0.10000000000000142</c:v>
                </c:pt>
                <c:pt idx="672">
                  <c:v>0</c:v>
                </c:pt>
                <c:pt idx="673">
                  <c:v>0.10000000000000142</c:v>
                </c:pt>
                <c:pt idx="674">
                  <c:v>0.10000000000000142</c:v>
                </c:pt>
                <c:pt idx="675">
                  <c:v>0</c:v>
                </c:pt>
                <c:pt idx="676">
                  <c:v>0.10000000000000142</c:v>
                </c:pt>
                <c:pt idx="677">
                  <c:v>0.10000000000000142</c:v>
                </c:pt>
                <c:pt idx="678">
                  <c:v>0.10000000000000142</c:v>
                </c:pt>
                <c:pt idx="679">
                  <c:v>0.10000000000000142</c:v>
                </c:pt>
                <c:pt idx="680">
                  <c:v>0</c:v>
                </c:pt>
                <c:pt idx="681">
                  <c:v>0</c:v>
                </c:pt>
                <c:pt idx="682">
                  <c:v>0.10000000000000142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0.10000000000000142</c:v>
                </c:pt>
                <c:pt idx="687">
                  <c:v>5.0000000000000711E-2</c:v>
                </c:pt>
                <c:pt idx="688">
                  <c:v>0.10000000000000142</c:v>
                </c:pt>
                <c:pt idx="689">
                  <c:v>0.10000000000000142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606-D443-A9A1-9009B65E0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498047"/>
        <c:axId val="1"/>
      </c:scatterChart>
      <c:valAx>
        <c:axId val="99949804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TIme from injection, s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Concentration above bkg, mg/l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498047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axId val="1043722943"/>
        <c:axId val="1"/>
      </c:scatterChart>
      <c:valAx>
        <c:axId val="1043722943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43722943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legend>
      <c:legendPos val="r"/>
      <c:overlay val="0"/>
      <c:spPr>
        <a:noFill/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1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FLOW!$B$2</c:f>
              <c:strCache>
                <c:ptCount val="1"/>
                <c:pt idx="0">
                  <c:v>Flow Rate( L/s)</c:v>
                </c:pt>
              </c:strCache>
            </c:strRef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pPr>
              <a:solidFill>
                <a:srgbClr val="4F81BD"/>
              </a:solidFill>
              <a:ln>
                <a:solidFill>
                  <a:srgbClr val="666699"/>
                </a:solidFill>
                <a:prstDash val="solid"/>
              </a:ln>
            </c:spPr>
          </c:marker>
          <c:xVal>
            <c:numRef>
              <c:f>FLOW!$A$3:$A$6</c:f>
              <c:numCache>
                <c:formatCode>General</c:formatCode>
                <c:ptCount val="4"/>
                <c:pt idx="0">
                  <c:v>45</c:v>
                </c:pt>
                <c:pt idx="1">
                  <c:v>140</c:v>
                </c:pt>
                <c:pt idx="2">
                  <c:v>230</c:v>
                </c:pt>
                <c:pt idx="3">
                  <c:v>386</c:v>
                </c:pt>
              </c:numCache>
            </c:numRef>
          </c:xVal>
          <c:yVal>
            <c:numRef>
              <c:f>FLOW!$B$3:$B$6</c:f>
              <c:numCache>
                <c:formatCode>General</c:formatCode>
                <c:ptCount val="4"/>
                <c:pt idx="0">
                  <c:v>172.01088834001629</c:v>
                </c:pt>
                <c:pt idx="1">
                  <c:v>182.5136908375529</c:v>
                </c:pt>
                <c:pt idx="2">
                  <c:v>185.67102055396703</c:v>
                </c:pt>
                <c:pt idx="3">
                  <c:v>174.03362803666195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56-E34D-A333-5AF87DC3D8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9991359"/>
        <c:axId val="1"/>
      </c:scatterChart>
      <c:valAx>
        <c:axId val="9999913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Distance Downstream (m)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crossBetween val="midCat"/>
      </c:valAx>
      <c:valAx>
        <c:axId val="1"/>
        <c:scaling>
          <c:orientation val="minMax"/>
          <c:max val="300"/>
          <c:min val="0"/>
        </c:scaling>
        <c:delete val="0"/>
        <c:axPos val="l"/>
        <c:majorGridlines>
          <c:spPr>
            <a:ln w="3175">
              <a:solidFill>
                <a:srgbClr val="80808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Discharge (L/s)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80808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999991359"/>
        <c:crosses val="autoZero"/>
        <c:crossBetween val="midCat"/>
      </c:valAx>
      <c:spPr>
        <a:solidFill>
          <a:srgbClr val="FFFFFF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80808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 alignWithMargins="0"/>
    <c:pageMargins b="1" l="0.75000000000000011" r="0.75000000000000011" t="1" header="0.5" footer="0.5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50800</xdr:rowOff>
    </xdr:from>
    <xdr:to>
      <xdr:col>11</xdr:col>
      <xdr:colOff>139700</xdr:colOff>
      <xdr:row>15</xdr:row>
      <xdr:rowOff>63500</xdr:rowOff>
    </xdr:to>
    <xdr:graphicFrame macro="">
      <xdr:nvGraphicFramePr>
        <xdr:cNvPr id="1032" name="Chart 1">
          <a:extLst>
            <a:ext uri="{FF2B5EF4-FFF2-40B4-BE49-F238E27FC236}">
              <a16:creationId xmlns:a16="http://schemas.microsoft.com/office/drawing/2014/main" id="{DE451739-7FF1-DD57-F0D8-8DF7670453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25400</xdr:colOff>
      <xdr:row>0</xdr:row>
      <xdr:rowOff>38100</xdr:rowOff>
    </xdr:from>
    <xdr:to>
      <xdr:col>11</xdr:col>
      <xdr:colOff>304800</xdr:colOff>
      <xdr:row>15</xdr:row>
      <xdr:rowOff>0</xdr:rowOff>
    </xdr:to>
    <xdr:graphicFrame macro="">
      <xdr:nvGraphicFramePr>
        <xdr:cNvPr id="3080" name="Chart 1">
          <a:extLst>
            <a:ext uri="{FF2B5EF4-FFF2-40B4-BE49-F238E27FC236}">
              <a16:creationId xmlns:a16="http://schemas.microsoft.com/office/drawing/2014/main" id="{D7BCEC8E-EDE2-4B12-9796-AB35479F9F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88900</xdr:rowOff>
    </xdr:from>
    <xdr:to>
      <xdr:col>11</xdr:col>
      <xdr:colOff>228600</xdr:colOff>
      <xdr:row>15</xdr:row>
      <xdr:rowOff>101600</xdr:rowOff>
    </xdr:to>
    <xdr:graphicFrame macro="">
      <xdr:nvGraphicFramePr>
        <xdr:cNvPr id="5128" name="Chart 1">
          <a:extLst>
            <a:ext uri="{FF2B5EF4-FFF2-40B4-BE49-F238E27FC236}">
              <a16:creationId xmlns:a16="http://schemas.microsoft.com/office/drawing/2014/main" id="{ADCB8153-DA56-2CED-DCD0-917F5873A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0</xdr:row>
      <xdr:rowOff>50800</xdr:rowOff>
    </xdr:from>
    <xdr:to>
      <xdr:col>11</xdr:col>
      <xdr:colOff>304800</xdr:colOff>
      <xdr:row>15</xdr:row>
      <xdr:rowOff>114300</xdr:rowOff>
    </xdr:to>
    <xdr:graphicFrame macro="">
      <xdr:nvGraphicFramePr>
        <xdr:cNvPr id="7176" name="Chart 1">
          <a:extLst>
            <a:ext uri="{FF2B5EF4-FFF2-40B4-BE49-F238E27FC236}">
              <a16:creationId xmlns:a16="http://schemas.microsoft.com/office/drawing/2014/main" id="{69F76E09-5059-AEB0-7E21-CFBDEC1BC2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533400</xdr:colOff>
      <xdr:row>16</xdr:row>
      <xdr:rowOff>101600</xdr:rowOff>
    </xdr:from>
    <xdr:to>
      <xdr:col>12</xdr:col>
      <xdr:colOff>152400</xdr:colOff>
      <xdr:row>34</xdr:row>
      <xdr:rowOff>101600</xdr:rowOff>
    </xdr:to>
    <xdr:graphicFrame macro="">
      <xdr:nvGraphicFramePr>
        <xdr:cNvPr id="9231" name="Chart 1">
          <a:extLst>
            <a:ext uri="{FF2B5EF4-FFF2-40B4-BE49-F238E27FC236}">
              <a16:creationId xmlns:a16="http://schemas.microsoft.com/office/drawing/2014/main" id="{9C11892A-B214-B4B9-EB62-80034A7D3D4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12700</xdr:colOff>
      <xdr:row>3</xdr:row>
      <xdr:rowOff>25400</xdr:rowOff>
    </xdr:from>
    <xdr:to>
      <xdr:col>12</xdr:col>
      <xdr:colOff>444500</xdr:colOff>
      <xdr:row>36</xdr:row>
      <xdr:rowOff>152400</xdr:rowOff>
    </xdr:to>
    <xdr:graphicFrame macro="">
      <xdr:nvGraphicFramePr>
        <xdr:cNvPr id="9232" name="Chart 2">
          <a:extLst>
            <a:ext uri="{FF2B5EF4-FFF2-40B4-BE49-F238E27FC236}">
              <a16:creationId xmlns:a16="http://schemas.microsoft.com/office/drawing/2014/main" id="{E154EAFF-DBC4-0EAB-F5F3-C13544DD657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DA535-F759-5C4C-A349-53760660ED2A}">
  <dimension ref="A1:K920"/>
  <sheetViews>
    <sheetView tabSelected="1" workbookViewId="0">
      <selection activeCell="D15" sqref="D15"/>
    </sheetView>
  </sheetViews>
  <sheetFormatPr baseColWidth="10" defaultRowHeight="13" x14ac:dyDescent="0.15"/>
  <cols>
    <col min="1" max="1" width="13.83203125" customWidth="1"/>
    <col min="2" max="2" width="13.1640625" customWidth="1"/>
  </cols>
  <sheetData>
    <row r="1" spans="1:4" x14ac:dyDescent="0.15">
      <c r="A1" s="31" t="s">
        <v>0</v>
      </c>
      <c r="B1" s="42">
        <v>45</v>
      </c>
      <c r="C1" s="1" t="s">
        <v>1</v>
      </c>
      <c r="D1" s="1"/>
    </row>
    <row r="2" spans="1:4" ht="14" x14ac:dyDescent="0.15">
      <c r="A2" s="43" t="s">
        <v>2</v>
      </c>
      <c r="B2" s="44">
        <v>0</v>
      </c>
      <c r="C2" s="2" t="s">
        <v>1</v>
      </c>
      <c r="D2" s="2"/>
    </row>
    <row r="3" spans="1:4" x14ac:dyDescent="0.15">
      <c r="A3" s="29" t="s">
        <v>3</v>
      </c>
      <c r="B3" s="30" t="s">
        <v>42</v>
      </c>
      <c r="C3" s="1"/>
      <c r="D3" s="1"/>
    </row>
    <row r="4" spans="1:4" x14ac:dyDescent="0.15">
      <c r="A4" s="29" t="s">
        <v>4</v>
      </c>
      <c r="B4" s="22">
        <f>A20</f>
        <v>39235.579861111109</v>
      </c>
      <c r="C4" s="10" t="s">
        <v>34</v>
      </c>
      <c r="D4" s="10"/>
    </row>
    <row r="5" spans="1:4" x14ac:dyDescent="0.15">
      <c r="A5" s="29" t="s">
        <v>5</v>
      </c>
      <c r="B5" s="22">
        <f>MIN(E:E)</f>
        <v>39235.580509259256</v>
      </c>
      <c r="C5" s="10" t="s">
        <v>34</v>
      </c>
      <c r="D5" s="1"/>
    </row>
    <row r="6" spans="1:4" ht="15" x14ac:dyDescent="0.15">
      <c r="A6" s="31" t="s">
        <v>6</v>
      </c>
      <c r="B6" s="32">
        <v>38</v>
      </c>
      <c r="C6" s="3" t="s">
        <v>24</v>
      </c>
      <c r="D6" s="3"/>
    </row>
    <row r="7" spans="1:4" x14ac:dyDescent="0.15">
      <c r="A7" s="29" t="s">
        <v>7</v>
      </c>
      <c r="B7" s="22">
        <f>MAX(D:D)</f>
        <v>39235.580879629626</v>
      </c>
      <c r="C7" s="10" t="s">
        <v>34</v>
      </c>
      <c r="D7" s="1"/>
    </row>
    <row r="8" spans="1:4" ht="15" x14ac:dyDescent="0.15">
      <c r="A8" s="29" t="s">
        <v>8</v>
      </c>
      <c r="B8" s="33">
        <f>MAX(F20:F295)</f>
        <v>107.19999999999999</v>
      </c>
      <c r="C8" s="3" t="s">
        <v>24</v>
      </c>
      <c r="D8" s="3"/>
    </row>
    <row r="9" spans="1:4" ht="15" x14ac:dyDescent="0.15">
      <c r="A9" s="29" t="s">
        <v>9</v>
      </c>
      <c r="B9" s="33">
        <f>MAX(G20:G295)</f>
        <v>53.599999999999994</v>
      </c>
      <c r="C9" s="1" t="s">
        <v>25</v>
      </c>
      <c r="D9" s="1"/>
    </row>
    <row r="10" spans="1:4" x14ac:dyDescent="0.15">
      <c r="A10" s="29" t="s">
        <v>10</v>
      </c>
      <c r="B10" s="22">
        <f>MAX(A:A)</f>
        <v>39235.588865740741</v>
      </c>
      <c r="C10" s="10" t="s">
        <v>34</v>
      </c>
      <c r="D10" s="1"/>
    </row>
    <row r="11" spans="1:4" ht="15" x14ac:dyDescent="0.15">
      <c r="A11" s="29" t="s">
        <v>11</v>
      </c>
      <c r="B11" s="34">
        <f>(B1-B2)/((B7-B4)*24*60*60)</f>
        <v>0.51136363737565593</v>
      </c>
      <c r="C11" s="1" t="s">
        <v>22</v>
      </c>
      <c r="D11" s="1"/>
    </row>
    <row r="12" spans="1:4" x14ac:dyDescent="0.15">
      <c r="A12" s="31" t="s">
        <v>12</v>
      </c>
      <c r="B12" s="35">
        <v>992.09</v>
      </c>
      <c r="C12" s="1" t="s">
        <v>13</v>
      </c>
      <c r="D12" s="1"/>
    </row>
    <row r="13" spans="1:4" ht="15" x14ac:dyDescent="0.15">
      <c r="A13" s="36" t="s">
        <v>14</v>
      </c>
      <c r="B13" s="37">
        <f>SUM(H:H)</f>
        <v>5767.6000023842789</v>
      </c>
      <c r="C13" s="1" t="s">
        <v>26</v>
      </c>
      <c r="D13" s="1"/>
    </row>
    <row r="14" spans="1:4" ht="15" x14ac:dyDescent="0.15">
      <c r="A14" s="40" t="s">
        <v>15</v>
      </c>
      <c r="B14" s="41">
        <f>(B12/(B13/1000))</f>
        <v>172.01088834001629</v>
      </c>
      <c r="C14" s="1" t="s">
        <v>16</v>
      </c>
      <c r="D14" s="1"/>
    </row>
    <row r="15" spans="1:4" x14ac:dyDescent="0.15">
      <c r="A15" s="38" t="s">
        <v>33</v>
      </c>
      <c r="B15" s="39">
        <f>B7-B4</f>
        <v>1.0185185165028088E-3</v>
      </c>
      <c r="C15" s="1" t="s">
        <v>35</v>
      </c>
    </row>
    <row r="17" spans="1:11" s="11" customFormat="1" x14ac:dyDescent="0.15"/>
    <row r="18" spans="1:11" ht="42" x14ac:dyDescent="0.15">
      <c r="A18" s="26" t="s">
        <v>23</v>
      </c>
      <c r="B18" s="26" t="s">
        <v>18</v>
      </c>
      <c r="C18" s="20" t="s">
        <v>17</v>
      </c>
      <c r="D18" s="20" t="s">
        <v>30</v>
      </c>
      <c r="E18" s="20" t="s">
        <v>43</v>
      </c>
      <c r="F18" s="21" t="s">
        <v>19</v>
      </c>
      <c r="G18" s="21" t="s">
        <v>20</v>
      </c>
      <c r="H18" s="21" t="s">
        <v>21</v>
      </c>
      <c r="I18" s="21" t="s">
        <v>37</v>
      </c>
      <c r="J18" s="21" t="s">
        <v>38</v>
      </c>
      <c r="K18" s="21" t="s">
        <v>40</v>
      </c>
    </row>
    <row r="19" spans="1:11" ht="28" x14ac:dyDescent="0.15">
      <c r="A19" s="26" t="s">
        <v>31</v>
      </c>
      <c r="B19" s="27" t="s">
        <v>24</v>
      </c>
      <c r="C19" s="22" t="s">
        <v>29</v>
      </c>
      <c r="D19" s="22" t="s">
        <v>32</v>
      </c>
      <c r="E19" s="22" t="s">
        <v>44</v>
      </c>
      <c r="F19" s="23" t="s">
        <v>24</v>
      </c>
      <c r="G19" s="24" t="s">
        <v>27</v>
      </c>
      <c r="H19" s="24" t="s">
        <v>28</v>
      </c>
      <c r="I19" s="21" t="s">
        <v>36</v>
      </c>
      <c r="J19" s="25" t="s">
        <v>39</v>
      </c>
      <c r="K19" s="25" t="s">
        <v>41</v>
      </c>
    </row>
    <row r="20" spans="1:11" x14ac:dyDescent="0.15">
      <c r="A20" s="7">
        <v>39235.579861111109</v>
      </c>
      <c r="B20">
        <v>38</v>
      </c>
      <c r="C20" s="6">
        <f t="shared" ref="C20:C83" si="0">(A20-$B$4)*24*60*60</f>
        <v>0</v>
      </c>
      <c r="D20" t="str">
        <f t="shared" ref="D20:D83" si="1">IF(F20=$B$8,A20,"")</f>
        <v/>
      </c>
      <c r="E20" t="str">
        <f>IF(B20-$B$6&gt;0,A20," ")</f>
        <v xml:space="preserve"> </v>
      </c>
      <c r="F20" s="4">
        <f t="shared" ref="F20:F83" si="2">IF((B20-$B$6)&gt;0,B20-$B$6,0)</f>
        <v>0</v>
      </c>
      <c r="G20" s="4">
        <f>F20/2</f>
        <v>0</v>
      </c>
      <c r="H20" s="5"/>
      <c r="J20" s="15">
        <v>0</v>
      </c>
      <c r="K20" s="16">
        <f>J20/($B$12*1000)</f>
        <v>0</v>
      </c>
    </row>
    <row r="21" spans="1:11" x14ac:dyDescent="0.15">
      <c r="A21" s="7">
        <v>39235.579884259256</v>
      </c>
      <c r="B21">
        <v>37.799999999999997</v>
      </c>
      <c r="C21" s="6">
        <f t="shared" si="0"/>
        <v>1.9999998388811946</v>
      </c>
      <c r="D21" t="str">
        <f t="shared" si="1"/>
        <v/>
      </c>
      <c r="E21" t="str">
        <f t="shared" ref="E21:E84" si="3">IF(B21-$B$6&gt;0,A21," ")</f>
        <v xml:space="preserve"> </v>
      </c>
      <c r="F21" s="4">
        <f t="shared" si="2"/>
        <v>0</v>
      </c>
      <c r="G21" s="4">
        <f t="shared" ref="G21:G84" si="4">F21/2</f>
        <v>0</v>
      </c>
      <c r="H21" s="5">
        <f t="shared" ref="H21:H84" si="5">AVERAGE(G20:G21)*(C21-C20)</f>
        <v>0</v>
      </c>
      <c r="I21" s="14">
        <f>H21*$B$14</f>
        <v>0</v>
      </c>
      <c r="J21" s="19">
        <f>J20+I21</f>
        <v>0</v>
      </c>
      <c r="K21" s="16">
        <f t="shared" ref="K21:K84" si="6">J21/($B$12*1000)</f>
        <v>0</v>
      </c>
    </row>
    <row r="22" spans="1:11" x14ac:dyDescent="0.15">
      <c r="A22" s="7">
        <v>39235.579907407409</v>
      </c>
      <c r="B22">
        <v>37.799999999999997</v>
      </c>
      <c r="C22" s="6">
        <f t="shared" si="0"/>
        <v>4.000000306405127</v>
      </c>
      <c r="D22" t="str">
        <f t="shared" si="1"/>
        <v/>
      </c>
      <c r="E22" t="str">
        <f t="shared" si="3"/>
        <v xml:space="preserve"> </v>
      </c>
      <c r="F22" s="4">
        <f t="shared" si="2"/>
        <v>0</v>
      </c>
      <c r="G22" s="4">
        <f t="shared" si="4"/>
        <v>0</v>
      </c>
      <c r="H22" s="5">
        <f t="shared" si="5"/>
        <v>0</v>
      </c>
      <c r="I22" s="14">
        <f t="shared" ref="I22:I85" si="7">H22*$B$14</f>
        <v>0</v>
      </c>
      <c r="J22" s="19">
        <f t="shared" ref="J22:J85" si="8">J21+I22</f>
        <v>0</v>
      </c>
      <c r="K22" s="16">
        <f t="shared" si="6"/>
        <v>0</v>
      </c>
    </row>
    <row r="23" spans="1:11" x14ac:dyDescent="0.15">
      <c r="A23" s="7">
        <v>39235.579930555556</v>
      </c>
      <c r="B23">
        <v>37.799999999999997</v>
      </c>
      <c r="C23" s="6">
        <f t="shared" si="0"/>
        <v>6.0000001452863216</v>
      </c>
      <c r="D23" t="str">
        <f t="shared" si="1"/>
        <v/>
      </c>
      <c r="E23" t="str">
        <f t="shared" si="3"/>
        <v xml:space="preserve"> </v>
      </c>
      <c r="F23" s="4">
        <f t="shared" si="2"/>
        <v>0</v>
      </c>
      <c r="G23" s="4">
        <f t="shared" si="4"/>
        <v>0</v>
      </c>
      <c r="H23" s="5">
        <f t="shared" si="5"/>
        <v>0</v>
      </c>
      <c r="I23" s="14">
        <f t="shared" si="7"/>
        <v>0</v>
      </c>
      <c r="J23" s="19">
        <f t="shared" si="8"/>
        <v>0</v>
      </c>
      <c r="K23" s="16">
        <f t="shared" si="6"/>
        <v>0</v>
      </c>
    </row>
    <row r="24" spans="1:11" x14ac:dyDescent="0.15">
      <c r="A24" s="7">
        <v>39235.579953703702</v>
      </c>
      <c r="B24">
        <v>38</v>
      </c>
      <c r="C24" s="6">
        <f t="shared" si="0"/>
        <v>7.9999999841675162</v>
      </c>
      <c r="D24" t="str">
        <f t="shared" si="1"/>
        <v/>
      </c>
      <c r="E24" t="str">
        <f t="shared" si="3"/>
        <v xml:space="preserve"> </v>
      </c>
      <c r="F24" s="4">
        <f t="shared" si="2"/>
        <v>0</v>
      </c>
      <c r="G24" s="4">
        <f t="shared" si="4"/>
        <v>0</v>
      </c>
      <c r="H24" s="5">
        <f t="shared" si="5"/>
        <v>0</v>
      </c>
      <c r="I24" s="14">
        <f t="shared" si="7"/>
        <v>0</v>
      </c>
      <c r="J24" s="19">
        <f t="shared" si="8"/>
        <v>0</v>
      </c>
      <c r="K24" s="16">
        <f t="shared" si="6"/>
        <v>0</v>
      </c>
    </row>
    <row r="25" spans="1:11" x14ac:dyDescent="0.15">
      <c r="A25" s="7">
        <v>39235.579976851855</v>
      </c>
      <c r="B25">
        <v>37.799999999999997</v>
      </c>
      <c r="C25" s="6">
        <f t="shared" si="0"/>
        <v>10.000000451691449</v>
      </c>
      <c r="D25" t="str">
        <f t="shared" si="1"/>
        <v/>
      </c>
      <c r="E25" t="str">
        <f t="shared" si="3"/>
        <v xml:space="preserve"> </v>
      </c>
      <c r="F25" s="4">
        <f t="shared" si="2"/>
        <v>0</v>
      </c>
      <c r="G25" s="4">
        <f t="shared" si="4"/>
        <v>0</v>
      </c>
      <c r="H25" s="5">
        <f t="shared" si="5"/>
        <v>0</v>
      </c>
      <c r="I25" s="14">
        <f t="shared" si="7"/>
        <v>0</v>
      </c>
      <c r="J25" s="19">
        <f t="shared" si="8"/>
        <v>0</v>
      </c>
      <c r="K25" s="16">
        <f t="shared" si="6"/>
        <v>0</v>
      </c>
    </row>
    <row r="26" spans="1:11" x14ac:dyDescent="0.15">
      <c r="A26" s="7">
        <v>39235.58</v>
      </c>
      <c r="B26">
        <v>37.799999999999997</v>
      </c>
      <c r="C26" s="6">
        <f t="shared" si="0"/>
        <v>12.000000290572643</v>
      </c>
      <c r="D26" t="str">
        <f t="shared" si="1"/>
        <v/>
      </c>
      <c r="E26" t="str">
        <f t="shared" si="3"/>
        <v xml:space="preserve"> </v>
      </c>
      <c r="F26" s="4">
        <f t="shared" si="2"/>
        <v>0</v>
      </c>
      <c r="G26" s="4">
        <f t="shared" si="4"/>
        <v>0</v>
      </c>
      <c r="H26" s="5">
        <f t="shared" si="5"/>
        <v>0</v>
      </c>
      <c r="I26" s="14">
        <f t="shared" si="7"/>
        <v>0</v>
      </c>
      <c r="J26" s="19">
        <f t="shared" si="8"/>
        <v>0</v>
      </c>
      <c r="K26" s="16">
        <f t="shared" si="6"/>
        <v>0</v>
      </c>
    </row>
    <row r="27" spans="1:11" x14ac:dyDescent="0.15">
      <c r="A27" s="7">
        <v>39235.580023148148</v>
      </c>
      <c r="B27">
        <v>38</v>
      </c>
      <c r="C27" s="6">
        <f t="shared" si="0"/>
        <v>14.000000129453838</v>
      </c>
      <c r="D27" t="str">
        <f t="shared" si="1"/>
        <v/>
      </c>
      <c r="E27" t="str">
        <f t="shared" si="3"/>
        <v xml:space="preserve"> </v>
      </c>
      <c r="F27" s="4">
        <f t="shared" si="2"/>
        <v>0</v>
      </c>
      <c r="G27" s="4">
        <f t="shared" si="4"/>
        <v>0</v>
      </c>
      <c r="H27" s="5">
        <f t="shared" si="5"/>
        <v>0</v>
      </c>
      <c r="I27" s="14">
        <f t="shared" si="7"/>
        <v>0</v>
      </c>
      <c r="J27" s="19">
        <f t="shared" si="8"/>
        <v>0</v>
      </c>
      <c r="K27" s="16">
        <f t="shared" si="6"/>
        <v>0</v>
      </c>
    </row>
    <row r="28" spans="1:11" x14ac:dyDescent="0.15">
      <c r="A28" s="7">
        <v>39235.580046296294</v>
      </c>
      <c r="B28">
        <v>38</v>
      </c>
      <c r="C28" s="6">
        <f t="shared" si="0"/>
        <v>15.999999968335032</v>
      </c>
      <c r="D28" t="str">
        <f t="shared" si="1"/>
        <v/>
      </c>
      <c r="E28" t="str">
        <f t="shared" si="3"/>
        <v xml:space="preserve"> </v>
      </c>
      <c r="F28" s="4">
        <f t="shared" si="2"/>
        <v>0</v>
      </c>
      <c r="G28" s="4">
        <f t="shared" si="4"/>
        <v>0</v>
      </c>
      <c r="H28" s="5">
        <f t="shared" si="5"/>
        <v>0</v>
      </c>
      <c r="I28" s="14">
        <f t="shared" si="7"/>
        <v>0</v>
      </c>
      <c r="J28" s="19">
        <f t="shared" si="8"/>
        <v>0</v>
      </c>
      <c r="K28" s="16">
        <f t="shared" si="6"/>
        <v>0</v>
      </c>
    </row>
    <row r="29" spans="1:11" x14ac:dyDescent="0.15">
      <c r="A29" s="7">
        <v>39235.580069444448</v>
      </c>
      <c r="B29">
        <v>37.799999999999997</v>
      </c>
      <c r="C29" s="6">
        <f t="shared" si="0"/>
        <v>18.000000435858965</v>
      </c>
      <c r="D29" t="str">
        <f t="shared" si="1"/>
        <v/>
      </c>
      <c r="E29" t="str">
        <f t="shared" si="3"/>
        <v xml:space="preserve"> </v>
      </c>
      <c r="F29" s="4">
        <f t="shared" si="2"/>
        <v>0</v>
      </c>
      <c r="G29" s="4">
        <f t="shared" si="4"/>
        <v>0</v>
      </c>
      <c r="H29" s="5">
        <f t="shared" si="5"/>
        <v>0</v>
      </c>
      <c r="I29" s="14">
        <f t="shared" si="7"/>
        <v>0</v>
      </c>
      <c r="J29" s="19">
        <f t="shared" si="8"/>
        <v>0</v>
      </c>
      <c r="K29" s="16">
        <f t="shared" si="6"/>
        <v>0</v>
      </c>
    </row>
    <row r="30" spans="1:11" x14ac:dyDescent="0.15">
      <c r="A30" s="7">
        <v>39235.580092592594</v>
      </c>
      <c r="B30">
        <v>37.799999999999997</v>
      </c>
      <c r="C30" s="6">
        <f t="shared" si="0"/>
        <v>20.00000027474016</v>
      </c>
      <c r="D30" t="str">
        <f t="shared" si="1"/>
        <v/>
      </c>
      <c r="E30" t="str">
        <f t="shared" si="3"/>
        <v xml:space="preserve"> </v>
      </c>
      <c r="F30" s="4">
        <f t="shared" si="2"/>
        <v>0</v>
      </c>
      <c r="G30" s="4">
        <f t="shared" si="4"/>
        <v>0</v>
      </c>
      <c r="H30" s="5">
        <f t="shared" si="5"/>
        <v>0</v>
      </c>
      <c r="I30" s="14">
        <f t="shared" si="7"/>
        <v>0</v>
      </c>
      <c r="J30" s="19">
        <f t="shared" si="8"/>
        <v>0</v>
      </c>
      <c r="K30" s="16">
        <f t="shared" si="6"/>
        <v>0</v>
      </c>
    </row>
    <row r="31" spans="1:11" x14ac:dyDescent="0.15">
      <c r="A31" s="7">
        <v>39235.58011574074</v>
      </c>
      <c r="B31">
        <v>38</v>
      </c>
      <c r="C31" s="6">
        <f t="shared" si="0"/>
        <v>22.000000113621354</v>
      </c>
      <c r="D31" t="str">
        <f t="shared" si="1"/>
        <v/>
      </c>
      <c r="E31" t="str">
        <f t="shared" si="3"/>
        <v xml:space="preserve"> </v>
      </c>
      <c r="F31" s="4">
        <f t="shared" si="2"/>
        <v>0</v>
      </c>
      <c r="G31" s="4">
        <f t="shared" si="4"/>
        <v>0</v>
      </c>
      <c r="H31" s="5">
        <f t="shared" si="5"/>
        <v>0</v>
      </c>
      <c r="I31" s="14">
        <f t="shared" si="7"/>
        <v>0</v>
      </c>
      <c r="J31" s="19">
        <f t="shared" si="8"/>
        <v>0</v>
      </c>
      <c r="K31" s="16">
        <f t="shared" si="6"/>
        <v>0</v>
      </c>
    </row>
    <row r="32" spans="1:11" x14ac:dyDescent="0.15">
      <c r="A32" s="7">
        <v>39235.580138888887</v>
      </c>
      <c r="B32">
        <v>37.799999999999997</v>
      </c>
      <c r="C32" s="6">
        <f t="shared" si="0"/>
        <v>23.999999952502549</v>
      </c>
      <c r="D32" t="str">
        <f t="shared" si="1"/>
        <v/>
      </c>
      <c r="E32" t="str">
        <f t="shared" si="3"/>
        <v xml:space="preserve"> </v>
      </c>
      <c r="F32" s="4">
        <f t="shared" si="2"/>
        <v>0</v>
      </c>
      <c r="G32" s="4">
        <f t="shared" si="4"/>
        <v>0</v>
      </c>
      <c r="H32" s="5">
        <f t="shared" si="5"/>
        <v>0</v>
      </c>
      <c r="I32" s="14">
        <f t="shared" si="7"/>
        <v>0</v>
      </c>
      <c r="J32" s="19">
        <f t="shared" si="8"/>
        <v>0</v>
      </c>
      <c r="K32" s="16">
        <f t="shared" si="6"/>
        <v>0</v>
      </c>
    </row>
    <row r="33" spans="1:11" x14ac:dyDescent="0.15">
      <c r="A33" s="7">
        <v>39235.58016203704</v>
      </c>
      <c r="B33">
        <v>38</v>
      </c>
      <c r="C33" s="6">
        <f t="shared" si="0"/>
        <v>26.000000420026481</v>
      </c>
      <c r="D33" t="str">
        <f t="shared" si="1"/>
        <v/>
      </c>
      <c r="E33" t="str">
        <f t="shared" si="3"/>
        <v xml:space="preserve"> </v>
      </c>
      <c r="F33" s="4">
        <f t="shared" si="2"/>
        <v>0</v>
      </c>
      <c r="G33" s="4">
        <f t="shared" si="4"/>
        <v>0</v>
      </c>
      <c r="H33" s="5">
        <f t="shared" si="5"/>
        <v>0</v>
      </c>
      <c r="I33" s="14">
        <f t="shared" si="7"/>
        <v>0</v>
      </c>
      <c r="J33" s="19">
        <f t="shared" si="8"/>
        <v>0</v>
      </c>
      <c r="K33" s="16">
        <f t="shared" si="6"/>
        <v>0</v>
      </c>
    </row>
    <row r="34" spans="1:11" x14ac:dyDescent="0.15">
      <c r="A34" s="7">
        <v>39235.580185185187</v>
      </c>
      <c r="B34">
        <v>37.799999999999997</v>
      </c>
      <c r="C34" s="6">
        <f t="shared" si="0"/>
        <v>28.000000258907676</v>
      </c>
      <c r="D34" t="str">
        <f t="shared" si="1"/>
        <v/>
      </c>
      <c r="E34" t="str">
        <f t="shared" si="3"/>
        <v xml:space="preserve"> </v>
      </c>
      <c r="F34" s="4">
        <f t="shared" si="2"/>
        <v>0</v>
      </c>
      <c r="G34" s="4">
        <f t="shared" si="4"/>
        <v>0</v>
      </c>
      <c r="H34" s="5">
        <f t="shared" si="5"/>
        <v>0</v>
      </c>
      <c r="I34" s="14">
        <f t="shared" si="7"/>
        <v>0</v>
      </c>
      <c r="J34" s="19">
        <f t="shared" si="8"/>
        <v>0</v>
      </c>
      <c r="K34" s="16">
        <f t="shared" si="6"/>
        <v>0</v>
      </c>
    </row>
    <row r="35" spans="1:11" x14ac:dyDescent="0.15">
      <c r="A35" s="7">
        <v>39235.580208333333</v>
      </c>
      <c r="B35">
        <v>38</v>
      </c>
      <c r="C35" s="6">
        <f t="shared" si="0"/>
        <v>30.00000009778887</v>
      </c>
      <c r="D35" t="str">
        <f t="shared" si="1"/>
        <v/>
      </c>
      <c r="E35" t="str">
        <f t="shared" si="3"/>
        <v xml:space="preserve"> </v>
      </c>
      <c r="F35" s="4">
        <f t="shared" si="2"/>
        <v>0</v>
      </c>
      <c r="G35" s="4">
        <f t="shared" si="4"/>
        <v>0</v>
      </c>
      <c r="H35" s="5">
        <f t="shared" si="5"/>
        <v>0</v>
      </c>
      <c r="I35" s="14">
        <f t="shared" si="7"/>
        <v>0</v>
      </c>
      <c r="J35" s="19">
        <f t="shared" si="8"/>
        <v>0</v>
      </c>
      <c r="K35" s="16">
        <f t="shared" si="6"/>
        <v>0</v>
      </c>
    </row>
    <row r="36" spans="1:11" x14ac:dyDescent="0.15">
      <c r="A36" s="7">
        <v>39235.580231481479</v>
      </c>
      <c r="B36">
        <v>38</v>
      </c>
      <c r="C36" s="6">
        <f t="shared" si="0"/>
        <v>31.999999936670065</v>
      </c>
      <c r="D36" t="str">
        <f t="shared" si="1"/>
        <v/>
      </c>
      <c r="E36" t="str">
        <f t="shared" si="3"/>
        <v xml:space="preserve"> </v>
      </c>
      <c r="F36" s="4">
        <f t="shared" si="2"/>
        <v>0</v>
      </c>
      <c r="G36" s="4">
        <f t="shared" si="4"/>
        <v>0</v>
      </c>
      <c r="H36" s="5">
        <f t="shared" si="5"/>
        <v>0</v>
      </c>
      <c r="I36" s="14">
        <f t="shared" si="7"/>
        <v>0</v>
      </c>
      <c r="J36" s="19">
        <f t="shared" si="8"/>
        <v>0</v>
      </c>
      <c r="K36" s="16">
        <f t="shared" si="6"/>
        <v>0</v>
      </c>
    </row>
    <row r="37" spans="1:11" x14ac:dyDescent="0.15">
      <c r="A37" s="7">
        <v>39235.580254629633</v>
      </c>
      <c r="B37">
        <v>38</v>
      </c>
      <c r="C37" s="6">
        <f t="shared" si="0"/>
        <v>34.000000404193997</v>
      </c>
      <c r="D37" t="str">
        <f t="shared" si="1"/>
        <v/>
      </c>
      <c r="E37" t="str">
        <f t="shared" si="3"/>
        <v xml:space="preserve"> </v>
      </c>
      <c r="F37" s="4">
        <f t="shared" si="2"/>
        <v>0</v>
      </c>
      <c r="G37" s="4">
        <f t="shared" si="4"/>
        <v>0</v>
      </c>
      <c r="H37" s="5">
        <f t="shared" si="5"/>
        <v>0</v>
      </c>
      <c r="I37" s="14">
        <f t="shared" si="7"/>
        <v>0</v>
      </c>
      <c r="J37" s="19">
        <f t="shared" si="8"/>
        <v>0</v>
      </c>
      <c r="K37" s="16">
        <f t="shared" si="6"/>
        <v>0</v>
      </c>
    </row>
    <row r="38" spans="1:11" x14ac:dyDescent="0.15">
      <c r="A38" s="7">
        <v>39235.580277777779</v>
      </c>
      <c r="B38">
        <v>38</v>
      </c>
      <c r="C38" s="6">
        <f t="shared" si="0"/>
        <v>36.000000243075192</v>
      </c>
      <c r="D38" t="str">
        <f t="shared" si="1"/>
        <v/>
      </c>
      <c r="E38" t="str">
        <f t="shared" si="3"/>
        <v xml:space="preserve"> </v>
      </c>
      <c r="F38" s="4">
        <f t="shared" si="2"/>
        <v>0</v>
      </c>
      <c r="G38" s="4">
        <f t="shared" si="4"/>
        <v>0</v>
      </c>
      <c r="H38" s="5">
        <f t="shared" si="5"/>
        <v>0</v>
      </c>
      <c r="I38" s="14">
        <f t="shared" si="7"/>
        <v>0</v>
      </c>
      <c r="J38" s="19">
        <f t="shared" si="8"/>
        <v>0</v>
      </c>
      <c r="K38" s="16">
        <f t="shared" si="6"/>
        <v>0</v>
      </c>
    </row>
    <row r="39" spans="1:11" x14ac:dyDescent="0.15">
      <c r="A39" s="7">
        <v>39235.580300925925</v>
      </c>
      <c r="B39">
        <v>38</v>
      </c>
      <c r="C39" s="6">
        <f t="shared" si="0"/>
        <v>38.000000081956387</v>
      </c>
      <c r="D39" t="str">
        <f t="shared" si="1"/>
        <v/>
      </c>
      <c r="E39" t="str">
        <f t="shared" si="3"/>
        <v xml:space="preserve"> </v>
      </c>
      <c r="F39" s="4">
        <f t="shared" si="2"/>
        <v>0</v>
      </c>
      <c r="G39" s="4">
        <f t="shared" si="4"/>
        <v>0</v>
      </c>
      <c r="H39" s="5">
        <f t="shared" si="5"/>
        <v>0</v>
      </c>
      <c r="I39" s="14">
        <f t="shared" si="7"/>
        <v>0</v>
      </c>
      <c r="J39" s="19">
        <f t="shared" si="8"/>
        <v>0</v>
      </c>
      <c r="K39" s="16">
        <f t="shared" si="6"/>
        <v>0</v>
      </c>
    </row>
    <row r="40" spans="1:11" x14ac:dyDescent="0.15">
      <c r="A40" s="7">
        <v>39235.580324074072</v>
      </c>
      <c r="B40">
        <v>38</v>
      </c>
      <c r="C40" s="6">
        <f t="shared" si="0"/>
        <v>39.999999920837581</v>
      </c>
      <c r="D40" t="str">
        <f t="shared" si="1"/>
        <v/>
      </c>
      <c r="E40" t="str">
        <f t="shared" si="3"/>
        <v xml:space="preserve"> </v>
      </c>
      <c r="F40" s="4">
        <f t="shared" si="2"/>
        <v>0</v>
      </c>
      <c r="G40" s="4">
        <f t="shared" si="4"/>
        <v>0</v>
      </c>
      <c r="H40" s="5">
        <f t="shared" si="5"/>
        <v>0</v>
      </c>
      <c r="I40" s="14">
        <f t="shared" si="7"/>
        <v>0</v>
      </c>
      <c r="J40" s="19">
        <f t="shared" si="8"/>
        <v>0</v>
      </c>
      <c r="K40" s="16">
        <f t="shared" si="6"/>
        <v>0</v>
      </c>
    </row>
    <row r="41" spans="1:11" x14ac:dyDescent="0.15">
      <c r="A41" s="7">
        <v>39235.580347222225</v>
      </c>
      <c r="B41">
        <v>38</v>
      </c>
      <c r="C41" s="6">
        <f t="shared" si="0"/>
        <v>42.000000388361514</v>
      </c>
      <c r="D41" t="str">
        <f t="shared" si="1"/>
        <v/>
      </c>
      <c r="E41" t="str">
        <f t="shared" si="3"/>
        <v xml:space="preserve"> </v>
      </c>
      <c r="F41" s="4">
        <f t="shared" si="2"/>
        <v>0</v>
      </c>
      <c r="G41" s="4">
        <f t="shared" si="4"/>
        <v>0</v>
      </c>
      <c r="H41" s="5">
        <f t="shared" si="5"/>
        <v>0</v>
      </c>
      <c r="I41" s="14">
        <f t="shared" si="7"/>
        <v>0</v>
      </c>
      <c r="J41" s="19">
        <f t="shared" si="8"/>
        <v>0</v>
      </c>
      <c r="K41" s="16">
        <f t="shared" si="6"/>
        <v>0</v>
      </c>
    </row>
    <row r="42" spans="1:11" x14ac:dyDescent="0.15">
      <c r="A42" s="7">
        <v>39235.580370370371</v>
      </c>
      <c r="B42">
        <v>38</v>
      </c>
      <c r="C42" s="6">
        <f t="shared" si="0"/>
        <v>44.000000227242708</v>
      </c>
      <c r="D42" t="str">
        <f t="shared" si="1"/>
        <v/>
      </c>
      <c r="E42" t="str">
        <f t="shared" si="3"/>
        <v xml:space="preserve"> </v>
      </c>
      <c r="F42" s="4">
        <f t="shared" si="2"/>
        <v>0</v>
      </c>
      <c r="G42" s="4">
        <f t="shared" si="4"/>
        <v>0</v>
      </c>
      <c r="H42" s="5">
        <f t="shared" si="5"/>
        <v>0</v>
      </c>
      <c r="I42" s="14">
        <f t="shared" si="7"/>
        <v>0</v>
      </c>
      <c r="J42" s="19">
        <f t="shared" si="8"/>
        <v>0</v>
      </c>
      <c r="K42" s="16">
        <f t="shared" si="6"/>
        <v>0</v>
      </c>
    </row>
    <row r="43" spans="1:11" x14ac:dyDescent="0.15">
      <c r="A43" s="7">
        <v>39235.580393518518</v>
      </c>
      <c r="B43">
        <v>38</v>
      </c>
      <c r="C43" s="6">
        <f t="shared" si="0"/>
        <v>46.000000066123903</v>
      </c>
      <c r="D43" t="str">
        <f t="shared" si="1"/>
        <v/>
      </c>
      <c r="E43" t="str">
        <f t="shared" si="3"/>
        <v xml:space="preserve"> </v>
      </c>
      <c r="F43" s="4">
        <f t="shared" si="2"/>
        <v>0</v>
      </c>
      <c r="G43" s="4">
        <f t="shared" si="4"/>
        <v>0</v>
      </c>
      <c r="H43" s="5">
        <f t="shared" si="5"/>
        <v>0</v>
      </c>
      <c r="I43" s="14">
        <f t="shared" si="7"/>
        <v>0</v>
      </c>
      <c r="J43" s="19">
        <f t="shared" si="8"/>
        <v>0</v>
      </c>
      <c r="K43" s="16">
        <f t="shared" si="6"/>
        <v>0</v>
      </c>
    </row>
    <row r="44" spans="1:11" x14ac:dyDescent="0.15">
      <c r="A44" s="7">
        <v>39235.580416666664</v>
      </c>
      <c r="B44">
        <v>38</v>
      </c>
      <c r="C44" s="6">
        <f t="shared" si="0"/>
        <v>47.999999905005097</v>
      </c>
      <c r="D44" t="str">
        <f t="shared" si="1"/>
        <v/>
      </c>
      <c r="E44" t="str">
        <f t="shared" si="3"/>
        <v xml:space="preserve"> </v>
      </c>
      <c r="F44" s="4">
        <f t="shared" si="2"/>
        <v>0</v>
      </c>
      <c r="G44" s="4">
        <f t="shared" si="4"/>
        <v>0</v>
      </c>
      <c r="H44" s="5">
        <f t="shared" si="5"/>
        <v>0</v>
      </c>
      <c r="I44" s="14">
        <f t="shared" si="7"/>
        <v>0</v>
      </c>
      <c r="J44" s="19">
        <f t="shared" si="8"/>
        <v>0</v>
      </c>
      <c r="K44" s="16">
        <f t="shared" si="6"/>
        <v>0</v>
      </c>
    </row>
    <row r="45" spans="1:11" x14ac:dyDescent="0.15">
      <c r="A45" s="7">
        <v>39235.580439814818</v>
      </c>
      <c r="B45">
        <v>38</v>
      </c>
      <c r="C45" s="6">
        <f t="shared" si="0"/>
        <v>50.00000037252903</v>
      </c>
      <c r="D45" t="str">
        <f t="shared" si="1"/>
        <v/>
      </c>
      <c r="E45" t="str">
        <f t="shared" si="3"/>
        <v xml:space="preserve"> </v>
      </c>
      <c r="F45" s="4">
        <f t="shared" si="2"/>
        <v>0</v>
      </c>
      <c r="G45" s="4">
        <f t="shared" si="4"/>
        <v>0</v>
      </c>
      <c r="H45" s="5">
        <f t="shared" si="5"/>
        <v>0</v>
      </c>
      <c r="I45" s="14">
        <f t="shared" si="7"/>
        <v>0</v>
      </c>
      <c r="J45" s="19">
        <f t="shared" si="8"/>
        <v>0</v>
      </c>
      <c r="K45" s="16">
        <f t="shared" si="6"/>
        <v>0</v>
      </c>
    </row>
    <row r="46" spans="1:11" x14ac:dyDescent="0.15">
      <c r="A46" s="7">
        <v>39235.580462962964</v>
      </c>
      <c r="B46">
        <v>38</v>
      </c>
      <c r="C46" s="6">
        <f t="shared" si="0"/>
        <v>52.000000211410224</v>
      </c>
      <c r="D46" t="str">
        <f t="shared" si="1"/>
        <v/>
      </c>
      <c r="E46" t="str">
        <f t="shared" si="3"/>
        <v xml:space="preserve"> </v>
      </c>
      <c r="F46" s="4">
        <f t="shared" si="2"/>
        <v>0</v>
      </c>
      <c r="G46" s="4">
        <f t="shared" si="4"/>
        <v>0</v>
      </c>
      <c r="H46" s="5">
        <f t="shared" si="5"/>
        <v>0</v>
      </c>
      <c r="I46" s="14">
        <f t="shared" si="7"/>
        <v>0</v>
      </c>
      <c r="J46" s="19">
        <f t="shared" si="8"/>
        <v>0</v>
      </c>
      <c r="K46" s="16">
        <f t="shared" si="6"/>
        <v>0</v>
      </c>
    </row>
    <row r="47" spans="1:11" x14ac:dyDescent="0.15">
      <c r="A47" s="7">
        <v>39235.58048611111</v>
      </c>
      <c r="B47">
        <v>38</v>
      </c>
      <c r="C47" s="6">
        <f t="shared" si="0"/>
        <v>54.000000050291419</v>
      </c>
      <c r="D47" t="str">
        <f t="shared" si="1"/>
        <v/>
      </c>
      <c r="E47" t="str">
        <f t="shared" si="3"/>
        <v xml:space="preserve"> </v>
      </c>
      <c r="F47" s="4">
        <f t="shared" si="2"/>
        <v>0</v>
      </c>
      <c r="G47" s="4">
        <f t="shared" si="4"/>
        <v>0</v>
      </c>
      <c r="H47" s="5">
        <f t="shared" si="5"/>
        <v>0</v>
      </c>
      <c r="I47" s="14">
        <f t="shared" si="7"/>
        <v>0</v>
      </c>
      <c r="J47" s="19">
        <f t="shared" si="8"/>
        <v>0</v>
      </c>
      <c r="K47" s="16">
        <f t="shared" si="6"/>
        <v>0</v>
      </c>
    </row>
    <row r="48" spans="1:11" x14ac:dyDescent="0.15">
      <c r="A48" s="7">
        <v>39235.580509259256</v>
      </c>
      <c r="B48">
        <v>38.299999999999997</v>
      </c>
      <c r="C48" s="6">
        <f t="shared" si="0"/>
        <v>55.999999889172614</v>
      </c>
      <c r="D48" t="str">
        <f t="shared" si="1"/>
        <v/>
      </c>
      <c r="E48">
        <f t="shared" si="3"/>
        <v>39235.580509259256</v>
      </c>
      <c r="F48" s="4">
        <f t="shared" si="2"/>
        <v>0.29999999999999716</v>
      </c>
      <c r="G48" s="4">
        <f t="shared" si="4"/>
        <v>0.14999999999999858</v>
      </c>
      <c r="H48" s="5">
        <f t="shared" si="5"/>
        <v>0.14999998791608818</v>
      </c>
      <c r="I48" s="14">
        <f t="shared" si="7"/>
        <v>25.801631172438036</v>
      </c>
      <c r="J48" s="19">
        <f t="shared" si="8"/>
        <v>25.801631172438036</v>
      </c>
      <c r="K48" s="16">
        <f t="shared" si="6"/>
        <v>2.6007349305444097E-5</v>
      </c>
    </row>
    <row r="49" spans="1:11" x14ac:dyDescent="0.15">
      <c r="A49" s="7">
        <v>39235.58053240741</v>
      </c>
      <c r="B49">
        <v>40.1</v>
      </c>
      <c r="C49" s="6">
        <f t="shared" si="0"/>
        <v>58.000000356696546</v>
      </c>
      <c r="D49" t="str">
        <f t="shared" si="1"/>
        <v/>
      </c>
      <c r="E49">
        <f t="shared" si="3"/>
        <v>39235.58053240741</v>
      </c>
      <c r="F49" s="4">
        <f t="shared" si="2"/>
        <v>2.1000000000000014</v>
      </c>
      <c r="G49" s="4">
        <f t="shared" si="4"/>
        <v>1.0500000000000007</v>
      </c>
      <c r="H49" s="5">
        <f t="shared" si="5"/>
        <v>1.2000002805143588</v>
      </c>
      <c r="I49" s="14">
        <f t="shared" si="7"/>
        <v>206.41311425954359</v>
      </c>
      <c r="J49" s="19">
        <f t="shared" si="8"/>
        <v>232.21474543198161</v>
      </c>
      <c r="K49" s="16">
        <f t="shared" si="6"/>
        <v>2.3406620914632909E-4</v>
      </c>
    </row>
    <row r="50" spans="1:11" x14ac:dyDescent="0.15">
      <c r="A50" s="7">
        <v>39235.580555555556</v>
      </c>
      <c r="B50">
        <v>42</v>
      </c>
      <c r="C50" s="6">
        <f t="shared" si="0"/>
        <v>60.000000195577741</v>
      </c>
      <c r="D50" t="str">
        <f t="shared" si="1"/>
        <v/>
      </c>
      <c r="E50">
        <f t="shared" si="3"/>
        <v>39235.580555555556</v>
      </c>
      <c r="F50" s="4">
        <f t="shared" si="2"/>
        <v>4</v>
      </c>
      <c r="G50" s="4">
        <f t="shared" si="4"/>
        <v>2</v>
      </c>
      <c r="H50" s="5">
        <f t="shared" si="5"/>
        <v>3.0499997542938226</v>
      </c>
      <c r="I50" s="14">
        <f t="shared" si="7"/>
        <v>524.63316717291184</v>
      </c>
      <c r="J50" s="19">
        <f t="shared" si="8"/>
        <v>756.84791260489351</v>
      </c>
      <c r="K50" s="16">
        <f t="shared" si="6"/>
        <v>7.6288231169036427E-4</v>
      </c>
    </row>
    <row r="51" spans="1:11" x14ac:dyDescent="0.15">
      <c r="A51" s="7">
        <v>39235.580578703702</v>
      </c>
      <c r="B51">
        <v>46.2</v>
      </c>
      <c r="C51" s="6">
        <f t="shared" si="0"/>
        <v>62.000000034458935</v>
      </c>
      <c r="D51" t="str">
        <f t="shared" si="1"/>
        <v/>
      </c>
      <c r="E51">
        <f t="shared" si="3"/>
        <v>39235.580578703702</v>
      </c>
      <c r="F51" s="4">
        <f t="shared" si="2"/>
        <v>8.2000000000000028</v>
      </c>
      <c r="G51" s="4">
        <f t="shared" si="4"/>
        <v>4.1000000000000014</v>
      </c>
      <c r="H51" s="5">
        <f t="shared" si="5"/>
        <v>6.0999995085876453</v>
      </c>
      <c r="I51" s="14">
        <f t="shared" si="7"/>
        <v>1049.2663343458237</v>
      </c>
      <c r="J51" s="19">
        <f t="shared" si="8"/>
        <v>1806.1142469507172</v>
      </c>
      <c r="K51" s="16">
        <f t="shared" si="6"/>
        <v>1.8205145167784346E-3</v>
      </c>
    </row>
    <row r="52" spans="1:11" x14ac:dyDescent="0.15">
      <c r="A52" s="7">
        <v>39235.580601851849</v>
      </c>
      <c r="B52">
        <v>51.8</v>
      </c>
      <c r="C52" s="6">
        <f t="shared" si="0"/>
        <v>63.99999987334013</v>
      </c>
      <c r="D52" t="str">
        <f t="shared" si="1"/>
        <v/>
      </c>
      <c r="E52">
        <f t="shared" si="3"/>
        <v>39235.580601851849</v>
      </c>
      <c r="F52" s="4">
        <f t="shared" si="2"/>
        <v>13.799999999999997</v>
      </c>
      <c r="G52" s="4">
        <f t="shared" si="4"/>
        <v>6.8999999999999986</v>
      </c>
      <c r="H52" s="5">
        <f t="shared" si="5"/>
        <v>10.99999911384657</v>
      </c>
      <c r="I52" s="14">
        <f t="shared" si="7"/>
        <v>1892.1196193121407</v>
      </c>
      <c r="J52" s="19">
        <f t="shared" si="8"/>
        <v>3698.2338662628581</v>
      </c>
      <c r="K52" s="16">
        <f t="shared" si="6"/>
        <v>3.7277201325110203E-3</v>
      </c>
    </row>
    <row r="53" spans="1:11" x14ac:dyDescent="0.15">
      <c r="A53" s="7">
        <v>39235.580625000002</v>
      </c>
      <c r="B53">
        <v>63.4</v>
      </c>
      <c r="C53" s="6">
        <f t="shared" si="0"/>
        <v>66.000000340864062</v>
      </c>
      <c r="D53" t="str">
        <f t="shared" si="1"/>
        <v/>
      </c>
      <c r="E53">
        <f t="shared" si="3"/>
        <v>39235.580625000002</v>
      </c>
      <c r="F53" s="4">
        <f t="shared" si="2"/>
        <v>25.4</v>
      </c>
      <c r="G53" s="4">
        <f t="shared" si="4"/>
        <v>12.7</v>
      </c>
      <c r="H53" s="5">
        <f t="shared" si="5"/>
        <v>19.600004581734535</v>
      </c>
      <c r="I53" s="14">
        <f t="shared" si="7"/>
        <v>3371.4141995725467</v>
      </c>
      <c r="J53" s="19">
        <f t="shared" si="8"/>
        <v>7069.6480658354049</v>
      </c>
      <c r="K53" s="16">
        <f t="shared" si="6"/>
        <v>7.1260148432454769E-3</v>
      </c>
    </row>
    <row r="54" spans="1:11" x14ac:dyDescent="0.15">
      <c r="A54" s="7">
        <v>39235.580648148149</v>
      </c>
      <c r="B54">
        <v>73.900000000000006</v>
      </c>
      <c r="C54" s="6">
        <f t="shared" si="0"/>
        <v>68.000000179745257</v>
      </c>
      <c r="D54" t="str">
        <f t="shared" si="1"/>
        <v/>
      </c>
      <c r="E54">
        <f t="shared" si="3"/>
        <v>39235.580648148149</v>
      </c>
      <c r="F54" s="4">
        <f t="shared" si="2"/>
        <v>35.900000000000006</v>
      </c>
      <c r="G54" s="4">
        <f t="shared" si="4"/>
        <v>17.950000000000003</v>
      </c>
      <c r="H54" s="5">
        <f t="shared" si="5"/>
        <v>30.649997530854311</v>
      </c>
      <c r="I54" s="14">
        <f t="shared" si="7"/>
        <v>5272.1333029015559</v>
      </c>
      <c r="J54" s="19">
        <f t="shared" si="8"/>
        <v>12341.78136873696</v>
      </c>
      <c r="K54" s="16">
        <f t="shared" si="6"/>
        <v>1.2440183217991271E-2</v>
      </c>
    </row>
    <row r="55" spans="1:11" x14ac:dyDescent="0.15">
      <c r="A55" s="7">
        <v>39235.580671296295</v>
      </c>
      <c r="B55">
        <v>84.4</v>
      </c>
      <c r="C55" s="6">
        <f t="shared" si="0"/>
        <v>70.000000018626451</v>
      </c>
      <c r="D55" t="str">
        <f t="shared" si="1"/>
        <v/>
      </c>
      <c r="E55">
        <f t="shared" si="3"/>
        <v>39235.580671296295</v>
      </c>
      <c r="F55" s="4">
        <f t="shared" si="2"/>
        <v>46.400000000000006</v>
      </c>
      <c r="G55" s="4">
        <f t="shared" si="4"/>
        <v>23.200000000000003</v>
      </c>
      <c r="H55" s="5">
        <f t="shared" si="5"/>
        <v>41.149996684980586</v>
      </c>
      <c r="I55" s="14">
        <f t="shared" si="7"/>
        <v>7078.2474849722366</v>
      </c>
      <c r="J55" s="19">
        <f t="shared" si="8"/>
        <v>19420.028853709198</v>
      </c>
      <c r="K55" s="16">
        <f t="shared" si="6"/>
        <v>1.9574866044118174E-2</v>
      </c>
    </row>
    <row r="56" spans="1:11" x14ac:dyDescent="0.15">
      <c r="A56" s="7">
        <v>39235.580694444441</v>
      </c>
      <c r="B56">
        <v>87.6</v>
      </c>
      <c r="C56" s="6">
        <f t="shared" si="0"/>
        <v>71.999999857507646</v>
      </c>
      <c r="D56" t="str">
        <f t="shared" si="1"/>
        <v/>
      </c>
      <c r="E56">
        <f t="shared" si="3"/>
        <v>39235.580694444441</v>
      </c>
      <c r="F56" s="4">
        <f t="shared" si="2"/>
        <v>49.599999999999994</v>
      </c>
      <c r="G56" s="4">
        <f t="shared" si="4"/>
        <v>24.799999999999997</v>
      </c>
      <c r="H56" s="5">
        <f t="shared" si="5"/>
        <v>47.99999613314867</v>
      </c>
      <c r="I56" s="14">
        <f t="shared" si="7"/>
        <v>8256.5219751802506</v>
      </c>
      <c r="J56" s="19">
        <f t="shared" si="8"/>
        <v>27676.550828889449</v>
      </c>
      <c r="K56" s="16">
        <f t="shared" si="6"/>
        <v>2.7897217821860363E-2</v>
      </c>
    </row>
    <row r="57" spans="1:11" x14ac:dyDescent="0.15">
      <c r="A57" s="7">
        <v>39235.580717592595</v>
      </c>
      <c r="B57">
        <v>103</v>
      </c>
      <c r="C57" s="6">
        <f t="shared" si="0"/>
        <v>74.000000325031579</v>
      </c>
      <c r="D57" t="str">
        <f t="shared" si="1"/>
        <v/>
      </c>
      <c r="E57">
        <f t="shared" si="3"/>
        <v>39235.580717592595</v>
      </c>
      <c r="F57" s="4">
        <f t="shared" si="2"/>
        <v>65</v>
      </c>
      <c r="G57" s="4">
        <f t="shared" si="4"/>
        <v>32.5</v>
      </c>
      <c r="H57" s="5">
        <f t="shared" si="5"/>
        <v>57.300013394560665</v>
      </c>
      <c r="I57" s="14">
        <f t="shared" si="7"/>
        <v>9856.226205893212</v>
      </c>
      <c r="J57" s="19">
        <f t="shared" si="8"/>
        <v>37532.777034782659</v>
      </c>
      <c r="K57" s="16">
        <f t="shared" si="6"/>
        <v>3.7832028379262625E-2</v>
      </c>
    </row>
    <row r="58" spans="1:11" x14ac:dyDescent="0.15">
      <c r="A58" s="7">
        <v>39235.580740740741</v>
      </c>
      <c r="B58">
        <v>116.3</v>
      </c>
      <c r="C58" s="6">
        <f t="shared" si="0"/>
        <v>76.000000163912773</v>
      </c>
      <c r="D58" t="str">
        <f t="shared" si="1"/>
        <v/>
      </c>
      <c r="E58">
        <f t="shared" si="3"/>
        <v>39235.580740740741</v>
      </c>
      <c r="F58" s="4">
        <f t="shared" si="2"/>
        <v>78.3</v>
      </c>
      <c r="G58" s="4">
        <f t="shared" si="4"/>
        <v>39.15</v>
      </c>
      <c r="H58" s="5">
        <f t="shared" si="5"/>
        <v>71.649994227918796</v>
      </c>
      <c r="I58" s="14">
        <f t="shared" si="7"/>
        <v>12324.579156701351</v>
      </c>
      <c r="J58" s="19">
        <f t="shared" si="8"/>
        <v>49857.35619148401</v>
      </c>
      <c r="K58" s="16">
        <f t="shared" si="6"/>
        <v>5.0254872230829875E-2</v>
      </c>
    </row>
    <row r="59" spans="1:11" x14ac:dyDescent="0.15">
      <c r="A59" s="7">
        <v>39235.580763888887</v>
      </c>
      <c r="B59">
        <v>117.8</v>
      </c>
      <c r="C59" s="6">
        <f t="shared" si="0"/>
        <v>78.000000002793968</v>
      </c>
      <c r="D59" t="str">
        <f t="shared" si="1"/>
        <v/>
      </c>
      <c r="E59">
        <f t="shared" si="3"/>
        <v>39235.580763888887</v>
      </c>
      <c r="F59" s="4">
        <f t="shared" si="2"/>
        <v>79.8</v>
      </c>
      <c r="G59" s="4">
        <f t="shared" si="4"/>
        <v>39.9</v>
      </c>
      <c r="H59" s="5">
        <f t="shared" si="5"/>
        <v>79.049993631779216</v>
      </c>
      <c r="I59" s="14">
        <f t="shared" si="7"/>
        <v>13597.459627874974</v>
      </c>
      <c r="J59" s="19">
        <f t="shared" si="8"/>
        <v>63454.815819358984</v>
      </c>
      <c r="K59" s="16">
        <f t="shared" si="6"/>
        <v>6.3960745314799047E-2</v>
      </c>
    </row>
    <row r="60" spans="1:11" x14ac:dyDescent="0.15">
      <c r="A60" s="7">
        <v>39235.580787037034</v>
      </c>
      <c r="B60">
        <v>123.7</v>
      </c>
      <c r="C60" s="6">
        <f t="shared" si="0"/>
        <v>79.999999841675162</v>
      </c>
      <c r="D60" t="str">
        <f t="shared" si="1"/>
        <v/>
      </c>
      <c r="E60">
        <f t="shared" si="3"/>
        <v>39235.580787037034</v>
      </c>
      <c r="F60" s="4">
        <f t="shared" si="2"/>
        <v>85.7</v>
      </c>
      <c r="G60" s="4">
        <f t="shared" si="4"/>
        <v>42.85</v>
      </c>
      <c r="H60" s="5">
        <f t="shared" si="5"/>
        <v>82.749993333709426</v>
      </c>
      <c r="I60" s="14">
        <f t="shared" si="7"/>
        <v>14233.899863461786</v>
      </c>
      <c r="J60" s="19">
        <f t="shared" si="8"/>
        <v>77688.715682820766</v>
      </c>
      <c r="K60" s="16">
        <f t="shared" si="6"/>
        <v>7.8308133014969167E-2</v>
      </c>
    </row>
    <row r="61" spans="1:11" x14ac:dyDescent="0.15">
      <c r="A61" s="7">
        <v>39235.580810185187</v>
      </c>
      <c r="B61">
        <v>137</v>
      </c>
      <c r="C61" s="6">
        <f t="shared" si="0"/>
        <v>82.000000309199095</v>
      </c>
      <c r="D61" t="str">
        <f t="shared" si="1"/>
        <v/>
      </c>
      <c r="E61">
        <f t="shared" si="3"/>
        <v>39235.580810185187</v>
      </c>
      <c r="F61" s="4">
        <f t="shared" si="2"/>
        <v>99</v>
      </c>
      <c r="G61" s="4">
        <f t="shared" si="4"/>
        <v>49.5</v>
      </c>
      <c r="H61" s="5">
        <f t="shared" si="5"/>
        <v>92.350021587917581</v>
      </c>
      <c r="I61" s="14">
        <f t="shared" si="7"/>
        <v>15885.209251557386</v>
      </c>
      <c r="J61" s="19">
        <f t="shared" si="8"/>
        <v>93573.924934378156</v>
      </c>
      <c r="K61" s="16">
        <f t="shared" si="6"/>
        <v>9.4319996103557291E-2</v>
      </c>
    </row>
    <row r="62" spans="1:11" x14ac:dyDescent="0.15">
      <c r="A62" s="7">
        <v>39235.580833333333</v>
      </c>
      <c r="B62">
        <v>138.6</v>
      </c>
      <c r="C62" s="6">
        <f t="shared" si="0"/>
        <v>84.000000148080289</v>
      </c>
      <c r="D62" t="str">
        <f t="shared" si="1"/>
        <v/>
      </c>
      <c r="E62">
        <f t="shared" si="3"/>
        <v>39235.580833333333</v>
      </c>
      <c r="F62" s="4">
        <f t="shared" si="2"/>
        <v>100.6</v>
      </c>
      <c r="G62" s="4">
        <f t="shared" si="4"/>
        <v>50.3</v>
      </c>
      <c r="H62" s="5">
        <f t="shared" si="5"/>
        <v>99.79999196017161</v>
      </c>
      <c r="I62" s="14">
        <f t="shared" si="7"/>
        <v>17166.685273395604</v>
      </c>
      <c r="J62" s="19">
        <f t="shared" si="8"/>
        <v>110740.61020777376</v>
      </c>
      <c r="K62" s="16">
        <f t="shared" si="6"/>
        <v>0.11162355250811293</v>
      </c>
    </row>
    <row r="63" spans="1:11" x14ac:dyDescent="0.15">
      <c r="A63" s="7">
        <v>39235.58085648148</v>
      </c>
      <c r="B63">
        <v>138.1</v>
      </c>
      <c r="C63" s="6">
        <f t="shared" si="0"/>
        <v>85.999999986961484</v>
      </c>
      <c r="D63" t="str">
        <f t="shared" si="1"/>
        <v/>
      </c>
      <c r="E63">
        <f t="shared" si="3"/>
        <v>39235.58085648148</v>
      </c>
      <c r="F63" s="4">
        <f t="shared" si="2"/>
        <v>100.1</v>
      </c>
      <c r="G63" s="4">
        <f t="shared" si="4"/>
        <v>50.05</v>
      </c>
      <c r="H63" s="5">
        <f t="shared" si="5"/>
        <v>100.34999191586394</v>
      </c>
      <c r="I63" s="14">
        <f t="shared" si="7"/>
        <v>17261.291254361211</v>
      </c>
      <c r="J63" s="19">
        <f t="shared" si="8"/>
        <v>128001.90146213496</v>
      </c>
      <c r="K63" s="16">
        <f t="shared" si="6"/>
        <v>0.1290224691934552</v>
      </c>
    </row>
    <row r="64" spans="1:11" x14ac:dyDescent="0.15">
      <c r="A64" s="7">
        <v>39235.580879629626</v>
      </c>
      <c r="B64">
        <v>145.19999999999999</v>
      </c>
      <c r="C64" s="6">
        <f t="shared" si="0"/>
        <v>87.999999825842679</v>
      </c>
      <c r="D64">
        <f t="shared" si="1"/>
        <v>39235.580879629626</v>
      </c>
      <c r="E64">
        <f t="shared" si="3"/>
        <v>39235.580879629626</v>
      </c>
      <c r="F64" s="4">
        <f t="shared" si="2"/>
        <v>107.19999999999999</v>
      </c>
      <c r="G64" s="4">
        <f t="shared" si="4"/>
        <v>53.599999999999994</v>
      </c>
      <c r="H64" s="5">
        <f t="shared" si="5"/>
        <v>103.6499916500179</v>
      </c>
      <c r="I64" s="14">
        <f t="shared" si="7"/>
        <v>17828.92714015485</v>
      </c>
      <c r="J64" s="19">
        <f t="shared" si="8"/>
        <v>145830.82860228981</v>
      </c>
      <c r="K64" s="16">
        <f t="shared" si="6"/>
        <v>0.14699354756351724</v>
      </c>
    </row>
    <row r="65" spans="1:11" x14ac:dyDescent="0.15">
      <c r="A65" s="7">
        <v>39235.58090277778</v>
      </c>
      <c r="B65">
        <v>139.9</v>
      </c>
      <c r="C65" s="6">
        <f t="shared" si="0"/>
        <v>90.000000293366611</v>
      </c>
      <c r="D65" t="str">
        <f t="shared" si="1"/>
        <v/>
      </c>
      <c r="E65">
        <f t="shared" si="3"/>
        <v>39235.58090277778</v>
      </c>
      <c r="F65" s="4">
        <f t="shared" si="2"/>
        <v>101.9</v>
      </c>
      <c r="G65" s="4">
        <f t="shared" si="4"/>
        <v>50.95</v>
      </c>
      <c r="H65" s="5">
        <f t="shared" si="5"/>
        <v>104.55002443981357</v>
      </c>
      <c r="I65" s="14">
        <f t="shared" si="7"/>
        <v>17983.742579862745</v>
      </c>
      <c r="J65" s="19">
        <f t="shared" si="8"/>
        <v>163814.57118215255</v>
      </c>
      <c r="K65" s="16">
        <f t="shared" si="6"/>
        <v>0.16512067572715433</v>
      </c>
    </row>
    <row r="66" spans="1:11" x14ac:dyDescent="0.15">
      <c r="A66" s="7">
        <v>39235.580925925926</v>
      </c>
      <c r="B66">
        <v>143.19999999999999</v>
      </c>
      <c r="C66" s="6">
        <f t="shared" si="0"/>
        <v>92.000000132247806</v>
      </c>
      <c r="D66" t="str">
        <f t="shared" si="1"/>
        <v/>
      </c>
      <c r="E66">
        <f t="shared" si="3"/>
        <v>39235.580925925926</v>
      </c>
      <c r="F66" s="4">
        <f t="shared" si="2"/>
        <v>105.19999999999999</v>
      </c>
      <c r="G66" s="4">
        <f t="shared" si="4"/>
        <v>52.599999999999994</v>
      </c>
      <c r="H66" s="5">
        <f t="shared" si="5"/>
        <v>103.54999165807385</v>
      </c>
      <c r="I66" s="14">
        <f t="shared" si="7"/>
        <v>17811.726052706559</v>
      </c>
      <c r="J66" s="19">
        <f t="shared" si="8"/>
        <v>181626.29723485911</v>
      </c>
      <c r="K66" s="16">
        <f t="shared" si="6"/>
        <v>0.18307441586434609</v>
      </c>
    </row>
    <row r="67" spans="1:11" x14ac:dyDescent="0.15">
      <c r="A67" s="7">
        <v>39235.580949074072</v>
      </c>
      <c r="B67">
        <v>144.1</v>
      </c>
      <c r="C67" s="6">
        <f t="shared" si="0"/>
        <v>93.999999971129</v>
      </c>
      <c r="D67" t="str">
        <f t="shared" si="1"/>
        <v/>
      </c>
      <c r="E67">
        <f t="shared" si="3"/>
        <v>39235.580949074072</v>
      </c>
      <c r="F67" s="4">
        <f t="shared" si="2"/>
        <v>106.1</v>
      </c>
      <c r="G67" s="4">
        <f t="shared" si="4"/>
        <v>53.05</v>
      </c>
      <c r="H67" s="5">
        <f t="shared" si="5"/>
        <v>105.64999148889909</v>
      </c>
      <c r="I67" s="14">
        <f t="shared" si="7"/>
        <v>18172.948889120693</v>
      </c>
      <c r="J67" s="19">
        <f t="shared" si="8"/>
        <v>199799.2461239798</v>
      </c>
      <c r="K67" s="16">
        <f t="shared" si="6"/>
        <v>0.20139225889181406</v>
      </c>
    </row>
    <row r="68" spans="1:11" x14ac:dyDescent="0.15">
      <c r="A68" s="7">
        <v>39235.580972222226</v>
      </c>
      <c r="B68">
        <v>142.30000000000001</v>
      </c>
      <c r="C68" s="6">
        <f t="shared" si="0"/>
        <v>96.000000438652933</v>
      </c>
      <c r="D68" t="str">
        <f t="shared" si="1"/>
        <v/>
      </c>
      <c r="E68">
        <f t="shared" si="3"/>
        <v>39235.580972222226</v>
      </c>
      <c r="F68" s="4">
        <f t="shared" si="2"/>
        <v>104.30000000000001</v>
      </c>
      <c r="G68" s="4">
        <f t="shared" si="4"/>
        <v>52.150000000000006</v>
      </c>
      <c r="H68" s="5">
        <f t="shared" si="5"/>
        <v>105.20002459175885</v>
      </c>
      <c r="I68" s="14">
        <f t="shared" si="7"/>
        <v>18095.549683419998</v>
      </c>
      <c r="J68" s="19">
        <f t="shared" si="8"/>
        <v>217894.79580739979</v>
      </c>
      <c r="K68" s="16">
        <f t="shared" si="6"/>
        <v>0.21963208560453162</v>
      </c>
    </row>
    <row r="69" spans="1:11" x14ac:dyDescent="0.15">
      <c r="A69" s="7">
        <v>39235.580995370372</v>
      </c>
      <c r="B69">
        <v>136.30000000000001</v>
      </c>
      <c r="C69" s="6">
        <f t="shared" si="0"/>
        <v>98.000000277534127</v>
      </c>
      <c r="D69" t="str">
        <f t="shared" si="1"/>
        <v/>
      </c>
      <c r="E69">
        <f t="shared" si="3"/>
        <v>39235.580995370372</v>
      </c>
      <c r="F69" s="4">
        <f t="shared" si="2"/>
        <v>98.300000000000011</v>
      </c>
      <c r="G69" s="4">
        <f t="shared" si="4"/>
        <v>49.150000000000006</v>
      </c>
      <c r="H69" s="5">
        <f t="shared" si="5"/>
        <v>101.29999183933252</v>
      </c>
      <c r="I69" s="14">
        <f t="shared" si="7"/>
        <v>17424.701585119987</v>
      </c>
      <c r="J69" s="19">
        <f t="shared" si="8"/>
        <v>235319.49739251978</v>
      </c>
      <c r="K69" s="16">
        <f t="shared" si="6"/>
        <v>0.23719571550214172</v>
      </c>
    </row>
    <row r="70" spans="1:11" x14ac:dyDescent="0.15">
      <c r="A70" s="7">
        <v>39235.581018518518</v>
      </c>
      <c r="B70">
        <v>138.6</v>
      </c>
      <c r="C70" s="6">
        <f t="shared" si="0"/>
        <v>100.00000011641532</v>
      </c>
      <c r="D70" t="str">
        <f t="shared" si="1"/>
        <v/>
      </c>
      <c r="E70">
        <f t="shared" si="3"/>
        <v>39235.581018518518</v>
      </c>
      <c r="F70" s="4">
        <f t="shared" si="2"/>
        <v>100.6</v>
      </c>
      <c r="G70" s="4">
        <f t="shared" si="4"/>
        <v>50.3</v>
      </c>
      <c r="H70" s="5">
        <f t="shared" si="5"/>
        <v>99.449991988367401</v>
      </c>
      <c r="I70" s="14">
        <f t="shared" si="7"/>
        <v>17106.481467326579</v>
      </c>
      <c r="J70" s="19">
        <f t="shared" si="8"/>
        <v>252425.97885984636</v>
      </c>
      <c r="K70" s="16">
        <f t="shared" si="6"/>
        <v>0.25443858809165132</v>
      </c>
    </row>
    <row r="71" spans="1:11" x14ac:dyDescent="0.15">
      <c r="A71" s="7">
        <v>39235.581041666665</v>
      </c>
      <c r="B71">
        <v>140.19999999999999</v>
      </c>
      <c r="C71" s="6">
        <f t="shared" si="0"/>
        <v>101.99999995529652</v>
      </c>
      <c r="D71" t="str">
        <f t="shared" si="1"/>
        <v/>
      </c>
      <c r="E71">
        <f t="shared" si="3"/>
        <v>39235.581041666665</v>
      </c>
      <c r="F71" s="4">
        <f t="shared" si="2"/>
        <v>102.19999999999999</v>
      </c>
      <c r="G71" s="4">
        <f t="shared" si="4"/>
        <v>51.099999999999994</v>
      </c>
      <c r="H71" s="5">
        <f t="shared" si="5"/>
        <v>101.39999183127655</v>
      </c>
      <c r="I71" s="14">
        <f t="shared" si="7"/>
        <v>17441.902672568274</v>
      </c>
      <c r="J71" s="19">
        <f t="shared" si="8"/>
        <v>269867.88153241464</v>
      </c>
      <c r="K71" s="16">
        <f t="shared" si="6"/>
        <v>0.2720195562221317</v>
      </c>
    </row>
    <row r="72" spans="1:11" x14ac:dyDescent="0.15">
      <c r="A72" s="7">
        <v>39235.581064814818</v>
      </c>
      <c r="B72">
        <v>138.30000000000001</v>
      </c>
      <c r="C72" s="6">
        <f t="shared" si="0"/>
        <v>104.00000042282045</v>
      </c>
      <c r="D72" t="str">
        <f t="shared" si="1"/>
        <v/>
      </c>
      <c r="E72">
        <f t="shared" si="3"/>
        <v>39235.581064814818</v>
      </c>
      <c r="F72" s="4">
        <f t="shared" si="2"/>
        <v>100.30000000000001</v>
      </c>
      <c r="G72" s="4">
        <f t="shared" si="4"/>
        <v>50.150000000000006</v>
      </c>
      <c r="H72" s="5">
        <f t="shared" si="5"/>
        <v>101.25002366839908</v>
      </c>
      <c r="I72" s="14">
        <f t="shared" si="7"/>
        <v>17416.106515649</v>
      </c>
      <c r="J72" s="19">
        <f t="shared" si="8"/>
        <v>287283.98804806365</v>
      </c>
      <c r="K72" s="16">
        <f t="shared" si="6"/>
        <v>0.28957452252120641</v>
      </c>
    </row>
    <row r="73" spans="1:11" x14ac:dyDescent="0.15">
      <c r="A73" s="7">
        <v>39235.581087962964</v>
      </c>
      <c r="B73">
        <v>138.6</v>
      </c>
      <c r="C73" s="6">
        <f t="shared" si="0"/>
        <v>106.00000026170164</v>
      </c>
      <c r="D73" t="str">
        <f t="shared" si="1"/>
        <v/>
      </c>
      <c r="E73">
        <f t="shared" si="3"/>
        <v>39235.581087962964</v>
      </c>
      <c r="F73" s="4">
        <f t="shared" si="2"/>
        <v>100.6</v>
      </c>
      <c r="G73" s="4">
        <f t="shared" si="4"/>
        <v>50.3</v>
      </c>
      <c r="H73" s="5">
        <f t="shared" si="5"/>
        <v>100.449991907808</v>
      </c>
      <c r="I73" s="14">
        <f t="shared" si="7"/>
        <v>17278.492341809502</v>
      </c>
      <c r="J73" s="19">
        <f t="shared" si="8"/>
        <v>304562.48038987315</v>
      </c>
      <c r="K73" s="16">
        <f t="shared" si="6"/>
        <v>0.30699077743941894</v>
      </c>
    </row>
    <row r="74" spans="1:11" x14ac:dyDescent="0.15">
      <c r="A74" s="7">
        <v>39235.581111111111</v>
      </c>
      <c r="B74">
        <v>134.4</v>
      </c>
      <c r="C74" s="6">
        <f t="shared" si="0"/>
        <v>108.00000010058284</v>
      </c>
      <c r="D74" t="str">
        <f t="shared" si="1"/>
        <v/>
      </c>
      <c r="E74">
        <f t="shared" si="3"/>
        <v>39235.581111111111</v>
      </c>
      <c r="F74" s="4">
        <f t="shared" si="2"/>
        <v>96.4</v>
      </c>
      <c r="G74" s="4">
        <f t="shared" si="4"/>
        <v>48.2</v>
      </c>
      <c r="H74" s="5">
        <f t="shared" si="5"/>
        <v>98.499992064898834</v>
      </c>
      <c r="I74" s="14">
        <f t="shared" si="7"/>
        <v>16943.071136567803</v>
      </c>
      <c r="J74" s="19">
        <f t="shared" si="8"/>
        <v>321505.55152644095</v>
      </c>
      <c r="K74" s="16">
        <f t="shared" si="6"/>
        <v>0.32406893681666071</v>
      </c>
    </row>
    <row r="75" spans="1:11" x14ac:dyDescent="0.15">
      <c r="A75" s="7">
        <v>39235.581134259257</v>
      </c>
      <c r="B75">
        <v>134.4</v>
      </c>
      <c r="C75" s="6">
        <f t="shared" si="0"/>
        <v>109.99999993946403</v>
      </c>
      <c r="D75" t="str">
        <f t="shared" si="1"/>
        <v/>
      </c>
      <c r="E75">
        <f t="shared" si="3"/>
        <v>39235.581134259257</v>
      </c>
      <c r="F75" s="4">
        <f t="shared" si="2"/>
        <v>96.4</v>
      </c>
      <c r="G75" s="4">
        <f t="shared" si="4"/>
        <v>48.2</v>
      </c>
      <c r="H75" s="5">
        <f t="shared" si="5"/>
        <v>96.399992234073579</v>
      </c>
      <c r="I75" s="14">
        <f t="shared" si="7"/>
        <v>16581.84830015367</v>
      </c>
      <c r="J75" s="19">
        <f t="shared" si="8"/>
        <v>338087.39982659463</v>
      </c>
      <c r="K75" s="16">
        <f t="shared" si="6"/>
        <v>0.34078299330362632</v>
      </c>
    </row>
    <row r="76" spans="1:11" x14ac:dyDescent="0.15">
      <c r="A76" s="7">
        <v>39235.581157407411</v>
      </c>
      <c r="B76">
        <v>132.4</v>
      </c>
      <c r="C76" s="6">
        <f t="shared" si="0"/>
        <v>112.00000040698797</v>
      </c>
      <c r="D76" t="str">
        <f t="shared" si="1"/>
        <v/>
      </c>
      <c r="E76">
        <f t="shared" si="3"/>
        <v>39235.581157407411</v>
      </c>
      <c r="F76" s="4">
        <f t="shared" si="2"/>
        <v>94.4</v>
      </c>
      <c r="G76" s="4">
        <f t="shared" si="4"/>
        <v>47.2</v>
      </c>
      <c r="H76" s="5">
        <f t="shared" si="5"/>
        <v>95.400022300891578</v>
      </c>
      <c r="I76" s="14">
        <f t="shared" si="7"/>
        <v>16409.842583633726</v>
      </c>
      <c r="J76" s="19">
        <f t="shared" si="8"/>
        <v>354497.24241022835</v>
      </c>
      <c r="K76" s="16">
        <f t="shared" si="6"/>
        <v>0.3573236726609767</v>
      </c>
    </row>
    <row r="77" spans="1:11" x14ac:dyDescent="0.15">
      <c r="A77" s="7">
        <v>39235.581180555557</v>
      </c>
      <c r="B77">
        <v>130.1</v>
      </c>
      <c r="C77" s="6">
        <f t="shared" si="0"/>
        <v>114.00000024586916</v>
      </c>
      <c r="D77" t="str">
        <f t="shared" si="1"/>
        <v/>
      </c>
      <c r="E77">
        <f t="shared" si="3"/>
        <v>39235.581180555557</v>
      </c>
      <c r="F77" s="4">
        <f t="shared" si="2"/>
        <v>92.1</v>
      </c>
      <c r="G77" s="4">
        <f t="shared" si="4"/>
        <v>46.05</v>
      </c>
      <c r="H77" s="5">
        <f t="shared" si="5"/>
        <v>93.249992487835698</v>
      </c>
      <c r="I77" s="14">
        <f t="shared" si="7"/>
        <v>16040.014045532464</v>
      </c>
      <c r="J77" s="19">
        <f t="shared" si="8"/>
        <v>370537.2564557608</v>
      </c>
      <c r="K77" s="16">
        <f t="shared" si="6"/>
        <v>0.37349157481252787</v>
      </c>
    </row>
    <row r="78" spans="1:11" x14ac:dyDescent="0.15">
      <c r="A78" s="7">
        <v>39235.581203703703</v>
      </c>
      <c r="B78">
        <v>128.69999999999999</v>
      </c>
      <c r="C78" s="6">
        <f t="shared" si="0"/>
        <v>116.00000008475035</v>
      </c>
      <c r="D78" t="str">
        <f t="shared" si="1"/>
        <v/>
      </c>
      <c r="E78">
        <f t="shared" si="3"/>
        <v>39235.581203703703</v>
      </c>
      <c r="F78" s="4">
        <f t="shared" si="2"/>
        <v>90.699999999999989</v>
      </c>
      <c r="G78" s="4">
        <f t="shared" si="4"/>
        <v>45.349999999999994</v>
      </c>
      <c r="H78" s="5">
        <f t="shared" si="5"/>
        <v>91.399992636870579</v>
      </c>
      <c r="I78" s="14">
        <f t="shared" si="7"/>
        <v>15721.793927739056</v>
      </c>
      <c r="J78" s="19">
        <f t="shared" si="8"/>
        <v>386259.05038349988</v>
      </c>
      <c r="K78" s="16">
        <f t="shared" si="6"/>
        <v>0.38933871965597866</v>
      </c>
    </row>
    <row r="79" spans="1:11" x14ac:dyDescent="0.15">
      <c r="A79" s="7">
        <v>39235.581226851849</v>
      </c>
      <c r="B79">
        <v>125.6</v>
      </c>
      <c r="C79" s="6">
        <f t="shared" si="0"/>
        <v>117.99999992363155</v>
      </c>
      <c r="D79" t="str">
        <f t="shared" si="1"/>
        <v/>
      </c>
      <c r="E79">
        <f t="shared" si="3"/>
        <v>39235.581226851849</v>
      </c>
      <c r="F79" s="4">
        <f t="shared" si="2"/>
        <v>87.6</v>
      </c>
      <c r="G79" s="4">
        <f t="shared" si="4"/>
        <v>43.8</v>
      </c>
      <c r="H79" s="5">
        <f t="shared" si="5"/>
        <v>89.149992818129235</v>
      </c>
      <c r="I79" s="14">
        <f t="shared" si="7"/>
        <v>15334.769460152482</v>
      </c>
      <c r="J79" s="19">
        <f t="shared" si="8"/>
        <v>401593.81984365237</v>
      </c>
      <c r="K79" s="16">
        <f t="shared" si="6"/>
        <v>0.40479575425984776</v>
      </c>
    </row>
    <row r="80" spans="1:11" x14ac:dyDescent="0.15">
      <c r="A80" s="7">
        <v>39235.581250000003</v>
      </c>
      <c r="B80">
        <v>124.9</v>
      </c>
      <c r="C80" s="6">
        <f t="shared" si="0"/>
        <v>120.00000039115548</v>
      </c>
      <c r="D80" t="str">
        <f t="shared" si="1"/>
        <v/>
      </c>
      <c r="E80">
        <f t="shared" si="3"/>
        <v>39235.581250000003</v>
      </c>
      <c r="F80" s="4">
        <f t="shared" si="2"/>
        <v>86.9</v>
      </c>
      <c r="G80" s="4">
        <f t="shared" si="4"/>
        <v>43.45</v>
      </c>
      <c r="H80" s="5">
        <f t="shared" si="5"/>
        <v>87.250020395731553</v>
      </c>
      <c r="I80" s="14">
        <f t="shared" si="7"/>
        <v>15007.953515954325</v>
      </c>
      <c r="J80" s="19">
        <f t="shared" si="8"/>
        <v>416601.77335960668</v>
      </c>
      <c r="K80" s="16">
        <f t="shared" si="6"/>
        <v>0.41992336719411211</v>
      </c>
    </row>
    <row r="81" spans="1:11" x14ac:dyDescent="0.15">
      <c r="A81" s="7">
        <v>39235.581273148149</v>
      </c>
      <c r="B81">
        <v>123</v>
      </c>
      <c r="C81" s="6">
        <f t="shared" si="0"/>
        <v>122.00000023003668</v>
      </c>
      <c r="D81" t="str">
        <f t="shared" si="1"/>
        <v/>
      </c>
      <c r="E81">
        <f t="shared" si="3"/>
        <v>39235.581273148149</v>
      </c>
      <c r="F81" s="4">
        <f t="shared" si="2"/>
        <v>85</v>
      </c>
      <c r="G81" s="4">
        <f t="shared" si="4"/>
        <v>42.5</v>
      </c>
      <c r="H81" s="5">
        <f t="shared" si="5"/>
        <v>85.949993075919338</v>
      </c>
      <c r="I81" s="14">
        <f t="shared" si="7"/>
        <v>14784.334661807135</v>
      </c>
      <c r="J81" s="19">
        <f t="shared" si="8"/>
        <v>431386.10802141379</v>
      </c>
      <c r="K81" s="16">
        <f t="shared" si="6"/>
        <v>0.43482557834613167</v>
      </c>
    </row>
    <row r="82" spans="1:11" x14ac:dyDescent="0.15">
      <c r="A82" s="7">
        <v>39235.581296296295</v>
      </c>
      <c r="B82">
        <v>120.3</v>
      </c>
      <c r="C82" s="6">
        <f t="shared" si="0"/>
        <v>124.00000006891787</v>
      </c>
      <c r="D82" t="str">
        <f t="shared" si="1"/>
        <v/>
      </c>
      <c r="E82">
        <f t="shared" si="3"/>
        <v>39235.581296296295</v>
      </c>
      <c r="F82" s="4">
        <f t="shared" si="2"/>
        <v>82.3</v>
      </c>
      <c r="G82" s="4">
        <f t="shared" si="4"/>
        <v>41.15</v>
      </c>
      <c r="H82" s="5">
        <f t="shared" si="5"/>
        <v>83.649993261205964</v>
      </c>
      <c r="I82" s="14">
        <f t="shared" si="7"/>
        <v>14388.709650496414</v>
      </c>
      <c r="J82" s="19">
        <f t="shared" si="8"/>
        <v>445774.81767191022</v>
      </c>
      <c r="K82" s="16">
        <f t="shared" si="6"/>
        <v>0.4493290101421345</v>
      </c>
    </row>
    <row r="83" spans="1:11" x14ac:dyDescent="0.15">
      <c r="A83" s="7">
        <v>39235.581319444442</v>
      </c>
      <c r="B83">
        <v>117.2</v>
      </c>
      <c r="C83" s="6">
        <f t="shared" si="0"/>
        <v>125.99999990779907</v>
      </c>
      <c r="D83" t="str">
        <f t="shared" si="1"/>
        <v/>
      </c>
      <c r="E83">
        <f t="shared" si="3"/>
        <v>39235.581319444442</v>
      </c>
      <c r="F83" s="4">
        <f t="shared" si="2"/>
        <v>79.2</v>
      </c>
      <c r="G83" s="4">
        <f t="shared" si="4"/>
        <v>39.6</v>
      </c>
      <c r="H83" s="5">
        <f t="shared" si="5"/>
        <v>80.749993494828232</v>
      </c>
      <c r="I83" s="14">
        <f t="shared" si="7"/>
        <v>13889.878114495941</v>
      </c>
      <c r="J83" s="19">
        <f t="shared" si="8"/>
        <v>459664.69578640617</v>
      </c>
      <c r="K83" s="16">
        <f t="shared" si="6"/>
        <v>0.46332963318489873</v>
      </c>
    </row>
    <row r="84" spans="1:11" x14ac:dyDescent="0.15">
      <c r="A84" s="7">
        <v>39235.581342592595</v>
      </c>
      <c r="B84">
        <v>116.7</v>
      </c>
      <c r="C84" s="6">
        <f t="shared" ref="C84:C147" si="9">(A84-$B$4)*24*60*60</f>
        <v>128.000000375323</v>
      </c>
      <c r="D84" t="str">
        <f t="shared" ref="D84:D147" si="10">IF(F84=$B$8,A84,"")</f>
        <v/>
      </c>
      <c r="E84">
        <f t="shared" si="3"/>
        <v>39235.581342592595</v>
      </c>
      <c r="F84" s="4">
        <f t="shared" ref="F84:F147" si="11">IF((B84-$B$6)&gt;0,B84-$B$6,0)</f>
        <v>78.7</v>
      </c>
      <c r="G84" s="4">
        <f t="shared" si="4"/>
        <v>39.35</v>
      </c>
      <c r="H84" s="5">
        <f t="shared" si="5"/>
        <v>78.950018455507234</v>
      </c>
      <c r="I84" s="14">
        <f t="shared" si="7"/>
        <v>13580.26280899248</v>
      </c>
      <c r="J84" s="19">
        <f t="shared" si="8"/>
        <v>473244.95859539864</v>
      </c>
      <c r="K84" s="16">
        <f t="shared" si="6"/>
        <v>0.47701817233859695</v>
      </c>
    </row>
    <row r="85" spans="1:11" x14ac:dyDescent="0.15">
      <c r="A85" s="7">
        <v>39235.581365740742</v>
      </c>
      <c r="B85">
        <v>113.4</v>
      </c>
      <c r="C85" s="6">
        <f t="shared" si="9"/>
        <v>130.00000021420419</v>
      </c>
      <c r="D85" t="str">
        <f t="shared" si="10"/>
        <v/>
      </c>
      <c r="E85">
        <f t="shared" ref="E85:E148" si="12">IF(B85-$B$6&gt;0,A85," ")</f>
        <v>39235.581365740742</v>
      </c>
      <c r="F85" s="4">
        <f t="shared" si="11"/>
        <v>75.400000000000006</v>
      </c>
      <c r="G85" s="4">
        <f t="shared" ref="G85:G148" si="13">F85/2</f>
        <v>37.700000000000003</v>
      </c>
      <c r="H85" s="5">
        <f t="shared" ref="H85:H148" si="14">AVERAGE(G84:G85)*(C85-C84)</f>
        <v>77.049993792898036</v>
      </c>
      <c r="I85" s="14">
        <f t="shared" si="7"/>
        <v>13253.437878909133</v>
      </c>
      <c r="J85" s="19">
        <f t="shared" si="8"/>
        <v>486498.39647430775</v>
      </c>
      <c r="K85" s="16">
        <f t="shared" ref="K85:K148" si="15">J85/($B$12*1000)</f>
        <v>0.49037728076516018</v>
      </c>
    </row>
    <row r="86" spans="1:11" x14ac:dyDescent="0.15">
      <c r="A86" s="7">
        <v>39235.581388888888</v>
      </c>
      <c r="B86">
        <v>112.1</v>
      </c>
      <c r="C86" s="6">
        <f t="shared" si="9"/>
        <v>132.00000005308539</v>
      </c>
      <c r="D86" t="str">
        <f t="shared" si="10"/>
        <v/>
      </c>
      <c r="E86">
        <f t="shared" si="12"/>
        <v>39235.581388888888</v>
      </c>
      <c r="F86" s="4">
        <f t="shared" si="11"/>
        <v>74.099999999999994</v>
      </c>
      <c r="G86" s="4">
        <f t="shared" si="13"/>
        <v>37.049999999999997</v>
      </c>
      <c r="H86" s="5">
        <f t="shared" si="14"/>
        <v>74.749993978184648</v>
      </c>
      <c r="I86" s="14">
        <f t="shared" ref="I86:I149" si="16">H86*$B$14</f>
        <v>12857.81286759841</v>
      </c>
      <c r="J86" s="19">
        <f t="shared" ref="J86:J149" si="17">J85+I86</f>
        <v>499356.20934190619</v>
      </c>
      <c r="K86" s="16">
        <f t="shared" si="15"/>
        <v>0.50333760983570663</v>
      </c>
    </row>
    <row r="87" spans="1:11" x14ac:dyDescent="0.15">
      <c r="A87" s="7">
        <v>39235.581412037034</v>
      </c>
      <c r="B87">
        <v>110.1</v>
      </c>
      <c r="C87" s="6">
        <f t="shared" si="9"/>
        <v>133.99999989196658</v>
      </c>
      <c r="D87" t="str">
        <f t="shared" si="10"/>
        <v/>
      </c>
      <c r="E87">
        <f t="shared" si="12"/>
        <v>39235.581412037034</v>
      </c>
      <c r="F87" s="4">
        <f t="shared" si="11"/>
        <v>72.099999999999994</v>
      </c>
      <c r="G87" s="4">
        <f t="shared" si="13"/>
        <v>36.049999999999997</v>
      </c>
      <c r="H87" s="5">
        <f t="shared" si="14"/>
        <v>73.099994111107662</v>
      </c>
      <c r="I87" s="14">
        <f t="shared" si="16"/>
        <v>12573.994924701588</v>
      </c>
      <c r="J87" s="19">
        <f t="shared" si="17"/>
        <v>511930.20426660776</v>
      </c>
      <c r="K87" s="16">
        <f t="shared" si="15"/>
        <v>0.51601185806389316</v>
      </c>
    </row>
    <row r="88" spans="1:11" x14ac:dyDescent="0.15">
      <c r="A88" s="7">
        <v>39235.581435185188</v>
      </c>
      <c r="B88">
        <v>108.3</v>
      </c>
      <c r="C88" s="6">
        <f t="shared" si="9"/>
        <v>136.00000035949051</v>
      </c>
      <c r="D88" t="str">
        <f t="shared" si="10"/>
        <v/>
      </c>
      <c r="E88">
        <f t="shared" si="12"/>
        <v>39235.581435185188</v>
      </c>
      <c r="F88" s="4">
        <f t="shared" si="11"/>
        <v>70.3</v>
      </c>
      <c r="G88" s="4">
        <f t="shared" si="13"/>
        <v>35.15</v>
      </c>
      <c r="H88" s="5">
        <f t="shared" si="14"/>
        <v>71.200016643851981</v>
      </c>
      <c r="I88" s="14">
        <f t="shared" si="16"/>
        <v>12247.178112732925</v>
      </c>
      <c r="J88" s="19">
        <f t="shared" si="17"/>
        <v>524177.38237934071</v>
      </c>
      <c r="K88" s="16">
        <f t="shared" si="15"/>
        <v>0.52835668374778566</v>
      </c>
    </row>
    <row r="89" spans="1:11" x14ac:dyDescent="0.15">
      <c r="A89" s="7">
        <v>39235.581458333334</v>
      </c>
      <c r="B89">
        <v>105.9</v>
      </c>
      <c r="C89" s="6">
        <f t="shared" si="9"/>
        <v>138.00000019837171</v>
      </c>
      <c r="D89" t="str">
        <f t="shared" si="10"/>
        <v/>
      </c>
      <c r="E89">
        <f t="shared" si="12"/>
        <v>39235.581458333334</v>
      </c>
      <c r="F89" s="4">
        <f t="shared" si="11"/>
        <v>67.900000000000006</v>
      </c>
      <c r="G89" s="4">
        <f t="shared" si="13"/>
        <v>33.950000000000003</v>
      </c>
      <c r="H89" s="5">
        <f t="shared" si="14"/>
        <v>69.099994433345273</v>
      </c>
      <c r="I89" s="14">
        <f t="shared" si="16"/>
        <v>11885.951426769901</v>
      </c>
      <c r="J89" s="19">
        <f t="shared" si="17"/>
        <v>536063.33380611066</v>
      </c>
      <c r="K89" s="16">
        <f t="shared" si="15"/>
        <v>0.54033740266116048</v>
      </c>
    </row>
    <row r="90" spans="1:11" x14ac:dyDescent="0.15">
      <c r="A90" s="7">
        <v>39235.58148148148</v>
      </c>
      <c r="B90">
        <v>103.9</v>
      </c>
      <c r="C90" s="6">
        <f t="shared" si="9"/>
        <v>140.0000000372529</v>
      </c>
      <c r="D90" t="str">
        <f t="shared" si="10"/>
        <v/>
      </c>
      <c r="E90">
        <f t="shared" si="12"/>
        <v>39235.58148148148</v>
      </c>
      <c r="F90" s="4">
        <f t="shared" si="11"/>
        <v>65.900000000000006</v>
      </c>
      <c r="G90" s="4">
        <f t="shared" si="13"/>
        <v>32.950000000000003</v>
      </c>
      <c r="H90" s="5">
        <f t="shared" si="14"/>
        <v>66.899994610575959</v>
      </c>
      <c r="I90" s="14">
        <f t="shared" si="16"/>
        <v>11507.527502907473</v>
      </c>
      <c r="J90" s="19">
        <f t="shared" si="17"/>
        <v>547570.8613090181</v>
      </c>
      <c r="K90" s="16">
        <f t="shared" si="15"/>
        <v>0.55193668045138855</v>
      </c>
    </row>
    <row r="91" spans="1:11" x14ac:dyDescent="0.15">
      <c r="A91" s="7">
        <v>39235.581504629627</v>
      </c>
      <c r="B91">
        <v>102.6</v>
      </c>
      <c r="C91" s="6">
        <f t="shared" si="9"/>
        <v>141.9999998761341</v>
      </c>
      <c r="D91" t="str">
        <f t="shared" si="10"/>
        <v/>
      </c>
      <c r="E91">
        <f t="shared" si="12"/>
        <v>39235.581504629627</v>
      </c>
      <c r="F91" s="4">
        <f t="shared" si="11"/>
        <v>64.599999999999994</v>
      </c>
      <c r="G91" s="4">
        <f t="shared" si="13"/>
        <v>32.299999999999997</v>
      </c>
      <c r="H91" s="5">
        <f t="shared" si="14"/>
        <v>65.249994743498974</v>
      </c>
      <c r="I91" s="14">
        <f t="shared" si="16"/>
        <v>11223.709560010651</v>
      </c>
      <c r="J91" s="19">
        <f t="shared" si="17"/>
        <v>558794.5708690288</v>
      </c>
      <c r="K91" s="16">
        <f t="shared" si="15"/>
        <v>0.56324987739925692</v>
      </c>
    </row>
    <row r="92" spans="1:11" x14ac:dyDescent="0.15">
      <c r="A92" s="7">
        <v>39235.58152777778</v>
      </c>
      <c r="B92">
        <v>100.4</v>
      </c>
      <c r="C92" s="6">
        <f t="shared" si="9"/>
        <v>144.00000034365803</v>
      </c>
      <c r="D92" t="str">
        <f t="shared" si="10"/>
        <v/>
      </c>
      <c r="E92">
        <f t="shared" si="12"/>
        <v>39235.58152777778</v>
      </c>
      <c r="F92" s="4">
        <f t="shared" si="11"/>
        <v>62.400000000000006</v>
      </c>
      <c r="G92" s="4">
        <f t="shared" si="13"/>
        <v>31.200000000000003</v>
      </c>
      <c r="H92" s="5">
        <f t="shared" si="14"/>
        <v>63.500014843884856</v>
      </c>
      <c r="I92" s="14">
        <f t="shared" si="16"/>
        <v>10922.693962900856</v>
      </c>
      <c r="J92" s="19">
        <f t="shared" si="17"/>
        <v>569717.2648319297</v>
      </c>
      <c r="K92" s="16">
        <f t="shared" si="15"/>
        <v>0.57425965873250384</v>
      </c>
    </row>
    <row r="93" spans="1:11" x14ac:dyDescent="0.15">
      <c r="A93" s="7">
        <v>39235.581550925926</v>
      </c>
      <c r="B93">
        <v>98.3</v>
      </c>
      <c r="C93" s="6">
        <f t="shared" si="9"/>
        <v>146.00000018253922</v>
      </c>
      <c r="D93" t="str">
        <f t="shared" si="10"/>
        <v/>
      </c>
      <c r="E93">
        <f t="shared" si="12"/>
        <v>39235.581550925926</v>
      </c>
      <c r="F93" s="4">
        <f t="shared" si="11"/>
        <v>60.3</v>
      </c>
      <c r="G93" s="4">
        <f t="shared" si="13"/>
        <v>30.15</v>
      </c>
      <c r="H93" s="5">
        <f t="shared" si="14"/>
        <v>61.349995057680644</v>
      </c>
      <c r="I93" s="14">
        <f t="shared" si="16"/>
        <v>10552.867149527257</v>
      </c>
      <c r="J93" s="19">
        <f t="shared" si="17"/>
        <v>580270.131981457</v>
      </c>
      <c r="K93" s="16">
        <f t="shared" si="15"/>
        <v>0.58489666459843059</v>
      </c>
    </row>
    <row r="94" spans="1:11" x14ac:dyDescent="0.15">
      <c r="A94" s="7">
        <v>39235.581574074073</v>
      </c>
      <c r="B94">
        <v>96.6</v>
      </c>
      <c r="C94" s="6">
        <f t="shared" si="9"/>
        <v>148.00000002142042</v>
      </c>
      <c r="D94" t="str">
        <f t="shared" si="10"/>
        <v/>
      </c>
      <c r="E94">
        <f t="shared" si="12"/>
        <v>39235.581574074073</v>
      </c>
      <c r="F94" s="4">
        <f t="shared" si="11"/>
        <v>58.599999999999994</v>
      </c>
      <c r="G94" s="4">
        <f t="shared" si="13"/>
        <v>29.299999999999997</v>
      </c>
      <c r="H94" s="5">
        <f t="shared" si="14"/>
        <v>59.449995210743502</v>
      </c>
      <c r="I94" s="14">
        <f t="shared" si="16"/>
        <v>10226.046488009704</v>
      </c>
      <c r="J94" s="19">
        <f t="shared" si="17"/>
        <v>590496.17846946674</v>
      </c>
      <c r="K94" s="16">
        <f t="shared" si="15"/>
        <v>0.59520424403982175</v>
      </c>
    </row>
    <row r="95" spans="1:11" x14ac:dyDescent="0.15">
      <c r="A95" s="7">
        <v>39235.581597222219</v>
      </c>
      <c r="B95">
        <v>94.8</v>
      </c>
      <c r="C95" s="6">
        <f t="shared" si="9"/>
        <v>149.99999986030161</v>
      </c>
      <c r="D95" t="str">
        <f t="shared" si="10"/>
        <v/>
      </c>
      <c r="E95">
        <f t="shared" si="12"/>
        <v>39235.581597222219</v>
      </c>
      <c r="F95" s="4">
        <f t="shared" si="11"/>
        <v>56.8</v>
      </c>
      <c r="G95" s="4">
        <f t="shared" si="13"/>
        <v>28.4</v>
      </c>
      <c r="H95" s="5">
        <f t="shared" si="14"/>
        <v>57.699995351722457</v>
      </c>
      <c r="I95" s="14">
        <f t="shared" si="16"/>
        <v>9925.0274576645916</v>
      </c>
      <c r="J95" s="19">
        <f t="shared" si="17"/>
        <v>600421.20592713135</v>
      </c>
      <c r="K95" s="16">
        <f t="shared" si="15"/>
        <v>0.60520840440598267</v>
      </c>
    </row>
    <row r="96" spans="1:11" x14ac:dyDescent="0.15">
      <c r="A96" s="7">
        <v>39235.581620370373</v>
      </c>
      <c r="B96">
        <v>93</v>
      </c>
      <c r="C96" s="6">
        <f t="shared" si="9"/>
        <v>152.00000032782555</v>
      </c>
      <c r="D96" t="str">
        <f t="shared" si="10"/>
        <v/>
      </c>
      <c r="E96">
        <f t="shared" si="12"/>
        <v>39235.581620370373</v>
      </c>
      <c r="F96" s="4">
        <f t="shared" si="11"/>
        <v>55</v>
      </c>
      <c r="G96" s="4">
        <f t="shared" si="13"/>
        <v>27.5</v>
      </c>
      <c r="H96" s="5">
        <f t="shared" si="14"/>
        <v>55.900013067293912</v>
      </c>
      <c r="I96" s="14">
        <f t="shared" si="16"/>
        <v>9615.4109059237453</v>
      </c>
      <c r="J96" s="19">
        <f t="shared" si="17"/>
        <v>610036.61683305504</v>
      </c>
      <c r="K96" s="16">
        <f t="shared" si="15"/>
        <v>0.61490047962690386</v>
      </c>
    </row>
    <row r="97" spans="1:11" x14ac:dyDescent="0.15">
      <c r="A97" s="7">
        <v>39235.581643518519</v>
      </c>
      <c r="B97">
        <v>92.7</v>
      </c>
      <c r="C97" s="6">
        <f t="shared" si="9"/>
        <v>154.00000016670674</v>
      </c>
      <c r="D97" t="str">
        <f t="shared" si="10"/>
        <v/>
      </c>
      <c r="E97">
        <f t="shared" si="12"/>
        <v>39235.581643518519</v>
      </c>
      <c r="F97" s="4">
        <f t="shared" si="11"/>
        <v>54.7</v>
      </c>
      <c r="G97" s="4">
        <f t="shared" si="13"/>
        <v>27.35</v>
      </c>
      <c r="H97" s="5">
        <f t="shared" si="14"/>
        <v>54.849995581316762</v>
      </c>
      <c r="I97" s="14">
        <f t="shared" si="16"/>
        <v>9434.7964653882646</v>
      </c>
      <c r="J97" s="19">
        <f t="shared" si="17"/>
        <v>619471.41329844331</v>
      </c>
      <c r="K97" s="16">
        <f t="shared" si="15"/>
        <v>0.62441050035626133</v>
      </c>
    </row>
    <row r="98" spans="1:11" x14ac:dyDescent="0.15">
      <c r="A98" s="7">
        <v>39235.581666666665</v>
      </c>
      <c r="B98">
        <v>89.5</v>
      </c>
      <c r="C98" s="6">
        <f t="shared" si="9"/>
        <v>156.00000000558794</v>
      </c>
      <c r="D98" t="str">
        <f t="shared" si="10"/>
        <v/>
      </c>
      <c r="E98">
        <f t="shared" si="12"/>
        <v>39235.581666666665</v>
      </c>
      <c r="F98" s="4">
        <f t="shared" si="11"/>
        <v>51.5</v>
      </c>
      <c r="G98" s="4">
        <f t="shared" si="13"/>
        <v>25.75</v>
      </c>
      <c r="H98" s="5">
        <f t="shared" si="14"/>
        <v>53.099995722295716</v>
      </c>
      <c r="I98" s="14">
        <f t="shared" si="16"/>
        <v>9133.7774350431519</v>
      </c>
      <c r="J98" s="19">
        <f t="shared" si="17"/>
        <v>628605.19073348644</v>
      </c>
      <c r="K98" s="16">
        <f t="shared" si="15"/>
        <v>0.63361710201038857</v>
      </c>
    </row>
    <row r="99" spans="1:11" x14ac:dyDescent="0.15">
      <c r="A99" s="7">
        <v>39235.581689814811</v>
      </c>
      <c r="B99">
        <v>88.8</v>
      </c>
      <c r="C99" s="6">
        <f t="shared" si="9"/>
        <v>157.99999984446913</v>
      </c>
      <c r="D99" t="str">
        <f t="shared" si="10"/>
        <v/>
      </c>
      <c r="E99">
        <f t="shared" si="12"/>
        <v>39235.581689814811</v>
      </c>
      <c r="F99" s="4">
        <f t="shared" si="11"/>
        <v>50.8</v>
      </c>
      <c r="G99" s="4">
        <f t="shared" si="13"/>
        <v>25.4</v>
      </c>
      <c r="H99" s="5">
        <f t="shared" si="14"/>
        <v>51.149995879386552</v>
      </c>
      <c r="I99" s="14">
        <f t="shared" si="16"/>
        <v>8798.3562298014531</v>
      </c>
      <c r="J99" s="19">
        <f t="shared" si="17"/>
        <v>637403.54696328787</v>
      </c>
      <c r="K99" s="16">
        <f t="shared" si="15"/>
        <v>0.64248560812354516</v>
      </c>
    </row>
    <row r="100" spans="1:11" x14ac:dyDescent="0.15">
      <c r="A100" s="7">
        <v>39235.581712962965</v>
      </c>
      <c r="B100">
        <v>87.4</v>
      </c>
      <c r="C100" s="6">
        <f t="shared" si="9"/>
        <v>160.00000031199306</v>
      </c>
      <c r="D100" t="str">
        <f t="shared" si="10"/>
        <v/>
      </c>
      <c r="E100">
        <f t="shared" si="12"/>
        <v>39235.581712962965</v>
      </c>
      <c r="F100" s="4">
        <f t="shared" si="11"/>
        <v>49.400000000000006</v>
      </c>
      <c r="G100" s="4">
        <f t="shared" si="13"/>
        <v>24.700000000000003</v>
      </c>
      <c r="H100" s="5">
        <f t="shared" si="14"/>
        <v>50.100011711474508</v>
      </c>
      <c r="I100" s="14">
        <f t="shared" si="16"/>
        <v>8617.74752033595</v>
      </c>
      <c r="J100" s="19">
        <f t="shared" si="17"/>
        <v>646021.29448362382</v>
      </c>
      <c r="K100" s="16">
        <f t="shared" si="15"/>
        <v>0.6511720655219021</v>
      </c>
    </row>
    <row r="101" spans="1:11" x14ac:dyDescent="0.15">
      <c r="A101" s="7">
        <v>39235.581736111111</v>
      </c>
      <c r="B101">
        <v>85.6</v>
      </c>
      <c r="C101" s="6">
        <f t="shared" si="9"/>
        <v>162.00000015087426</v>
      </c>
      <c r="D101" t="str">
        <f t="shared" si="10"/>
        <v/>
      </c>
      <c r="E101">
        <f t="shared" si="12"/>
        <v>39235.581736111111</v>
      </c>
      <c r="F101" s="4">
        <f t="shared" si="11"/>
        <v>47.599999999999994</v>
      </c>
      <c r="G101" s="4">
        <f t="shared" si="13"/>
        <v>23.799999999999997</v>
      </c>
      <c r="H101" s="5">
        <f t="shared" si="14"/>
        <v>48.499996092868969</v>
      </c>
      <c r="I101" s="14">
        <f t="shared" si="16"/>
        <v>8342.5274124217103</v>
      </c>
      <c r="J101" s="19">
        <f t="shared" si="17"/>
        <v>654363.82189604547</v>
      </c>
      <c r="K101" s="16">
        <f t="shared" si="15"/>
        <v>0.65958110846399565</v>
      </c>
    </row>
    <row r="102" spans="1:11" x14ac:dyDescent="0.15">
      <c r="A102" s="7">
        <v>39235.581759259258</v>
      </c>
      <c r="B102">
        <v>84.2</v>
      </c>
      <c r="C102" s="6">
        <f t="shared" si="9"/>
        <v>163.99999998975545</v>
      </c>
      <c r="D102" t="str">
        <f t="shared" si="10"/>
        <v/>
      </c>
      <c r="E102">
        <f t="shared" si="12"/>
        <v>39235.581759259258</v>
      </c>
      <c r="F102" s="4">
        <f t="shared" si="11"/>
        <v>46.2</v>
      </c>
      <c r="G102" s="4">
        <f t="shared" si="13"/>
        <v>23.1</v>
      </c>
      <c r="H102" s="5">
        <f t="shared" si="14"/>
        <v>46.899996221764013</v>
      </c>
      <c r="I102" s="14">
        <f t="shared" si="16"/>
        <v>8067.3100132490354</v>
      </c>
      <c r="J102" s="19">
        <f t="shared" si="17"/>
        <v>662431.13190929452</v>
      </c>
      <c r="K102" s="16">
        <f t="shared" si="15"/>
        <v>0.66771273968016465</v>
      </c>
    </row>
    <row r="103" spans="1:11" x14ac:dyDescent="0.15">
      <c r="A103" s="7">
        <v>39235.581782407404</v>
      </c>
      <c r="B103">
        <v>81.599999999999994</v>
      </c>
      <c r="C103" s="6">
        <f t="shared" si="9"/>
        <v>165.99999982863665</v>
      </c>
      <c r="D103" t="str">
        <f t="shared" si="10"/>
        <v/>
      </c>
      <c r="E103">
        <f t="shared" si="12"/>
        <v>39235.581782407404</v>
      </c>
      <c r="F103" s="4">
        <f t="shared" si="11"/>
        <v>43.599999999999994</v>
      </c>
      <c r="G103" s="4">
        <f t="shared" si="13"/>
        <v>21.799999999999997</v>
      </c>
      <c r="H103" s="5">
        <f t="shared" si="14"/>
        <v>44.899996382882819</v>
      </c>
      <c r="I103" s="14">
        <f t="shared" si="16"/>
        <v>7723.2882642831919</v>
      </c>
      <c r="J103" s="19">
        <f t="shared" si="17"/>
        <v>670154.42017357773</v>
      </c>
      <c r="K103" s="16">
        <f t="shared" si="15"/>
        <v>0.67549760623892763</v>
      </c>
    </row>
    <row r="104" spans="1:11" x14ac:dyDescent="0.15">
      <c r="A104" s="7">
        <v>39235.581805555557</v>
      </c>
      <c r="B104">
        <v>79.7</v>
      </c>
      <c r="C104" s="6">
        <f t="shared" si="9"/>
        <v>168.00000029616058</v>
      </c>
      <c r="D104" t="str">
        <f t="shared" si="10"/>
        <v/>
      </c>
      <c r="E104">
        <f t="shared" si="12"/>
        <v>39235.581805555557</v>
      </c>
      <c r="F104" s="4">
        <f t="shared" si="11"/>
        <v>41.7</v>
      </c>
      <c r="G104" s="4">
        <f t="shared" si="13"/>
        <v>20.85</v>
      </c>
      <c r="H104" s="5">
        <f t="shared" si="14"/>
        <v>42.65000996994786</v>
      </c>
      <c r="I104" s="14">
        <f t="shared" si="16"/>
        <v>7336.2661026412834</v>
      </c>
      <c r="J104" s="19">
        <f t="shared" si="17"/>
        <v>677490.68627621897</v>
      </c>
      <c r="K104" s="16">
        <f t="shared" si="15"/>
        <v>0.6828923648824391</v>
      </c>
    </row>
    <row r="105" spans="1:11" x14ac:dyDescent="0.15">
      <c r="A105" s="7">
        <v>39235.581828703704</v>
      </c>
      <c r="B105">
        <v>79.5</v>
      </c>
      <c r="C105" s="6">
        <f t="shared" si="9"/>
        <v>170.00000013504177</v>
      </c>
      <c r="D105" t="str">
        <f t="shared" si="10"/>
        <v/>
      </c>
      <c r="E105">
        <f t="shared" si="12"/>
        <v>39235.581828703704</v>
      </c>
      <c r="F105" s="4">
        <f t="shared" si="11"/>
        <v>41.5</v>
      </c>
      <c r="G105" s="4">
        <f t="shared" si="13"/>
        <v>20.75</v>
      </c>
      <c r="H105" s="5">
        <f t="shared" si="14"/>
        <v>41.599996648728848</v>
      </c>
      <c r="I105" s="14">
        <f t="shared" si="16"/>
        <v>7155.6523784895498</v>
      </c>
      <c r="J105" s="19">
        <f t="shared" si="17"/>
        <v>684646.33865470847</v>
      </c>
      <c r="K105" s="16">
        <f t="shared" si="15"/>
        <v>0.69010506975648223</v>
      </c>
    </row>
    <row r="106" spans="1:11" x14ac:dyDescent="0.15">
      <c r="A106" s="7">
        <v>39235.58185185185</v>
      </c>
      <c r="B106">
        <v>77.3</v>
      </c>
      <c r="C106" s="6">
        <f t="shared" si="9"/>
        <v>171.99999997392297</v>
      </c>
      <c r="D106" t="str">
        <f t="shared" si="10"/>
        <v/>
      </c>
      <c r="E106">
        <f t="shared" si="12"/>
        <v>39235.58185185185</v>
      </c>
      <c r="F106" s="4">
        <f t="shared" si="11"/>
        <v>39.299999999999997</v>
      </c>
      <c r="G106" s="4">
        <f t="shared" si="13"/>
        <v>19.649999999999999</v>
      </c>
      <c r="H106" s="5">
        <f t="shared" si="14"/>
        <v>40.399996745400131</v>
      </c>
      <c r="I106" s="14">
        <f t="shared" si="16"/>
        <v>6949.2393291100434</v>
      </c>
      <c r="J106" s="19">
        <f t="shared" si="17"/>
        <v>691595.57798381848</v>
      </c>
      <c r="K106" s="16">
        <f t="shared" si="15"/>
        <v>0.69710971583608194</v>
      </c>
    </row>
    <row r="107" spans="1:11" x14ac:dyDescent="0.15">
      <c r="A107" s="7">
        <v>39235.581875000003</v>
      </c>
      <c r="B107">
        <v>77.099999999999994</v>
      </c>
      <c r="C107" s="6">
        <f t="shared" si="9"/>
        <v>174.0000004414469</v>
      </c>
      <c r="D107" t="str">
        <f t="shared" si="10"/>
        <v/>
      </c>
      <c r="E107">
        <f t="shared" si="12"/>
        <v>39235.581875000003</v>
      </c>
      <c r="F107" s="4">
        <f t="shared" si="11"/>
        <v>39.099999999999994</v>
      </c>
      <c r="G107" s="4">
        <f t="shared" si="13"/>
        <v>19.549999999999997</v>
      </c>
      <c r="H107" s="5">
        <f t="shared" si="14"/>
        <v>39.200009163469069</v>
      </c>
      <c r="I107" s="14">
        <f t="shared" si="16"/>
        <v>6742.8283991450935</v>
      </c>
      <c r="J107" s="19">
        <f t="shared" si="17"/>
        <v>698338.40638296353</v>
      </c>
      <c r="K107" s="16">
        <f t="shared" si="15"/>
        <v>0.70390630525755071</v>
      </c>
    </row>
    <row r="108" spans="1:11" x14ac:dyDescent="0.15">
      <c r="A108" s="7">
        <v>39235.58189814815</v>
      </c>
      <c r="B108">
        <v>75.8</v>
      </c>
      <c r="C108" s="6">
        <f t="shared" si="9"/>
        <v>176.00000028032809</v>
      </c>
      <c r="D108" t="str">
        <f t="shared" si="10"/>
        <v/>
      </c>
      <c r="E108">
        <f t="shared" si="12"/>
        <v>39235.58189814815</v>
      </c>
      <c r="F108" s="4">
        <f t="shared" si="11"/>
        <v>37.799999999999997</v>
      </c>
      <c r="G108" s="4">
        <f t="shared" si="13"/>
        <v>18.899999999999999</v>
      </c>
      <c r="H108" s="5">
        <f t="shared" si="14"/>
        <v>38.449996902490959</v>
      </c>
      <c r="I108" s="14">
        <f t="shared" si="16"/>
        <v>6613.8181238683446</v>
      </c>
      <c r="J108" s="19">
        <f t="shared" si="17"/>
        <v>704952.22450683184</v>
      </c>
      <c r="K108" s="16">
        <f t="shared" si="15"/>
        <v>0.71057285579617957</v>
      </c>
    </row>
    <row r="109" spans="1:11" x14ac:dyDescent="0.15">
      <c r="A109" s="7">
        <v>39235.581921296296</v>
      </c>
      <c r="B109">
        <v>76.099999999999994</v>
      </c>
      <c r="C109" s="6">
        <f t="shared" si="9"/>
        <v>178.00000011920929</v>
      </c>
      <c r="D109" t="str">
        <f t="shared" si="10"/>
        <v/>
      </c>
      <c r="E109">
        <f t="shared" si="12"/>
        <v>39235.581921296296</v>
      </c>
      <c r="F109" s="4">
        <f t="shared" si="11"/>
        <v>38.099999999999994</v>
      </c>
      <c r="G109" s="4">
        <f t="shared" si="13"/>
        <v>19.049999999999997</v>
      </c>
      <c r="H109" s="5">
        <f t="shared" si="14"/>
        <v>37.94999694277066</v>
      </c>
      <c r="I109" s="14">
        <f t="shared" si="16"/>
        <v>6527.812686626884</v>
      </c>
      <c r="J109" s="19">
        <f t="shared" si="17"/>
        <v>711480.03719345876</v>
      </c>
      <c r="K109" s="16">
        <f t="shared" si="15"/>
        <v>0.71715271517045709</v>
      </c>
    </row>
    <row r="110" spans="1:11" x14ac:dyDescent="0.15">
      <c r="A110" s="7">
        <v>39235.581944444442</v>
      </c>
      <c r="B110">
        <v>74.400000000000006</v>
      </c>
      <c r="C110" s="6">
        <f t="shared" si="9"/>
        <v>179.99999995809048</v>
      </c>
      <c r="D110" t="str">
        <f t="shared" si="10"/>
        <v/>
      </c>
      <c r="E110">
        <f t="shared" si="12"/>
        <v>39235.581944444442</v>
      </c>
      <c r="F110" s="4">
        <f t="shared" si="11"/>
        <v>36.400000000000006</v>
      </c>
      <c r="G110" s="4">
        <f t="shared" si="13"/>
        <v>18.200000000000003</v>
      </c>
      <c r="H110" s="5">
        <f t="shared" si="14"/>
        <v>37.249996999162249</v>
      </c>
      <c r="I110" s="14">
        <f t="shared" si="16"/>
        <v>6407.40507448884</v>
      </c>
      <c r="J110" s="19">
        <f t="shared" si="17"/>
        <v>717887.4422679476</v>
      </c>
      <c r="K110" s="16">
        <f t="shared" si="15"/>
        <v>0.72361120691464242</v>
      </c>
    </row>
    <row r="111" spans="1:11" x14ac:dyDescent="0.15">
      <c r="A111" s="7">
        <v>39235.581967592596</v>
      </c>
      <c r="B111">
        <v>73.7</v>
      </c>
      <c r="C111" s="6">
        <f t="shared" si="9"/>
        <v>182.00000042561442</v>
      </c>
      <c r="D111" t="str">
        <f t="shared" si="10"/>
        <v/>
      </c>
      <c r="E111">
        <f t="shared" si="12"/>
        <v>39235.581967592596</v>
      </c>
      <c r="F111" s="4">
        <f t="shared" si="11"/>
        <v>35.700000000000003</v>
      </c>
      <c r="G111" s="4">
        <f t="shared" si="13"/>
        <v>17.850000000000001</v>
      </c>
      <c r="H111" s="5">
        <f t="shared" si="14"/>
        <v>36.05000842711889</v>
      </c>
      <c r="I111" s="14">
        <f t="shared" si="16"/>
        <v>6200.993974213794</v>
      </c>
      <c r="J111" s="19">
        <f t="shared" si="17"/>
        <v>724088.43624216144</v>
      </c>
      <c r="K111" s="16">
        <f t="shared" si="15"/>
        <v>0.72986164182902902</v>
      </c>
    </row>
    <row r="112" spans="1:11" x14ac:dyDescent="0.15">
      <c r="A112" s="7">
        <v>39235.581990740742</v>
      </c>
      <c r="B112">
        <v>71.8</v>
      </c>
      <c r="C112" s="6">
        <f t="shared" si="9"/>
        <v>184.00000026449561</v>
      </c>
      <c r="D112" t="str">
        <f t="shared" si="10"/>
        <v/>
      </c>
      <c r="E112">
        <f t="shared" si="12"/>
        <v>39235.581990740742</v>
      </c>
      <c r="F112" s="4">
        <f t="shared" si="11"/>
        <v>33.799999999999997</v>
      </c>
      <c r="G112" s="4">
        <f t="shared" si="13"/>
        <v>16.899999999999999</v>
      </c>
      <c r="H112" s="5">
        <f t="shared" si="14"/>
        <v>34.749997200560756</v>
      </c>
      <c r="I112" s="14">
        <f t="shared" si="16"/>
        <v>5977.377888281535</v>
      </c>
      <c r="J112" s="19">
        <f t="shared" si="17"/>
        <v>730065.81413044292</v>
      </c>
      <c r="K112" s="16">
        <f t="shared" si="15"/>
        <v>0.73588667775145689</v>
      </c>
    </row>
    <row r="113" spans="1:11" x14ac:dyDescent="0.15">
      <c r="A113" s="7">
        <v>39235.582013888888</v>
      </c>
      <c r="B113">
        <v>71.2</v>
      </c>
      <c r="C113" s="6">
        <f t="shared" si="9"/>
        <v>186.00000010337681</v>
      </c>
      <c r="D113" t="str">
        <f t="shared" si="10"/>
        <v/>
      </c>
      <c r="E113">
        <f t="shared" si="12"/>
        <v>39235.582013888888</v>
      </c>
      <c r="F113" s="4">
        <f t="shared" si="11"/>
        <v>33.200000000000003</v>
      </c>
      <c r="G113" s="4">
        <f t="shared" si="13"/>
        <v>16.600000000000001</v>
      </c>
      <c r="H113" s="5">
        <f t="shared" si="14"/>
        <v>33.499997301260009</v>
      </c>
      <c r="I113" s="14">
        <f t="shared" si="16"/>
        <v>5762.3642951778829</v>
      </c>
      <c r="J113" s="19">
        <f t="shared" si="17"/>
        <v>735828.17842562078</v>
      </c>
      <c r="K113" s="16">
        <f t="shared" si="15"/>
        <v>0.74169498576300619</v>
      </c>
    </row>
    <row r="114" spans="1:11" x14ac:dyDescent="0.15">
      <c r="A114" s="7">
        <v>39235.582037037035</v>
      </c>
      <c r="B114">
        <v>70.099999999999994</v>
      </c>
      <c r="C114" s="6">
        <f t="shared" si="9"/>
        <v>187.999999942258</v>
      </c>
      <c r="D114" t="str">
        <f t="shared" si="10"/>
        <v/>
      </c>
      <c r="E114">
        <f t="shared" si="12"/>
        <v>39235.582037037035</v>
      </c>
      <c r="F114" s="4">
        <f t="shared" si="11"/>
        <v>32.099999999999994</v>
      </c>
      <c r="G114" s="4">
        <f t="shared" si="13"/>
        <v>16.049999999999997</v>
      </c>
      <c r="H114" s="5">
        <f t="shared" si="14"/>
        <v>32.649997369735502</v>
      </c>
      <c r="I114" s="14">
        <f t="shared" si="16"/>
        <v>5616.1550518673994</v>
      </c>
      <c r="J114" s="19">
        <f t="shared" si="17"/>
        <v>741444.33347748814</v>
      </c>
      <c r="K114" s="16">
        <f t="shared" si="15"/>
        <v>0.74735591879515784</v>
      </c>
    </row>
    <row r="115" spans="1:11" x14ac:dyDescent="0.15">
      <c r="A115" s="7">
        <v>39235.582060185188</v>
      </c>
      <c r="B115">
        <v>69.5</v>
      </c>
      <c r="C115" s="6">
        <f t="shared" si="9"/>
        <v>190.00000040978193</v>
      </c>
      <c r="D115" t="str">
        <f t="shared" si="10"/>
        <v/>
      </c>
      <c r="E115">
        <f t="shared" si="12"/>
        <v>39235.582060185188</v>
      </c>
      <c r="F115" s="4">
        <f t="shared" si="11"/>
        <v>31.5</v>
      </c>
      <c r="G115" s="4">
        <f t="shared" si="13"/>
        <v>15.75</v>
      </c>
      <c r="H115" s="5">
        <f t="shared" si="14"/>
        <v>31.800007433630523</v>
      </c>
      <c r="I115" s="14">
        <f t="shared" si="16"/>
        <v>5469.9475278779082</v>
      </c>
      <c r="J115" s="19">
        <f t="shared" si="17"/>
        <v>746914.28100536601</v>
      </c>
      <c r="K115" s="16">
        <f t="shared" si="15"/>
        <v>0.75286947858094122</v>
      </c>
    </row>
    <row r="116" spans="1:11" x14ac:dyDescent="0.15">
      <c r="A116" s="7">
        <v>39235.582083333335</v>
      </c>
      <c r="B116">
        <v>68.2</v>
      </c>
      <c r="C116" s="6">
        <f t="shared" si="9"/>
        <v>192.00000024866313</v>
      </c>
      <c r="D116" t="str">
        <f t="shared" si="10"/>
        <v/>
      </c>
      <c r="E116">
        <f t="shared" si="12"/>
        <v>39235.582083333335</v>
      </c>
      <c r="F116" s="4">
        <f t="shared" si="11"/>
        <v>30.200000000000003</v>
      </c>
      <c r="G116" s="4">
        <f t="shared" si="13"/>
        <v>15.100000000000001</v>
      </c>
      <c r="H116" s="5">
        <f t="shared" si="14"/>
        <v>30.849997514742427</v>
      </c>
      <c r="I116" s="14">
        <f t="shared" si="16"/>
        <v>5306.5354777981393</v>
      </c>
      <c r="J116" s="19">
        <f t="shared" si="17"/>
        <v>752220.81648316409</v>
      </c>
      <c r="K116" s="16">
        <f t="shared" si="15"/>
        <v>0.75821832342142759</v>
      </c>
    </row>
    <row r="117" spans="1:11" x14ac:dyDescent="0.15">
      <c r="A117" s="7">
        <v>39235.582106481481</v>
      </c>
      <c r="B117">
        <v>66.400000000000006</v>
      </c>
      <c r="C117" s="6">
        <f t="shared" si="9"/>
        <v>194.00000008754432</v>
      </c>
      <c r="D117" t="str">
        <f t="shared" si="10"/>
        <v/>
      </c>
      <c r="E117">
        <f t="shared" si="12"/>
        <v>39235.582106481481</v>
      </c>
      <c r="F117" s="4">
        <f t="shared" si="11"/>
        <v>28.400000000000006</v>
      </c>
      <c r="G117" s="4">
        <f t="shared" si="13"/>
        <v>14.200000000000003</v>
      </c>
      <c r="H117" s="5">
        <f t="shared" si="14"/>
        <v>29.299997639609504</v>
      </c>
      <c r="I117" s="14">
        <f t="shared" si="16"/>
        <v>5039.9186223496117</v>
      </c>
      <c r="J117" s="19">
        <f t="shared" si="17"/>
        <v>757260.73510551371</v>
      </c>
      <c r="K117" s="16">
        <f t="shared" si="15"/>
        <v>0.76329842565242434</v>
      </c>
    </row>
    <row r="118" spans="1:11" x14ac:dyDescent="0.15">
      <c r="A118" s="7">
        <v>39235.582129629627</v>
      </c>
      <c r="B118">
        <v>66.599999999999994</v>
      </c>
      <c r="C118" s="6">
        <f t="shared" si="9"/>
        <v>195.99999992642552</v>
      </c>
      <c r="D118" t="str">
        <f t="shared" si="10"/>
        <v/>
      </c>
      <c r="E118">
        <f t="shared" si="12"/>
        <v>39235.582129629627</v>
      </c>
      <c r="F118" s="4">
        <f t="shared" si="11"/>
        <v>28.599999999999994</v>
      </c>
      <c r="G118" s="4">
        <f t="shared" si="13"/>
        <v>14.299999999999997</v>
      </c>
      <c r="H118" s="5">
        <f t="shared" si="14"/>
        <v>28.499997704057023</v>
      </c>
      <c r="I118" s="14">
        <f t="shared" si="16"/>
        <v>4902.3099227632729</v>
      </c>
      <c r="J118" s="19">
        <f t="shared" si="17"/>
        <v>762163.04502827697</v>
      </c>
      <c r="K118" s="16">
        <f t="shared" si="15"/>
        <v>0.76823982202045882</v>
      </c>
    </row>
    <row r="119" spans="1:11" x14ac:dyDescent="0.15">
      <c r="A119" s="7">
        <v>39235.582152777781</v>
      </c>
      <c r="B119">
        <v>66.5</v>
      </c>
      <c r="C119" s="6">
        <f t="shared" si="9"/>
        <v>198.00000039394945</v>
      </c>
      <c r="D119" t="str">
        <f t="shared" si="10"/>
        <v/>
      </c>
      <c r="E119">
        <f t="shared" si="12"/>
        <v>39235.582152777781</v>
      </c>
      <c r="F119" s="4">
        <f t="shared" si="11"/>
        <v>28.5</v>
      </c>
      <c r="G119" s="4">
        <f t="shared" si="13"/>
        <v>14.25</v>
      </c>
      <c r="H119" s="5">
        <f t="shared" si="14"/>
        <v>28.550006673904132</v>
      </c>
      <c r="I119" s="14">
        <f t="shared" si="16"/>
        <v>4910.9120100916434</v>
      </c>
      <c r="J119" s="19">
        <f t="shared" si="17"/>
        <v>767073.95703836856</v>
      </c>
      <c r="K119" s="16">
        <f t="shared" si="15"/>
        <v>0.77318988906083985</v>
      </c>
    </row>
    <row r="120" spans="1:11" x14ac:dyDescent="0.15">
      <c r="A120" s="7">
        <v>39235.582175925927</v>
      </c>
      <c r="B120">
        <v>64.900000000000006</v>
      </c>
      <c r="C120" s="6">
        <f t="shared" si="9"/>
        <v>200.00000023283064</v>
      </c>
      <c r="D120" t="str">
        <f t="shared" si="10"/>
        <v/>
      </c>
      <c r="E120">
        <f t="shared" si="12"/>
        <v>39235.582175925927</v>
      </c>
      <c r="F120" s="4">
        <f t="shared" si="11"/>
        <v>26.900000000000006</v>
      </c>
      <c r="G120" s="4">
        <f t="shared" si="13"/>
        <v>13.450000000000003</v>
      </c>
      <c r="H120" s="5">
        <f t="shared" si="14"/>
        <v>27.699997768504549</v>
      </c>
      <c r="I120" s="14">
        <f t="shared" si="16"/>
        <v>4764.7012231769368</v>
      </c>
      <c r="J120" s="19">
        <f t="shared" si="17"/>
        <v>771838.65826154547</v>
      </c>
      <c r="K120" s="16">
        <f t="shared" si="15"/>
        <v>0.77799257956591183</v>
      </c>
    </row>
    <row r="121" spans="1:11" x14ac:dyDescent="0.15">
      <c r="A121" s="7">
        <v>39235.582199074073</v>
      </c>
      <c r="B121">
        <v>63.6</v>
      </c>
      <c r="C121" s="6">
        <f t="shared" si="9"/>
        <v>202.00000007171184</v>
      </c>
      <c r="D121" t="str">
        <f t="shared" si="10"/>
        <v/>
      </c>
      <c r="E121">
        <f t="shared" si="12"/>
        <v>39235.582199074073</v>
      </c>
      <c r="F121" s="4">
        <f t="shared" si="11"/>
        <v>25.6</v>
      </c>
      <c r="G121" s="4">
        <f t="shared" si="13"/>
        <v>12.8</v>
      </c>
      <c r="H121" s="5">
        <f t="shared" si="14"/>
        <v>26.249997885315683</v>
      </c>
      <c r="I121" s="14">
        <f t="shared" si="16"/>
        <v>4515.2854551766995</v>
      </c>
      <c r="J121" s="19">
        <f t="shared" si="17"/>
        <v>776353.94371672219</v>
      </c>
      <c r="K121" s="16">
        <f t="shared" si="15"/>
        <v>0.78254386569436463</v>
      </c>
    </row>
    <row r="122" spans="1:11" x14ac:dyDescent="0.15">
      <c r="A122" s="7">
        <v>39235.58222222222</v>
      </c>
      <c r="B122">
        <v>63.6</v>
      </c>
      <c r="C122" s="6">
        <f t="shared" si="9"/>
        <v>203.99999991059303</v>
      </c>
      <c r="D122" t="str">
        <f t="shared" si="10"/>
        <v/>
      </c>
      <c r="E122">
        <f t="shared" si="12"/>
        <v>39235.58222222222</v>
      </c>
      <c r="F122" s="4">
        <f t="shared" si="11"/>
        <v>25.6</v>
      </c>
      <c r="G122" s="4">
        <f t="shared" si="13"/>
        <v>12.8</v>
      </c>
      <c r="H122" s="5">
        <f t="shared" si="14"/>
        <v>25.599997937679291</v>
      </c>
      <c r="I122" s="14">
        <f t="shared" si="16"/>
        <v>4403.4783867628003</v>
      </c>
      <c r="J122" s="19">
        <f t="shared" si="17"/>
        <v>780757.42210348498</v>
      </c>
      <c r="K122" s="16">
        <f t="shared" si="15"/>
        <v>0.78698245330916039</v>
      </c>
    </row>
    <row r="123" spans="1:11" x14ac:dyDescent="0.15">
      <c r="A123" s="7">
        <v>39235.582245370373</v>
      </c>
      <c r="B123">
        <v>62.9</v>
      </c>
      <c r="C123" s="6">
        <f t="shared" si="9"/>
        <v>206.00000037811697</v>
      </c>
      <c r="D123" t="str">
        <f t="shared" si="10"/>
        <v/>
      </c>
      <c r="E123">
        <f t="shared" si="12"/>
        <v>39235.582245370373</v>
      </c>
      <c r="F123" s="4">
        <f t="shared" si="11"/>
        <v>24.9</v>
      </c>
      <c r="G123" s="4">
        <f t="shared" si="13"/>
        <v>12.45</v>
      </c>
      <c r="H123" s="5">
        <f t="shared" si="14"/>
        <v>25.250005902489647</v>
      </c>
      <c r="I123" s="14">
        <f t="shared" si="16"/>
        <v>4343.2759458778992</v>
      </c>
      <c r="J123" s="19">
        <f t="shared" si="17"/>
        <v>785100.69804936287</v>
      </c>
      <c r="K123" s="16">
        <f t="shared" si="15"/>
        <v>0.7913603584849791</v>
      </c>
    </row>
    <row r="124" spans="1:11" x14ac:dyDescent="0.15">
      <c r="A124" s="7">
        <v>39235.582268518519</v>
      </c>
      <c r="B124">
        <v>61.9</v>
      </c>
      <c r="C124" s="6">
        <f t="shared" si="9"/>
        <v>208.00000021699816</v>
      </c>
      <c r="D124" t="str">
        <f t="shared" si="10"/>
        <v/>
      </c>
      <c r="E124">
        <f t="shared" si="12"/>
        <v>39235.582268518519</v>
      </c>
      <c r="F124" s="4">
        <f t="shared" si="11"/>
        <v>23.9</v>
      </c>
      <c r="G124" s="4">
        <f t="shared" si="13"/>
        <v>11.95</v>
      </c>
      <c r="H124" s="5">
        <f t="shared" si="14"/>
        <v>24.399998034350574</v>
      </c>
      <c r="I124" s="14">
        <f t="shared" si="16"/>
        <v>4197.0653373832938</v>
      </c>
      <c r="J124" s="19">
        <f t="shared" si="17"/>
        <v>789297.76338674617</v>
      </c>
      <c r="K124" s="16">
        <f t="shared" si="15"/>
        <v>0.79559088730533134</v>
      </c>
    </row>
    <row r="125" spans="1:11" x14ac:dyDescent="0.15">
      <c r="A125" s="7">
        <v>39235.582291666666</v>
      </c>
      <c r="B125">
        <v>61.5</v>
      </c>
      <c r="C125" s="6">
        <f t="shared" si="9"/>
        <v>210.00000005587935</v>
      </c>
      <c r="D125" t="str">
        <f t="shared" si="10"/>
        <v/>
      </c>
      <c r="E125">
        <f t="shared" si="12"/>
        <v>39235.582291666666</v>
      </c>
      <c r="F125" s="4">
        <f t="shared" si="11"/>
        <v>23.5</v>
      </c>
      <c r="G125" s="4">
        <f t="shared" si="13"/>
        <v>11.75</v>
      </c>
      <c r="H125" s="5">
        <f t="shared" si="14"/>
        <v>23.699998090742156</v>
      </c>
      <c r="I125" s="14">
        <f t="shared" si="16"/>
        <v>4076.6577252452485</v>
      </c>
      <c r="J125" s="19">
        <f t="shared" si="17"/>
        <v>793374.4211119914</v>
      </c>
      <c r="K125" s="16">
        <f t="shared" si="15"/>
        <v>0.79970004849559151</v>
      </c>
    </row>
    <row r="126" spans="1:11" x14ac:dyDescent="0.15">
      <c r="A126" s="7">
        <v>39235.582314814812</v>
      </c>
      <c r="B126">
        <v>62.2</v>
      </c>
      <c r="C126" s="6">
        <f t="shared" si="9"/>
        <v>211.99999989476055</v>
      </c>
      <c r="D126" t="str">
        <f t="shared" si="10"/>
        <v/>
      </c>
      <c r="E126">
        <f t="shared" si="12"/>
        <v>39235.582314814812</v>
      </c>
      <c r="F126" s="4">
        <f t="shared" si="11"/>
        <v>24.200000000000003</v>
      </c>
      <c r="G126" s="4">
        <f t="shared" si="13"/>
        <v>12.100000000000001</v>
      </c>
      <c r="H126" s="5">
        <f t="shared" si="14"/>
        <v>23.849998078658246</v>
      </c>
      <c r="I126" s="14">
        <f t="shared" si="16"/>
        <v>4102.4593564176866</v>
      </c>
      <c r="J126" s="19">
        <f t="shared" si="17"/>
        <v>797476.88046840904</v>
      </c>
      <c r="K126" s="16">
        <f t="shared" si="15"/>
        <v>0.80383521703515715</v>
      </c>
    </row>
    <row r="127" spans="1:11" x14ac:dyDescent="0.15">
      <c r="A127" s="7">
        <v>39235.582337962966</v>
      </c>
      <c r="B127">
        <v>61.5</v>
      </c>
      <c r="C127" s="6">
        <f t="shared" si="9"/>
        <v>214.00000036228448</v>
      </c>
      <c r="D127" t="str">
        <f t="shared" si="10"/>
        <v/>
      </c>
      <c r="E127">
        <f t="shared" si="12"/>
        <v>39235.582337962966</v>
      </c>
      <c r="F127" s="4">
        <f t="shared" si="11"/>
        <v>23.5</v>
      </c>
      <c r="G127" s="4">
        <f t="shared" si="13"/>
        <v>11.75</v>
      </c>
      <c r="H127" s="5">
        <f t="shared" si="14"/>
        <v>23.850005575222895</v>
      </c>
      <c r="I127" s="14">
        <f t="shared" si="16"/>
        <v>4102.4606459084316</v>
      </c>
      <c r="J127" s="19">
        <f t="shared" si="17"/>
        <v>801579.34111431753</v>
      </c>
      <c r="K127" s="16">
        <f t="shared" si="15"/>
        <v>0.80797038687449474</v>
      </c>
    </row>
    <row r="128" spans="1:11" x14ac:dyDescent="0.15">
      <c r="A128" s="7">
        <v>39235.582361111112</v>
      </c>
      <c r="B128">
        <v>60.5</v>
      </c>
      <c r="C128" s="6">
        <f t="shared" si="9"/>
        <v>216.00000020116568</v>
      </c>
      <c r="D128" t="str">
        <f t="shared" si="10"/>
        <v/>
      </c>
      <c r="E128">
        <f t="shared" si="12"/>
        <v>39235.582361111112</v>
      </c>
      <c r="F128" s="4">
        <f t="shared" si="11"/>
        <v>22.5</v>
      </c>
      <c r="G128" s="4">
        <f t="shared" si="13"/>
        <v>11.25</v>
      </c>
      <c r="H128" s="5">
        <f t="shared" si="14"/>
        <v>22.999998147133738</v>
      </c>
      <c r="I128" s="14">
        <f t="shared" si="16"/>
        <v>3956.2501131072031</v>
      </c>
      <c r="J128" s="19">
        <f t="shared" si="17"/>
        <v>805535.59122742468</v>
      </c>
      <c r="K128" s="16">
        <f t="shared" si="15"/>
        <v>0.81195818043466284</v>
      </c>
    </row>
    <row r="129" spans="1:11" x14ac:dyDescent="0.15">
      <c r="A129" s="7">
        <v>39235.582384259258</v>
      </c>
      <c r="B129">
        <v>59</v>
      </c>
      <c r="C129" s="6">
        <f t="shared" si="9"/>
        <v>218.00000004004687</v>
      </c>
      <c r="D129" t="str">
        <f t="shared" si="10"/>
        <v/>
      </c>
      <c r="E129">
        <f t="shared" si="12"/>
        <v>39235.582384259258</v>
      </c>
      <c r="F129" s="4">
        <f t="shared" si="11"/>
        <v>21</v>
      </c>
      <c r="G129" s="4">
        <f t="shared" si="13"/>
        <v>10.5</v>
      </c>
      <c r="H129" s="5">
        <f t="shared" si="14"/>
        <v>21.749998247832991</v>
      </c>
      <c r="I129" s="14">
        <f t="shared" si="16"/>
        <v>3741.2365200035506</v>
      </c>
      <c r="J129" s="19">
        <f t="shared" si="17"/>
        <v>809276.82774742821</v>
      </c>
      <c r="K129" s="16">
        <f t="shared" si="15"/>
        <v>0.81572924608395225</v>
      </c>
    </row>
    <row r="130" spans="1:11" x14ac:dyDescent="0.15">
      <c r="A130" s="7">
        <v>39235.582407407404</v>
      </c>
      <c r="B130">
        <v>59.2</v>
      </c>
      <c r="C130" s="6">
        <f t="shared" si="9"/>
        <v>219.99999987892807</v>
      </c>
      <c r="D130" t="str">
        <f t="shared" si="10"/>
        <v/>
      </c>
      <c r="E130">
        <f t="shared" si="12"/>
        <v>39235.582407407404</v>
      </c>
      <c r="F130" s="4">
        <f t="shared" si="11"/>
        <v>21.200000000000003</v>
      </c>
      <c r="G130" s="4">
        <f t="shared" si="13"/>
        <v>10.600000000000001</v>
      </c>
      <c r="H130" s="5">
        <f t="shared" si="14"/>
        <v>21.099998300196603</v>
      </c>
      <c r="I130" s="14">
        <f t="shared" si="16"/>
        <v>3629.4294515896513</v>
      </c>
      <c r="J130" s="19">
        <f t="shared" si="17"/>
        <v>812906.25719901791</v>
      </c>
      <c r="K130" s="16">
        <f t="shared" si="15"/>
        <v>0.81938761321958486</v>
      </c>
    </row>
    <row r="131" spans="1:11" x14ac:dyDescent="0.15">
      <c r="A131" s="7">
        <v>39235.582430555558</v>
      </c>
      <c r="B131">
        <v>58.3</v>
      </c>
      <c r="C131" s="6">
        <f t="shared" si="9"/>
        <v>222.000000346452</v>
      </c>
      <c r="D131" t="str">
        <f t="shared" si="10"/>
        <v/>
      </c>
      <c r="E131">
        <f t="shared" si="12"/>
        <v>39235.582430555558</v>
      </c>
      <c r="F131" s="4">
        <f t="shared" si="11"/>
        <v>20.299999999999997</v>
      </c>
      <c r="G131" s="4">
        <f t="shared" si="13"/>
        <v>10.149999999999999</v>
      </c>
      <c r="H131" s="5">
        <f t="shared" si="14"/>
        <v>20.750004850560799</v>
      </c>
      <c r="I131" s="14">
        <f t="shared" si="16"/>
        <v>3569.2267674046102</v>
      </c>
      <c r="J131" s="19">
        <f t="shared" si="17"/>
        <v>816475.4839664225</v>
      </c>
      <c r="K131" s="16">
        <f t="shared" si="15"/>
        <v>0.82298529767100015</v>
      </c>
    </row>
    <row r="132" spans="1:11" x14ac:dyDescent="0.15">
      <c r="A132" s="7">
        <v>39235.582453703704</v>
      </c>
      <c r="B132">
        <v>58</v>
      </c>
      <c r="C132" s="6">
        <f t="shared" si="9"/>
        <v>224.00000018533319</v>
      </c>
      <c r="D132" t="str">
        <f t="shared" si="10"/>
        <v/>
      </c>
      <c r="E132">
        <f t="shared" si="12"/>
        <v>39235.582453703704</v>
      </c>
      <c r="F132" s="4">
        <f t="shared" si="11"/>
        <v>20</v>
      </c>
      <c r="G132" s="4">
        <f t="shared" si="13"/>
        <v>10</v>
      </c>
      <c r="H132" s="5">
        <f t="shared" si="14"/>
        <v>20.149998376728036</v>
      </c>
      <c r="I132" s="14">
        <f t="shared" si="16"/>
        <v>3466.0191208308756</v>
      </c>
      <c r="J132" s="19">
        <f t="shared" si="17"/>
        <v>819941.50308725343</v>
      </c>
      <c r="K132" s="16">
        <f t="shared" si="15"/>
        <v>0.8264789515943648</v>
      </c>
    </row>
    <row r="133" spans="1:11" x14ac:dyDescent="0.15">
      <c r="A133" s="7">
        <v>39235.582476851851</v>
      </c>
      <c r="B133">
        <v>57</v>
      </c>
      <c r="C133" s="6">
        <f t="shared" si="9"/>
        <v>226.00000002421439</v>
      </c>
      <c r="D133" t="str">
        <f t="shared" si="10"/>
        <v/>
      </c>
      <c r="E133">
        <f t="shared" si="12"/>
        <v>39235.582476851851</v>
      </c>
      <c r="F133" s="4">
        <f t="shared" si="11"/>
        <v>19</v>
      </c>
      <c r="G133" s="4">
        <f t="shared" si="13"/>
        <v>9.5</v>
      </c>
      <c r="H133" s="5">
        <f t="shared" si="14"/>
        <v>19.499998429091647</v>
      </c>
      <c r="I133" s="14">
        <f t="shared" si="16"/>
        <v>3354.2120524169763</v>
      </c>
      <c r="J133" s="19">
        <f t="shared" si="17"/>
        <v>823295.71513967041</v>
      </c>
      <c r="K133" s="16">
        <f t="shared" si="15"/>
        <v>0.82985990700407264</v>
      </c>
    </row>
    <row r="134" spans="1:11" x14ac:dyDescent="0.15">
      <c r="A134" s="7">
        <v>39235.582499999997</v>
      </c>
      <c r="B134">
        <v>56.9</v>
      </c>
      <c r="C134" s="6">
        <f t="shared" si="9"/>
        <v>227.99999986309558</v>
      </c>
      <c r="D134" t="str">
        <f t="shared" si="10"/>
        <v/>
      </c>
      <c r="E134">
        <f t="shared" si="12"/>
        <v>39235.582499999997</v>
      </c>
      <c r="F134" s="4">
        <f t="shared" si="11"/>
        <v>18.899999999999999</v>
      </c>
      <c r="G134" s="4">
        <f t="shared" si="13"/>
        <v>9.4499999999999993</v>
      </c>
      <c r="H134" s="5">
        <f t="shared" si="14"/>
        <v>18.949998473399319</v>
      </c>
      <c r="I134" s="14">
        <f t="shared" si="16"/>
        <v>3259.6060714513696</v>
      </c>
      <c r="J134" s="19">
        <f t="shared" si="17"/>
        <v>826555.32121112174</v>
      </c>
      <c r="K134" s="16">
        <f t="shared" si="15"/>
        <v>0.83314550213299376</v>
      </c>
    </row>
    <row r="135" spans="1:11" x14ac:dyDescent="0.15">
      <c r="A135" s="7">
        <v>39235.58252314815</v>
      </c>
      <c r="B135">
        <v>56.1</v>
      </c>
      <c r="C135" s="6">
        <f t="shared" si="9"/>
        <v>230.00000033061951</v>
      </c>
      <c r="D135" t="str">
        <f t="shared" si="10"/>
        <v/>
      </c>
      <c r="E135">
        <f t="shared" si="12"/>
        <v>39235.58252314815</v>
      </c>
      <c r="F135" s="4">
        <f t="shared" si="11"/>
        <v>18.100000000000001</v>
      </c>
      <c r="G135" s="4">
        <f t="shared" si="13"/>
        <v>9.0500000000000007</v>
      </c>
      <c r="H135" s="5">
        <f t="shared" si="14"/>
        <v>18.500004324596375</v>
      </c>
      <c r="I135" s="14">
        <f t="shared" si="16"/>
        <v>3182.2021781679655</v>
      </c>
      <c r="J135" s="19">
        <f t="shared" si="17"/>
        <v>829737.52338928974</v>
      </c>
      <c r="K135" s="16">
        <f t="shared" si="15"/>
        <v>0.83635307622220745</v>
      </c>
    </row>
    <row r="136" spans="1:11" x14ac:dyDescent="0.15">
      <c r="A136" s="7">
        <v>39235.582546296297</v>
      </c>
      <c r="B136">
        <v>55.3</v>
      </c>
      <c r="C136" s="6">
        <f t="shared" si="9"/>
        <v>232.00000016950071</v>
      </c>
      <c r="D136" t="str">
        <f t="shared" si="10"/>
        <v/>
      </c>
      <c r="E136">
        <f t="shared" si="12"/>
        <v>39235.582546296297</v>
      </c>
      <c r="F136" s="4">
        <f t="shared" si="11"/>
        <v>17.299999999999997</v>
      </c>
      <c r="G136" s="4">
        <f t="shared" si="13"/>
        <v>8.6499999999999986</v>
      </c>
      <c r="H136" s="5">
        <f t="shared" si="14"/>
        <v>17.699998574098572</v>
      </c>
      <c r="I136" s="14">
        <f t="shared" si="16"/>
        <v>3044.5924783477171</v>
      </c>
      <c r="J136" s="19">
        <f t="shared" si="17"/>
        <v>832782.11586763745</v>
      </c>
      <c r="K136" s="16">
        <f t="shared" si="15"/>
        <v>0.83942194344024978</v>
      </c>
    </row>
    <row r="137" spans="1:11" x14ac:dyDescent="0.15">
      <c r="A137" s="7">
        <v>39235.582569444443</v>
      </c>
      <c r="B137">
        <v>55</v>
      </c>
      <c r="C137" s="6">
        <f t="shared" si="9"/>
        <v>234.0000000083819</v>
      </c>
      <c r="D137" t="str">
        <f t="shared" si="10"/>
        <v/>
      </c>
      <c r="E137">
        <f t="shared" si="12"/>
        <v>39235.582569444443</v>
      </c>
      <c r="F137" s="4">
        <f t="shared" si="11"/>
        <v>17</v>
      </c>
      <c r="G137" s="4">
        <f t="shared" si="13"/>
        <v>8.5</v>
      </c>
      <c r="H137" s="5">
        <f t="shared" si="14"/>
        <v>17.149998618406244</v>
      </c>
      <c r="I137" s="14">
        <f t="shared" si="16"/>
        <v>2949.98649738211</v>
      </c>
      <c r="J137" s="19">
        <f t="shared" si="17"/>
        <v>835732.10236501961</v>
      </c>
      <c r="K137" s="16">
        <f t="shared" si="15"/>
        <v>0.84239545037750574</v>
      </c>
    </row>
    <row r="138" spans="1:11" x14ac:dyDescent="0.15">
      <c r="A138" s="7">
        <v>39235.582592592589</v>
      </c>
      <c r="B138">
        <v>54.9</v>
      </c>
      <c r="C138" s="6">
        <f t="shared" si="9"/>
        <v>235.9999998472631</v>
      </c>
      <c r="D138" t="str">
        <f t="shared" si="10"/>
        <v/>
      </c>
      <c r="E138">
        <f t="shared" si="12"/>
        <v>39235.582592592589</v>
      </c>
      <c r="F138" s="4">
        <f t="shared" si="11"/>
        <v>16.899999999999999</v>
      </c>
      <c r="G138" s="4">
        <f t="shared" si="13"/>
        <v>8.4499999999999993</v>
      </c>
      <c r="H138" s="5">
        <f t="shared" si="14"/>
        <v>16.949998634518124</v>
      </c>
      <c r="I138" s="14">
        <f t="shared" si="16"/>
        <v>2915.5843224855257</v>
      </c>
      <c r="J138" s="19">
        <f t="shared" si="17"/>
        <v>838647.68668750511</v>
      </c>
      <c r="K138" s="16">
        <f t="shared" si="15"/>
        <v>0.84533428084902085</v>
      </c>
    </row>
    <row r="139" spans="1:11" x14ac:dyDescent="0.15">
      <c r="A139" s="7">
        <v>39235.582615740743</v>
      </c>
      <c r="B139">
        <v>54.7</v>
      </c>
      <c r="C139" s="6">
        <f t="shared" si="9"/>
        <v>238.00000031478703</v>
      </c>
      <c r="D139" t="str">
        <f t="shared" si="10"/>
        <v/>
      </c>
      <c r="E139">
        <f t="shared" si="12"/>
        <v>39235.582615740743</v>
      </c>
      <c r="F139" s="4">
        <f t="shared" si="11"/>
        <v>16.700000000000003</v>
      </c>
      <c r="G139" s="4">
        <f t="shared" si="13"/>
        <v>8.3500000000000014</v>
      </c>
      <c r="H139" s="5">
        <f t="shared" si="14"/>
        <v>16.800003927201033</v>
      </c>
      <c r="I139" s="14">
        <f t="shared" si="16"/>
        <v>2889.7835996336121</v>
      </c>
      <c r="J139" s="19">
        <f t="shared" si="17"/>
        <v>841537.47028713871</v>
      </c>
      <c r="K139" s="16">
        <f t="shared" si="15"/>
        <v>0.84824710488679322</v>
      </c>
    </row>
    <row r="140" spans="1:11" x14ac:dyDescent="0.15">
      <c r="A140" s="7">
        <v>39235.582638888889</v>
      </c>
      <c r="B140">
        <v>54.6</v>
      </c>
      <c r="C140" s="6">
        <f t="shared" si="9"/>
        <v>240.00000015366822</v>
      </c>
      <c r="D140" t="str">
        <f t="shared" si="10"/>
        <v/>
      </c>
      <c r="E140">
        <f t="shared" si="12"/>
        <v>39235.582638888889</v>
      </c>
      <c r="F140" s="4">
        <f t="shared" si="11"/>
        <v>16.600000000000001</v>
      </c>
      <c r="G140" s="4">
        <f t="shared" si="13"/>
        <v>8.3000000000000007</v>
      </c>
      <c r="H140" s="5">
        <f t="shared" si="14"/>
        <v>16.649998658685949</v>
      </c>
      <c r="I140" s="14">
        <f t="shared" si="16"/>
        <v>2863.9810601406498</v>
      </c>
      <c r="J140" s="19">
        <f t="shared" si="17"/>
        <v>844401.45134727936</v>
      </c>
      <c r="K140" s="16">
        <f t="shared" si="15"/>
        <v>0.85113392065969762</v>
      </c>
    </row>
    <row r="141" spans="1:11" x14ac:dyDescent="0.15">
      <c r="A141" s="7">
        <v>39235.582662037035</v>
      </c>
      <c r="B141">
        <v>54.4</v>
      </c>
      <c r="C141" s="6">
        <f t="shared" si="9"/>
        <v>241.99999999254942</v>
      </c>
      <c r="D141" t="str">
        <f t="shared" si="10"/>
        <v/>
      </c>
      <c r="E141">
        <f t="shared" si="12"/>
        <v>39235.582662037035</v>
      </c>
      <c r="F141" s="4">
        <f t="shared" si="11"/>
        <v>16.399999999999999</v>
      </c>
      <c r="G141" s="4">
        <f t="shared" si="13"/>
        <v>8.1999999999999993</v>
      </c>
      <c r="H141" s="5">
        <f t="shared" si="14"/>
        <v>16.499998670769855</v>
      </c>
      <c r="I141" s="14">
        <f t="shared" si="16"/>
        <v>2838.1794289682107</v>
      </c>
      <c r="J141" s="19">
        <f t="shared" si="17"/>
        <v>847239.63077624759</v>
      </c>
      <c r="K141" s="16">
        <f t="shared" si="15"/>
        <v>0.85399472908329643</v>
      </c>
    </row>
    <row r="142" spans="1:11" x14ac:dyDescent="0.15">
      <c r="A142" s="7">
        <v>39235.582685185182</v>
      </c>
      <c r="B142">
        <v>53.5</v>
      </c>
      <c r="C142" s="6">
        <f t="shared" si="9"/>
        <v>243.99999983143061</v>
      </c>
      <c r="D142" t="str">
        <f t="shared" si="10"/>
        <v/>
      </c>
      <c r="E142">
        <f t="shared" si="12"/>
        <v>39235.582685185182</v>
      </c>
      <c r="F142" s="4">
        <f t="shared" si="11"/>
        <v>15.5</v>
      </c>
      <c r="G142" s="4">
        <f t="shared" si="13"/>
        <v>7.75</v>
      </c>
      <c r="H142" s="5">
        <f t="shared" si="14"/>
        <v>15.949998715077527</v>
      </c>
      <c r="I142" s="14">
        <f t="shared" si="16"/>
        <v>2743.573448002604</v>
      </c>
      <c r="J142" s="19">
        <f t="shared" si="17"/>
        <v>849983.20422425016</v>
      </c>
      <c r="K142" s="16">
        <f t="shared" si="15"/>
        <v>0.85676017722610864</v>
      </c>
    </row>
    <row r="143" spans="1:11" x14ac:dyDescent="0.15">
      <c r="A143" s="7">
        <v>39235.582708333335</v>
      </c>
      <c r="B143">
        <v>53.4</v>
      </c>
      <c r="C143" s="6">
        <f t="shared" si="9"/>
        <v>246.00000029895455</v>
      </c>
      <c r="D143" t="str">
        <f t="shared" si="10"/>
        <v/>
      </c>
      <c r="E143">
        <f t="shared" si="12"/>
        <v>39235.582708333335</v>
      </c>
      <c r="F143" s="4">
        <f t="shared" si="11"/>
        <v>15.399999999999999</v>
      </c>
      <c r="G143" s="4">
        <f t="shared" si="13"/>
        <v>7.6999999999999993</v>
      </c>
      <c r="H143" s="5">
        <f t="shared" si="14"/>
        <v>15.450003611622378</v>
      </c>
      <c r="I143" s="14">
        <f t="shared" si="16"/>
        <v>2657.5688460916253</v>
      </c>
      <c r="J143" s="19">
        <f t="shared" si="17"/>
        <v>852640.77307034179</v>
      </c>
      <c r="K143" s="16">
        <f t="shared" si="15"/>
        <v>0.8594389350465601</v>
      </c>
    </row>
    <row r="144" spans="1:11" x14ac:dyDescent="0.15">
      <c r="A144" s="7">
        <v>39235.582731481481</v>
      </c>
      <c r="B144">
        <v>52.4</v>
      </c>
      <c r="C144" s="6">
        <f t="shared" si="9"/>
        <v>248.00000013783574</v>
      </c>
      <c r="D144" t="str">
        <f t="shared" si="10"/>
        <v/>
      </c>
      <c r="E144">
        <f t="shared" si="12"/>
        <v>39235.582731481481</v>
      </c>
      <c r="F144" s="4">
        <f t="shared" si="11"/>
        <v>14.399999999999999</v>
      </c>
      <c r="G144" s="4">
        <f t="shared" si="13"/>
        <v>7.1999999999999993</v>
      </c>
      <c r="H144" s="5">
        <f t="shared" si="14"/>
        <v>14.899998799664898</v>
      </c>
      <c r="I144" s="14">
        <f t="shared" si="16"/>
        <v>2562.9620297955357</v>
      </c>
      <c r="J144" s="19">
        <f t="shared" si="17"/>
        <v>855203.7351001373</v>
      </c>
      <c r="K144" s="16">
        <f t="shared" si="15"/>
        <v>0.86202233174423415</v>
      </c>
    </row>
    <row r="145" spans="1:11" x14ac:dyDescent="0.15">
      <c r="A145" s="7">
        <v>39235.582754629628</v>
      </c>
      <c r="B145">
        <v>52.3</v>
      </c>
      <c r="C145" s="6">
        <f t="shared" si="9"/>
        <v>249.99999997671694</v>
      </c>
      <c r="D145" t="str">
        <f t="shared" si="10"/>
        <v/>
      </c>
      <c r="E145">
        <f t="shared" si="12"/>
        <v>39235.582754629628</v>
      </c>
      <c r="F145" s="4">
        <f t="shared" si="11"/>
        <v>14.299999999999997</v>
      </c>
      <c r="G145" s="4">
        <f t="shared" si="13"/>
        <v>7.1499999999999986</v>
      </c>
      <c r="H145" s="5">
        <f t="shared" si="14"/>
        <v>14.349998843972569</v>
      </c>
      <c r="I145" s="14">
        <f t="shared" si="16"/>
        <v>2468.3560488299286</v>
      </c>
      <c r="J145" s="19">
        <f t="shared" si="17"/>
        <v>857672.09114896727</v>
      </c>
      <c r="K145" s="16">
        <f t="shared" si="15"/>
        <v>0.8645103681611217</v>
      </c>
    </row>
    <row r="146" spans="1:11" x14ac:dyDescent="0.15">
      <c r="A146" s="7">
        <v>39235.582777777781</v>
      </c>
      <c r="B146">
        <v>52.1</v>
      </c>
      <c r="C146" s="6">
        <f t="shared" si="9"/>
        <v>252.00000044424087</v>
      </c>
      <c r="D146" t="str">
        <f t="shared" si="10"/>
        <v/>
      </c>
      <c r="E146">
        <f t="shared" si="12"/>
        <v>39235.582777777781</v>
      </c>
      <c r="F146" s="4">
        <f t="shared" si="11"/>
        <v>14.100000000000001</v>
      </c>
      <c r="G146" s="4">
        <f t="shared" si="13"/>
        <v>7.0500000000000007</v>
      </c>
      <c r="H146" s="5">
        <f t="shared" si="14"/>
        <v>14.20000331941992</v>
      </c>
      <c r="I146" s="14">
        <f t="shared" si="16"/>
        <v>2442.5551854046007</v>
      </c>
      <c r="J146" s="19">
        <f t="shared" si="17"/>
        <v>860114.64633437188</v>
      </c>
      <c r="K146" s="16">
        <f t="shared" si="15"/>
        <v>0.8669723980025722</v>
      </c>
    </row>
    <row r="147" spans="1:11" x14ac:dyDescent="0.15">
      <c r="A147" s="7">
        <v>39235.582800925928</v>
      </c>
      <c r="B147">
        <v>51.2</v>
      </c>
      <c r="C147" s="6">
        <f t="shared" si="9"/>
        <v>254.00000028312206</v>
      </c>
      <c r="D147" t="str">
        <f t="shared" si="10"/>
        <v/>
      </c>
      <c r="E147">
        <f t="shared" si="12"/>
        <v>39235.582800925928</v>
      </c>
      <c r="F147" s="4">
        <f t="shared" si="11"/>
        <v>13.200000000000003</v>
      </c>
      <c r="G147" s="4">
        <f t="shared" si="13"/>
        <v>6.6000000000000014</v>
      </c>
      <c r="H147" s="5">
        <f t="shared" si="14"/>
        <v>13.649998900364155</v>
      </c>
      <c r="I147" s="14">
        <f t="shared" si="16"/>
        <v>2347.9484366918837</v>
      </c>
      <c r="J147" s="19">
        <f t="shared" si="17"/>
        <v>862462.59477106377</v>
      </c>
      <c r="K147" s="16">
        <f t="shared" si="15"/>
        <v>0.86933906678936768</v>
      </c>
    </row>
    <row r="148" spans="1:11" x14ac:dyDescent="0.15">
      <c r="A148" s="7">
        <v>39235.582824074074</v>
      </c>
      <c r="B148">
        <v>51.1</v>
      </c>
      <c r="C148" s="6">
        <f t="shared" ref="C148:C211" si="18">(A148-$B$4)*24*60*60</f>
        <v>256.00000012200326</v>
      </c>
      <c r="D148" t="str">
        <f t="shared" ref="D148:D211" si="19">IF(F148=$B$8,A148,"")</f>
        <v/>
      </c>
      <c r="E148">
        <f t="shared" si="12"/>
        <v>39235.582824074074</v>
      </c>
      <c r="F148" s="4">
        <f t="shared" ref="F148:F211" si="20">IF((B148-$B$6)&gt;0,B148-$B$6,0)</f>
        <v>13.100000000000001</v>
      </c>
      <c r="G148" s="4">
        <f t="shared" si="13"/>
        <v>6.5500000000000007</v>
      </c>
      <c r="H148" s="5">
        <f t="shared" si="14"/>
        <v>13.149998940643856</v>
      </c>
      <c r="I148" s="14">
        <f t="shared" si="16"/>
        <v>2261.942999450423</v>
      </c>
      <c r="J148" s="19">
        <f t="shared" si="17"/>
        <v>864724.53777051414</v>
      </c>
      <c r="K148" s="16">
        <f t="shared" si="15"/>
        <v>0.87161904441181159</v>
      </c>
    </row>
    <row r="149" spans="1:11" x14ac:dyDescent="0.15">
      <c r="A149" s="7">
        <v>39235.58284722222</v>
      </c>
      <c r="B149">
        <v>51.2</v>
      </c>
      <c r="C149" s="6">
        <f t="shared" si="18"/>
        <v>257.99999996088445</v>
      </c>
      <c r="D149" t="str">
        <f t="shared" si="19"/>
        <v/>
      </c>
      <c r="E149">
        <f t="shared" ref="E149:E212" si="21">IF(B149-$B$6&gt;0,A149," ")</f>
        <v>39235.58284722222</v>
      </c>
      <c r="F149" s="4">
        <f t="shared" si="20"/>
        <v>13.200000000000003</v>
      </c>
      <c r="G149" s="4">
        <f t="shared" ref="G149:G212" si="22">F149/2</f>
        <v>6.6000000000000014</v>
      </c>
      <c r="H149" s="5">
        <f t="shared" ref="H149:H212" si="23">AVERAGE(G148:G149)*(C149-C148)</f>
        <v>13.149998940643856</v>
      </c>
      <c r="I149" s="14">
        <f t="shared" si="16"/>
        <v>2261.942999450423</v>
      </c>
      <c r="J149" s="19">
        <f t="shared" si="17"/>
        <v>866986.48076996452</v>
      </c>
      <c r="K149" s="16">
        <f t="shared" ref="K149:K212" si="24">J149/($B$12*1000)</f>
        <v>0.87389902203425551</v>
      </c>
    </row>
    <row r="150" spans="1:11" x14ac:dyDescent="0.15">
      <c r="A150" s="7">
        <v>39235.582870370374</v>
      </c>
      <c r="B150">
        <v>50.5</v>
      </c>
      <c r="C150" s="6">
        <f t="shared" si="18"/>
        <v>260.00000042840838</v>
      </c>
      <c r="D150" t="str">
        <f t="shared" si="19"/>
        <v/>
      </c>
      <c r="E150">
        <f t="shared" si="21"/>
        <v>39235.582870370374</v>
      </c>
      <c r="F150" s="4">
        <f t="shared" si="20"/>
        <v>12.5</v>
      </c>
      <c r="G150" s="4">
        <f t="shared" si="22"/>
        <v>6.25</v>
      </c>
      <c r="H150" s="5">
        <f t="shared" si="23"/>
        <v>12.850003003841268</v>
      </c>
      <c r="I150" s="14">
        <f t="shared" ref="I150:I213" si="25">H150*$B$14</f>
        <v>2210.3404318626144</v>
      </c>
      <c r="J150" s="19">
        <f t="shared" ref="J150:J213" si="26">J149+I150</f>
        <v>869196.82120182714</v>
      </c>
      <c r="K150" s="16">
        <f t="shared" si="24"/>
        <v>0.87612698565838498</v>
      </c>
    </row>
    <row r="151" spans="1:11" x14ac:dyDescent="0.15">
      <c r="A151" s="7">
        <v>39235.58289351852</v>
      </c>
      <c r="B151">
        <v>50.4</v>
      </c>
      <c r="C151" s="6">
        <f t="shared" si="18"/>
        <v>262.00000026728958</v>
      </c>
      <c r="D151" t="str">
        <f t="shared" si="19"/>
        <v/>
      </c>
      <c r="E151">
        <f t="shared" si="21"/>
        <v>39235.58289351852</v>
      </c>
      <c r="F151" s="4">
        <f t="shared" si="20"/>
        <v>12.399999999999999</v>
      </c>
      <c r="G151" s="4">
        <f t="shared" si="22"/>
        <v>6.1999999999999993</v>
      </c>
      <c r="H151" s="5">
        <f t="shared" si="23"/>
        <v>12.449998997035436</v>
      </c>
      <c r="I151" s="14">
        <f t="shared" si="25"/>
        <v>2141.5353873123772</v>
      </c>
      <c r="J151" s="19">
        <f t="shared" si="26"/>
        <v>871338.35658913956</v>
      </c>
      <c r="K151" s="16">
        <f t="shared" si="24"/>
        <v>0.87828559565073694</v>
      </c>
    </row>
    <row r="152" spans="1:11" x14ac:dyDescent="0.15">
      <c r="A152" s="7">
        <v>39235.582916666666</v>
      </c>
      <c r="B152">
        <v>50.7</v>
      </c>
      <c r="C152" s="6">
        <f t="shared" si="18"/>
        <v>264.00000010617077</v>
      </c>
      <c r="D152" t="str">
        <f t="shared" si="19"/>
        <v/>
      </c>
      <c r="E152">
        <f t="shared" si="21"/>
        <v>39235.582916666666</v>
      </c>
      <c r="F152" s="4">
        <f t="shared" si="20"/>
        <v>12.700000000000003</v>
      </c>
      <c r="G152" s="4">
        <f t="shared" si="22"/>
        <v>6.3500000000000014</v>
      </c>
      <c r="H152" s="5">
        <f t="shared" si="23"/>
        <v>12.549998988979496</v>
      </c>
      <c r="I152" s="14">
        <f t="shared" si="25"/>
        <v>2158.7364747606694</v>
      </c>
      <c r="J152" s="19">
        <f t="shared" si="26"/>
        <v>873497.09306390025</v>
      </c>
      <c r="K152" s="16">
        <f t="shared" si="24"/>
        <v>0.8804615438759591</v>
      </c>
    </row>
    <row r="153" spans="1:11" x14ac:dyDescent="0.15">
      <c r="A153" s="7">
        <v>39235.582939814813</v>
      </c>
      <c r="B153">
        <v>50</v>
      </c>
      <c r="C153" s="6">
        <f t="shared" si="18"/>
        <v>265.99999994505197</v>
      </c>
      <c r="D153" t="str">
        <f t="shared" si="19"/>
        <v/>
      </c>
      <c r="E153">
        <f t="shared" si="21"/>
        <v>39235.582939814813</v>
      </c>
      <c r="F153" s="4">
        <f t="shared" si="20"/>
        <v>12</v>
      </c>
      <c r="G153" s="4">
        <f t="shared" si="22"/>
        <v>6</v>
      </c>
      <c r="H153" s="5">
        <f t="shared" si="23"/>
        <v>12.349999005091378</v>
      </c>
      <c r="I153" s="14">
        <f t="shared" si="25"/>
        <v>2124.3342998640856</v>
      </c>
      <c r="J153" s="19">
        <f t="shared" si="26"/>
        <v>875621.42736376438</v>
      </c>
      <c r="K153" s="16">
        <f t="shared" si="24"/>
        <v>0.88260281563544074</v>
      </c>
    </row>
    <row r="154" spans="1:11" x14ac:dyDescent="0.15">
      <c r="A154" s="7">
        <v>39235.582962962966</v>
      </c>
      <c r="B154">
        <v>49.8</v>
      </c>
      <c r="C154" s="6">
        <f t="shared" si="18"/>
        <v>268.0000004125759</v>
      </c>
      <c r="D154" t="str">
        <f t="shared" si="19"/>
        <v/>
      </c>
      <c r="E154">
        <f t="shared" si="21"/>
        <v>39235.582962962966</v>
      </c>
      <c r="F154" s="4">
        <f t="shared" si="20"/>
        <v>11.799999999999997</v>
      </c>
      <c r="G154" s="4">
        <f t="shared" si="22"/>
        <v>5.8999999999999986</v>
      </c>
      <c r="H154" s="5">
        <f t="shared" si="23"/>
        <v>11.900002781767396</v>
      </c>
      <c r="I154" s="14">
        <f t="shared" si="25"/>
        <v>2046.9300497404749</v>
      </c>
      <c r="J154" s="19">
        <f t="shared" si="26"/>
        <v>877668.35741350485</v>
      </c>
      <c r="K154" s="16">
        <f t="shared" si="24"/>
        <v>0.88466606599552944</v>
      </c>
    </row>
    <row r="155" spans="1:11" x14ac:dyDescent="0.15">
      <c r="A155" s="7">
        <v>39235.582986111112</v>
      </c>
      <c r="B155">
        <v>49.7</v>
      </c>
      <c r="C155" s="6">
        <f t="shared" si="18"/>
        <v>270.0000002514571</v>
      </c>
      <c r="D155" t="str">
        <f t="shared" si="19"/>
        <v/>
      </c>
      <c r="E155">
        <f t="shared" si="21"/>
        <v>39235.582986111112</v>
      </c>
      <c r="F155" s="4">
        <f t="shared" si="20"/>
        <v>11.700000000000003</v>
      </c>
      <c r="G155" s="4">
        <f t="shared" si="22"/>
        <v>5.8500000000000014</v>
      </c>
      <c r="H155" s="5">
        <f t="shared" si="23"/>
        <v>11.749999053427018</v>
      </c>
      <c r="I155" s="14">
        <f t="shared" si="25"/>
        <v>2021.1277751743319</v>
      </c>
      <c r="J155" s="19">
        <f t="shared" si="26"/>
        <v>879689.48518867919</v>
      </c>
      <c r="K155" s="16">
        <f t="shared" si="24"/>
        <v>0.88670330835778932</v>
      </c>
    </row>
    <row r="156" spans="1:11" x14ac:dyDescent="0.15">
      <c r="A156" s="7">
        <v>39235.583009259259</v>
      </c>
      <c r="B156">
        <v>48.8</v>
      </c>
      <c r="C156" s="6">
        <f t="shared" si="18"/>
        <v>272.00000009033829</v>
      </c>
      <c r="D156" t="str">
        <f t="shared" si="19"/>
        <v/>
      </c>
      <c r="E156">
        <f t="shared" si="21"/>
        <v>39235.583009259259</v>
      </c>
      <c r="F156" s="4">
        <f t="shared" si="20"/>
        <v>10.799999999999997</v>
      </c>
      <c r="G156" s="4">
        <f t="shared" si="22"/>
        <v>5.3999999999999986</v>
      </c>
      <c r="H156" s="5">
        <f t="shared" si="23"/>
        <v>11.24999909370672</v>
      </c>
      <c r="I156" s="14">
        <f t="shared" si="25"/>
        <v>1935.122337932871</v>
      </c>
      <c r="J156" s="19">
        <f t="shared" si="26"/>
        <v>881624.607526612</v>
      </c>
      <c r="K156" s="16">
        <f t="shared" si="24"/>
        <v>0.88865385955569753</v>
      </c>
    </row>
    <row r="157" spans="1:11" x14ac:dyDescent="0.15">
      <c r="A157" s="7">
        <v>39235.583032407405</v>
      </c>
      <c r="B157">
        <v>49.2</v>
      </c>
      <c r="C157" s="6">
        <f t="shared" si="18"/>
        <v>273.99999992921948</v>
      </c>
      <c r="D157" t="str">
        <f t="shared" si="19"/>
        <v/>
      </c>
      <c r="E157">
        <f t="shared" si="21"/>
        <v>39235.583032407405</v>
      </c>
      <c r="F157" s="4">
        <f t="shared" si="20"/>
        <v>11.200000000000003</v>
      </c>
      <c r="G157" s="4">
        <f t="shared" si="22"/>
        <v>5.6000000000000014</v>
      </c>
      <c r="H157" s="5">
        <f t="shared" si="23"/>
        <v>10.99999911384657</v>
      </c>
      <c r="I157" s="14">
        <f t="shared" si="25"/>
        <v>1892.1196193121407</v>
      </c>
      <c r="J157" s="19">
        <f t="shared" si="26"/>
        <v>883516.72714592412</v>
      </c>
      <c r="K157" s="16">
        <f t="shared" si="24"/>
        <v>0.89056106517143008</v>
      </c>
    </row>
    <row r="158" spans="1:11" x14ac:dyDescent="0.15">
      <c r="A158" s="7">
        <v>39235.583055555559</v>
      </c>
      <c r="B158">
        <v>48.7</v>
      </c>
      <c r="C158" s="6">
        <f t="shared" si="18"/>
        <v>276.00000039674342</v>
      </c>
      <c r="D158" t="str">
        <f t="shared" si="19"/>
        <v/>
      </c>
      <c r="E158">
        <f t="shared" si="21"/>
        <v>39235.583055555559</v>
      </c>
      <c r="F158" s="4">
        <f t="shared" si="20"/>
        <v>10.700000000000003</v>
      </c>
      <c r="G158" s="4">
        <f t="shared" si="22"/>
        <v>5.3500000000000014</v>
      </c>
      <c r="H158" s="5">
        <f t="shared" si="23"/>
        <v>10.950002559693534</v>
      </c>
      <c r="I158" s="14">
        <f t="shared" si="25"/>
        <v>1883.5196676183371</v>
      </c>
      <c r="J158" s="19">
        <f t="shared" si="26"/>
        <v>885400.24681354244</v>
      </c>
      <c r="K158" s="16">
        <f t="shared" si="24"/>
        <v>0.89245960226747822</v>
      </c>
    </row>
    <row r="159" spans="1:11" x14ac:dyDescent="0.15">
      <c r="A159" s="7">
        <v>39235.583078703705</v>
      </c>
      <c r="B159">
        <v>48.7</v>
      </c>
      <c r="C159" s="6">
        <f t="shared" si="18"/>
        <v>278.00000023562461</v>
      </c>
      <c r="D159" t="str">
        <f t="shared" si="19"/>
        <v/>
      </c>
      <c r="E159">
        <f t="shared" si="21"/>
        <v>39235.583078703705</v>
      </c>
      <c r="F159" s="4">
        <f t="shared" si="20"/>
        <v>10.700000000000003</v>
      </c>
      <c r="G159" s="4">
        <f t="shared" si="22"/>
        <v>5.3500000000000014</v>
      </c>
      <c r="H159" s="5">
        <f t="shared" si="23"/>
        <v>10.699999138014395</v>
      </c>
      <c r="I159" s="14">
        <f t="shared" si="25"/>
        <v>1840.5163569672645</v>
      </c>
      <c r="J159" s="19">
        <f t="shared" si="26"/>
        <v>887240.76317050972</v>
      </c>
      <c r="K159" s="16">
        <f t="shared" si="24"/>
        <v>0.89431479318459994</v>
      </c>
    </row>
    <row r="160" spans="1:11" x14ac:dyDescent="0.15">
      <c r="A160" s="7">
        <v>39235.583101851851</v>
      </c>
      <c r="B160">
        <v>48.4</v>
      </c>
      <c r="C160" s="6">
        <f t="shared" si="18"/>
        <v>280.00000007450581</v>
      </c>
      <c r="D160" t="str">
        <f t="shared" si="19"/>
        <v/>
      </c>
      <c r="E160">
        <f t="shared" si="21"/>
        <v>39235.583101851851</v>
      </c>
      <c r="F160" s="4">
        <f t="shared" si="20"/>
        <v>10.399999999999999</v>
      </c>
      <c r="G160" s="4">
        <f t="shared" si="22"/>
        <v>5.1999999999999993</v>
      </c>
      <c r="H160" s="5">
        <f t="shared" si="23"/>
        <v>10.549999150098301</v>
      </c>
      <c r="I160" s="14">
        <f t="shared" si="25"/>
        <v>1814.7147257948257</v>
      </c>
      <c r="J160" s="19">
        <f t="shared" si="26"/>
        <v>889055.47789630457</v>
      </c>
      <c r="K160" s="16">
        <f t="shared" si="24"/>
        <v>0.89614397675241619</v>
      </c>
    </row>
    <row r="161" spans="1:11" x14ac:dyDescent="0.15">
      <c r="A161" s="7">
        <v>39235.583124999997</v>
      </c>
      <c r="B161">
        <v>48.1</v>
      </c>
      <c r="C161" s="6">
        <f t="shared" si="18"/>
        <v>281.999999913387</v>
      </c>
      <c r="D161" t="str">
        <f t="shared" si="19"/>
        <v/>
      </c>
      <c r="E161">
        <f t="shared" si="21"/>
        <v>39235.583124999997</v>
      </c>
      <c r="F161" s="4">
        <f t="shared" si="20"/>
        <v>10.100000000000001</v>
      </c>
      <c r="G161" s="4">
        <f t="shared" si="22"/>
        <v>5.0500000000000007</v>
      </c>
      <c r="H161" s="5">
        <f t="shared" si="23"/>
        <v>10.249999174266122</v>
      </c>
      <c r="I161" s="14">
        <f t="shared" si="25"/>
        <v>1763.1114634499493</v>
      </c>
      <c r="J161" s="19">
        <f t="shared" si="26"/>
        <v>890818.58935975446</v>
      </c>
      <c r="K161" s="16">
        <f t="shared" si="24"/>
        <v>0.89792114562162151</v>
      </c>
    </row>
    <row r="162" spans="1:11" x14ac:dyDescent="0.15">
      <c r="A162" s="7">
        <v>39235.583148148151</v>
      </c>
      <c r="B162">
        <v>47.8</v>
      </c>
      <c r="C162" s="6">
        <f t="shared" si="18"/>
        <v>284.00000038091093</v>
      </c>
      <c r="D162" t="str">
        <f t="shared" si="19"/>
        <v/>
      </c>
      <c r="E162">
        <f t="shared" si="21"/>
        <v>39235.583148148151</v>
      </c>
      <c r="F162" s="4">
        <f t="shared" si="20"/>
        <v>9.7999999999999972</v>
      </c>
      <c r="G162" s="4">
        <f t="shared" si="22"/>
        <v>4.8999999999999986</v>
      </c>
      <c r="H162" s="5">
        <f t="shared" si="23"/>
        <v>9.950002325931564</v>
      </c>
      <c r="I162" s="14">
        <f t="shared" si="25"/>
        <v>1711.5087390687167</v>
      </c>
      <c r="J162" s="19">
        <f t="shared" si="26"/>
        <v>892530.09809882322</v>
      </c>
      <c r="K162" s="16">
        <f t="shared" si="24"/>
        <v>0.89964630033446891</v>
      </c>
    </row>
    <row r="163" spans="1:11" x14ac:dyDescent="0.15">
      <c r="A163" s="7">
        <v>39235.583171296297</v>
      </c>
      <c r="B163">
        <v>47.6</v>
      </c>
      <c r="C163" s="6">
        <f t="shared" si="18"/>
        <v>286.00000021979213</v>
      </c>
      <c r="D163" t="str">
        <f t="shared" si="19"/>
        <v/>
      </c>
      <c r="E163">
        <f t="shared" si="21"/>
        <v>39235.583171296297</v>
      </c>
      <c r="F163" s="4">
        <f t="shared" si="20"/>
        <v>9.6000000000000014</v>
      </c>
      <c r="G163" s="4">
        <f t="shared" si="22"/>
        <v>4.8000000000000007</v>
      </c>
      <c r="H163" s="5">
        <f t="shared" si="23"/>
        <v>9.6999992185737938</v>
      </c>
      <c r="I163" s="14">
        <f t="shared" si="25"/>
        <v>1668.5054824843421</v>
      </c>
      <c r="J163" s="19">
        <f t="shared" si="26"/>
        <v>894198.60358130757</v>
      </c>
      <c r="K163" s="16">
        <f t="shared" si="24"/>
        <v>0.90132810892288762</v>
      </c>
    </row>
    <row r="164" spans="1:11" x14ac:dyDescent="0.15">
      <c r="A164" s="7">
        <v>39235.583194444444</v>
      </c>
      <c r="B164">
        <v>47.5</v>
      </c>
      <c r="C164" s="6">
        <f t="shared" si="18"/>
        <v>288.00000005867332</v>
      </c>
      <c r="D164" t="str">
        <f t="shared" si="19"/>
        <v/>
      </c>
      <c r="E164">
        <f t="shared" si="21"/>
        <v>39235.583194444444</v>
      </c>
      <c r="F164" s="4">
        <f t="shared" si="20"/>
        <v>9.5</v>
      </c>
      <c r="G164" s="4">
        <f t="shared" si="22"/>
        <v>4.75</v>
      </c>
      <c r="H164" s="5">
        <f t="shared" si="23"/>
        <v>9.5499992306577042</v>
      </c>
      <c r="I164" s="14">
        <f t="shared" si="25"/>
        <v>1642.7038513119039</v>
      </c>
      <c r="J164" s="19">
        <f t="shared" si="26"/>
        <v>895841.30743261951</v>
      </c>
      <c r="K164" s="16">
        <f t="shared" si="24"/>
        <v>0.90298391016200097</v>
      </c>
    </row>
    <row r="165" spans="1:11" x14ac:dyDescent="0.15">
      <c r="A165" s="7">
        <v>39235.58321759259</v>
      </c>
      <c r="B165">
        <v>46.9</v>
      </c>
      <c r="C165" s="6">
        <f t="shared" si="18"/>
        <v>289.99999989755452</v>
      </c>
      <c r="D165" t="str">
        <f t="shared" si="19"/>
        <v/>
      </c>
      <c r="E165">
        <f t="shared" si="21"/>
        <v>39235.58321759259</v>
      </c>
      <c r="F165" s="4">
        <f t="shared" si="20"/>
        <v>8.8999999999999986</v>
      </c>
      <c r="G165" s="4">
        <f t="shared" si="22"/>
        <v>4.4499999999999993</v>
      </c>
      <c r="H165" s="5">
        <f t="shared" si="23"/>
        <v>9.1999992588534951</v>
      </c>
      <c r="I165" s="14">
        <f t="shared" si="25"/>
        <v>1582.5000452428812</v>
      </c>
      <c r="J165" s="19">
        <f t="shared" si="26"/>
        <v>897423.80747786234</v>
      </c>
      <c r="K165" s="16">
        <f t="shared" si="24"/>
        <v>0.90457902758606812</v>
      </c>
    </row>
    <row r="166" spans="1:11" x14ac:dyDescent="0.15">
      <c r="A166" s="7">
        <v>39235.583240740743</v>
      </c>
      <c r="B166">
        <v>47.2</v>
      </c>
      <c r="C166" s="6">
        <f t="shared" si="18"/>
        <v>292.00000036507845</v>
      </c>
      <c r="D166" t="str">
        <f t="shared" si="19"/>
        <v/>
      </c>
      <c r="E166">
        <f t="shared" si="21"/>
        <v>39235.583240740743</v>
      </c>
      <c r="F166" s="4">
        <f t="shared" si="20"/>
        <v>9.2000000000000028</v>
      </c>
      <c r="G166" s="4">
        <f t="shared" si="22"/>
        <v>4.6000000000000014</v>
      </c>
      <c r="H166" s="5">
        <f t="shared" si="23"/>
        <v>9.0500021155457944</v>
      </c>
      <c r="I166" s="14">
        <f t="shared" si="25"/>
        <v>1556.6989033740588</v>
      </c>
      <c r="J166" s="19">
        <f t="shared" si="26"/>
        <v>898980.50638123637</v>
      </c>
      <c r="K166" s="16">
        <f t="shared" si="24"/>
        <v>0.90614813815403483</v>
      </c>
    </row>
    <row r="167" spans="1:11" x14ac:dyDescent="0.15">
      <c r="A167" s="7">
        <v>39235.58326388889</v>
      </c>
      <c r="B167">
        <v>47.1</v>
      </c>
      <c r="C167" s="6">
        <f t="shared" si="18"/>
        <v>294.00000020395964</v>
      </c>
      <c r="D167" t="str">
        <f t="shared" si="19"/>
        <v/>
      </c>
      <c r="E167">
        <f t="shared" si="21"/>
        <v>39235.58326388889</v>
      </c>
      <c r="F167" s="4">
        <f t="shared" si="20"/>
        <v>9.1000000000000014</v>
      </c>
      <c r="G167" s="4">
        <f t="shared" si="22"/>
        <v>4.5500000000000007</v>
      </c>
      <c r="H167" s="5">
        <f t="shared" si="23"/>
        <v>9.149999262881467</v>
      </c>
      <c r="I167" s="14">
        <f t="shared" si="25"/>
        <v>1573.8995015187354</v>
      </c>
      <c r="J167" s="19">
        <f t="shared" si="26"/>
        <v>900554.40588275506</v>
      </c>
      <c r="K167" s="16">
        <f t="shared" si="24"/>
        <v>0.90773458646166683</v>
      </c>
    </row>
    <row r="168" spans="1:11" x14ac:dyDescent="0.15">
      <c r="A168" s="7">
        <v>39235.583287037036</v>
      </c>
      <c r="B168">
        <v>46.8</v>
      </c>
      <c r="C168" s="6">
        <f t="shared" si="18"/>
        <v>296.00000004284084</v>
      </c>
      <c r="D168" t="str">
        <f t="shared" si="19"/>
        <v/>
      </c>
      <c r="E168">
        <f t="shared" si="21"/>
        <v>39235.583287037036</v>
      </c>
      <c r="F168" s="4">
        <f t="shared" si="20"/>
        <v>8.7999999999999972</v>
      </c>
      <c r="G168" s="4">
        <f t="shared" si="22"/>
        <v>4.3999999999999986</v>
      </c>
      <c r="H168" s="5">
        <f t="shared" si="23"/>
        <v>8.9499992789933458</v>
      </c>
      <c r="I168" s="14">
        <f t="shared" si="25"/>
        <v>1539.4973266221507</v>
      </c>
      <c r="J168" s="19">
        <f t="shared" si="26"/>
        <v>902093.9032093772</v>
      </c>
      <c r="K168" s="16">
        <f t="shared" si="24"/>
        <v>0.90928635830355831</v>
      </c>
    </row>
    <row r="169" spans="1:11" x14ac:dyDescent="0.15">
      <c r="A169" s="7">
        <v>39235.583310185182</v>
      </c>
      <c r="B169">
        <v>46.5</v>
      </c>
      <c r="C169" s="6">
        <f t="shared" si="18"/>
        <v>297.99999988172203</v>
      </c>
      <c r="D169" t="str">
        <f t="shared" si="19"/>
        <v/>
      </c>
      <c r="E169">
        <f t="shared" si="21"/>
        <v>39235.583310185182</v>
      </c>
      <c r="F169" s="4">
        <f t="shared" si="20"/>
        <v>8.5</v>
      </c>
      <c r="G169" s="4">
        <f t="shared" si="22"/>
        <v>4.25</v>
      </c>
      <c r="H169" s="5">
        <f t="shared" si="23"/>
        <v>8.6499993031611648</v>
      </c>
      <c r="I169" s="14">
        <f t="shared" si="25"/>
        <v>1487.8940642772739</v>
      </c>
      <c r="J169" s="19">
        <f t="shared" si="26"/>
        <v>903581.79727365449</v>
      </c>
      <c r="K169" s="16">
        <f t="shared" si="24"/>
        <v>0.91078611544683896</v>
      </c>
    </row>
    <row r="170" spans="1:11" x14ac:dyDescent="0.15">
      <c r="A170" s="7">
        <v>39235.583333333336</v>
      </c>
      <c r="B170">
        <v>46.1</v>
      </c>
      <c r="C170" s="6">
        <f t="shared" si="18"/>
        <v>300.00000034924597</v>
      </c>
      <c r="D170" t="str">
        <f t="shared" si="19"/>
        <v/>
      </c>
      <c r="E170">
        <f t="shared" si="21"/>
        <v>39235.583333333336</v>
      </c>
      <c r="F170" s="4">
        <f t="shared" si="20"/>
        <v>8.1000000000000014</v>
      </c>
      <c r="G170" s="4">
        <f t="shared" si="22"/>
        <v>4.0500000000000007</v>
      </c>
      <c r="H170" s="5">
        <f t="shared" si="23"/>
        <v>8.3000019402243197</v>
      </c>
      <c r="I170" s="14">
        <f t="shared" si="25"/>
        <v>1427.6907069618439</v>
      </c>
      <c r="J170" s="19">
        <f t="shared" si="26"/>
        <v>905009.48798061628</v>
      </c>
      <c r="K170" s="16">
        <f t="shared" si="24"/>
        <v>0.91222518922740503</v>
      </c>
    </row>
    <row r="171" spans="1:11" x14ac:dyDescent="0.15">
      <c r="A171" s="7">
        <v>39235.583356481482</v>
      </c>
      <c r="B171">
        <v>46.1</v>
      </c>
      <c r="C171" s="6">
        <f t="shared" si="18"/>
        <v>302.00000018812716</v>
      </c>
      <c r="D171" t="str">
        <f t="shared" si="19"/>
        <v/>
      </c>
      <c r="E171">
        <f t="shared" si="21"/>
        <v>39235.583356481482</v>
      </c>
      <c r="F171" s="4">
        <f t="shared" si="20"/>
        <v>8.1000000000000014</v>
      </c>
      <c r="G171" s="4">
        <f t="shared" si="22"/>
        <v>4.0500000000000007</v>
      </c>
      <c r="H171" s="5">
        <f t="shared" si="23"/>
        <v>8.0999993474688399</v>
      </c>
      <c r="I171" s="14">
        <f t="shared" si="25"/>
        <v>1393.2880833116674</v>
      </c>
      <c r="J171" s="19">
        <f t="shared" si="26"/>
        <v>906402.77606392791</v>
      </c>
      <c r="K171" s="16">
        <f t="shared" si="24"/>
        <v>0.91362958608989897</v>
      </c>
    </row>
    <row r="172" spans="1:11" x14ac:dyDescent="0.15">
      <c r="A172" s="7">
        <v>39235.583379629628</v>
      </c>
      <c r="B172">
        <v>46.1</v>
      </c>
      <c r="C172" s="6">
        <f t="shared" si="18"/>
        <v>304.00000002700835</v>
      </c>
      <c r="D172" t="str">
        <f t="shared" si="19"/>
        <v/>
      </c>
      <c r="E172">
        <f t="shared" si="21"/>
        <v>39235.583379629628</v>
      </c>
      <c r="F172" s="4">
        <f t="shared" si="20"/>
        <v>8.1000000000000014</v>
      </c>
      <c r="G172" s="4">
        <f t="shared" si="22"/>
        <v>4.0500000000000007</v>
      </c>
      <c r="H172" s="5">
        <f t="shared" si="23"/>
        <v>8.0999993474688399</v>
      </c>
      <c r="I172" s="14">
        <f t="shared" si="25"/>
        <v>1393.2880833116674</v>
      </c>
      <c r="J172" s="19">
        <f t="shared" si="26"/>
        <v>907796.06414723955</v>
      </c>
      <c r="K172" s="16">
        <f t="shared" si="24"/>
        <v>0.91503398295239302</v>
      </c>
    </row>
    <row r="173" spans="1:11" x14ac:dyDescent="0.15">
      <c r="A173" s="7">
        <v>39235.583402777775</v>
      </c>
      <c r="B173">
        <v>45.6</v>
      </c>
      <c r="C173" s="6">
        <f t="shared" si="18"/>
        <v>305.99999986588955</v>
      </c>
      <c r="D173" t="str">
        <f t="shared" si="19"/>
        <v/>
      </c>
      <c r="E173">
        <f t="shared" si="21"/>
        <v>39235.583402777775</v>
      </c>
      <c r="F173" s="4">
        <f t="shared" si="20"/>
        <v>7.6000000000000014</v>
      </c>
      <c r="G173" s="4">
        <f t="shared" si="22"/>
        <v>3.8000000000000007</v>
      </c>
      <c r="H173" s="5">
        <f t="shared" si="23"/>
        <v>7.8499993676086905</v>
      </c>
      <c r="I173" s="14">
        <f t="shared" si="25"/>
        <v>1350.2853646909371</v>
      </c>
      <c r="J173" s="19">
        <f t="shared" si="26"/>
        <v>909146.34951193049</v>
      </c>
      <c r="K173" s="16">
        <f t="shared" si="24"/>
        <v>0.91639503423271118</v>
      </c>
    </row>
    <row r="174" spans="1:11" x14ac:dyDescent="0.15">
      <c r="A174" s="7">
        <v>39235.583425925928</v>
      </c>
      <c r="B174">
        <v>45.5</v>
      </c>
      <c r="C174" s="6">
        <f t="shared" si="18"/>
        <v>308.00000033341348</v>
      </c>
      <c r="D174" t="str">
        <f t="shared" si="19"/>
        <v/>
      </c>
      <c r="E174">
        <f t="shared" si="21"/>
        <v>39235.583425925928</v>
      </c>
      <c r="F174" s="4">
        <f t="shared" si="20"/>
        <v>7.5</v>
      </c>
      <c r="G174" s="4">
        <f t="shared" si="22"/>
        <v>3.75</v>
      </c>
      <c r="H174" s="5">
        <f t="shared" si="23"/>
        <v>7.5500017649028459</v>
      </c>
      <c r="I174" s="14">
        <f t="shared" si="25"/>
        <v>1298.6825105496293</v>
      </c>
      <c r="J174" s="19">
        <f t="shared" si="26"/>
        <v>910445.03202248015</v>
      </c>
      <c r="K174" s="16">
        <f t="shared" si="24"/>
        <v>0.91770407122587683</v>
      </c>
    </row>
    <row r="175" spans="1:11" x14ac:dyDescent="0.15">
      <c r="A175" s="7">
        <v>39235.583449074074</v>
      </c>
      <c r="B175">
        <v>45.3</v>
      </c>
      <c r="C175" s="6">
        <f t="shared" si="18"/>
        <v>310.00000017229468</v>
      </c>
      <c r="D175" t="str">
        <f t="shared" si="19"/>
        <v/>
      </c>
      <c r="E175">
        <f t="shared" si="21"/>
        <v>39235.583449074074</v>
      </c>
      <c r="F175" s="4">
        <f t="shared" si="20"/>
        <v>7.2999999999999972</v>
      </c>
      <c r="G175" s="4">
        <f t="shared" si="22"/>
        <v>3.6499999999999986</v>
      </c>
      <c r="H175" s="5">
        <f t="shared" si="23"/>
        <v>7.3999994038604182</v>
      </c>
      <c r="I175" s="14">
        <f t="shared" si="25"/>
        <v>1272.8804711736216</v>
      </c>
      <c r="J175" s="19">
        <f t="shared" si="26"/>
        <v>911717.91249365383</v>
      </c>
      <c r="K175" s="16">
        <f t="shared" si="24"/>
        <v>0.9189871004582788</v>
      </c>
    </row>
    <row r="176" spans="1:11" x14ac:dyDescent="0.15">
      <c r="A176" s="7">
        <v>39235.583472222221</v>
      </c>
      <c r="B176">
        <v>45.2</v>
      </c>
      <c r="C176" s="6">
        <f t="shared" si="18"/>
        <v>312.00000001117587</v>
      </c>
      <c r="D176" t="str">
        <f t="shared" si="19"/>
        <v/>
      </c>
      <c r="E176">
        <f t="shared" si="21"/>
        <v>39235.583472222221</v>
      </c>
      <c r="F176" s="4">
        <f t="shared" si="20"/>
        <v>7.2000000000000028</v>
      </c>
      <c r="G176" s="4">
        <f t="shared" si="22"/>
        <v>3.6000000000000014</v>
      </c>
      <c r="H176" s="5">
        <f t="shared" si="23"/>
        <v>7.2499994159443304</v>
      </c>
      <c r="I176" s="14">
        <f t="shared" si="25"/>
        <v>1247.0788400011836</v>
      </c>
      <c r="J176" s="19">
        <f t="shared" si="26"/>
        <v>912964.99133365497</v>
      </c>
      <c r="K176" s="16">
        <f t="shared" si="24"/>
        <v>0.9202441223413752</v>
      </c>
    </row>
    <row r="177" spans="1:11" x14ac:dyDescent="0.15">
      <c r="A177" s="7">
        <v>39235.583495370367</v>
      </c>
      <c r="B177">
        <v>44.8</v>
      </c>
      <c r="C177" s="6">
        <f t="shared" si="18"/>
        <v>313.99999985005707</v>
      </c>
      <c r="D177" t="str">
        <f t="shared" si="19"/>
        <v/>
      </c>
      <c r="E177">
        <f t="shared" si="21"/>
        <v>39235.583495370367</v>
      </c>
      <c r="F177" s="4">
        <f t="shared" si="20"/>
        <v>6.7999999999999972</v>
      </c>
      <c r="G177" s="4">
        <f t="shared" si="22"/>
        <v>3.3999999999999986</v>
      </c>
      <c r="H177" s="5">
        <f t="shared" si="23"/>
        <v>6.9999994360841811</v>
      </c>
      <c r="I177" s="14">
        <f t="shared" si="25"/>
        <v>1204.0761213804531</v>
      </c>
      <c r="J177" s="19">
        <f t="shared" si="26"/>
        <v>914169.0674550354</v>
      </c>
      <c r="K177" s="16">
        <f t="shared" si="24"/>
        <v>0.92145779864229593</v>
      </c>
    </row>
    <row r="178" spans="1:11" x14ac:dyDescent="0.15">
      <c r="A178" s="7">
        <v>39235.583518518521</v>
      </c>
      <c r="B178">
        <v>44.9</v>
      </c>
      <c r="C178" s="6">
        <f t="shared" si="18"/>
        <v>316.000000317581</v>
      </c>
      <c r="D178" t="str">
        <f t="shared" si="19"/>
        <v/>
      </c>
      <c r="E178">
        <f t="shared" si="21"/>
        <v>39235.583518518521</v>
      </c>
      <c r="F178" s="4">
        <f t="shared" si="20"/>
        <v>6.8999999999999986</v>
      </c>
      <c r="G178" s="4">
        <f t="shared" si="22"/>
        <v>3.4499999999999993</v>
      </c>
      <c r="H178" s="5">
        <f t="shared" si="23"/>
        <v>6.8500016012694669</v>
      </c>
      <c r="I178" s="14">
        <f t="shared" si="25"/>
        <v>1178.2748605648951</v>
      </c>
      <c r="J178" s="19">
        <f t="shared" si="26"/>
        <v>915347.34231560025</v>
      </c>
      <c r="K178" s="16">
        <f t="shared" si="24"/>
        <v>0.92264546796722102</v>
      </c>
    </row>
    <row r="179" spans="1:11" x14ac:dyDescent="0.15">
      <c r="A179" s="7">
        <v>39235.583541666667</v>
      </c>
      <c r="B179">
        <v>44.9</v>
      </c>
      <c r="C179" s="6">
        <f t="shared" si="18"/>
        <v>318.00000015646219</v>
      </c>
      <c r="D179" t="str">
        <f t="shared" si="19"/>
        <v/>
      </c>
      <c r="E179">
        <f t="shared" si="21"/>
        <v>39235.583541666667</v>
      </c>
      <c r="F179" s="4">
        <f t="shared" si="20"/>
        <v>6.8999999999999986</v>
      </c>
      <c r="G179" s="4">
        <f t="shared" si="22"/>
        <v>3.4499999999999993</v>
      </c>
      <c r="H179" s="5">
        <f t="shared" si="23"/>
        <v>6.8999994441401196</v>
      </c>
      <c r="I179" s="14">
        <f t="shared" si="25"/>
        <v>1186.8750339321607</v>
      </c>
      <c r="J179" s="19">
        <f t="shared" si="26"/>
        <v>916534.21734953241</v>
      </c>
      <c r="K179" s="16">
        <f t="shared" si="24"/>
        <v>0.92384180603527144</v>
      </c>
    </row>
    <row r="180" spans="1:11" x14ac:dyDescent="0.15">
      <c r="A180" s="7">
        <v>39235.583564814813</v>
      </c>
      <c r="B180">
        <v>44.8</v>
      </c>
      <c r="C180" s="6">
        <f t="shared" si="18"/>
        <v>319.99999999534339</v>
      </c>
      <c r="D180" t="str">
        <f t="shared" si="19"/>
        <v/>
      </c>
      <c r="E180">
        <f t="shared" si="21"/>
        <v>39235.583564814813</v>
      </c>
      <c r="F180" s="4">
        <f t="shared" si="20"/>
        <v>6.7999999999999972</v>
      </c>
      <c r="G180" s="4">
        <f t="shared" si="22"/>
        <v>3.3999999999999986</v>
      </c>
      <c r="H180" s="5">
        <f t="shared" si="23"/>
        <v>6.8499994481680897</v>
      </c>
      <c r="I180" s="14">
        <f t="shared" si="25"/>
        <v>1178.2744902080144</v>
      </c>
      <c r="J180" s="19">
        <f t="shared" si="26"/>
        <v>917712.49183974043</v>
      </c>
      <c r="K180" s="16">
        <f t="shared" si="24"/>
        <v>0.9250294749868867</v>
      </c>
    </row>
    <row r="181" spans="1:11" x14ac:dyDescent="0.15">
      <c r="A181" s="7">
        <v>39235.583587962959</v>
      </c>
      <c r="B181">
        <v>44.5</v>
      </c>
      <c r="C181" s="6">
        <f t="shared" si="18"/>
        <v>321.99999983422458</v>
      </c>
      <c r="D181" t="str">
        <f t="shared" si="19"/>
        <v/>
      </c>
      <c r="E181">
        <f t="shared" si="21"/>
        <v>39235.583587962959</v>
      </c>
      <c r="F181" s="4">
        <f t="shared" si="20"/>
        <v>6.5</v>
      </c>
      <c r="G181" s="4">
        <f t="shared" si="22"/>
        <v>3.25</v>
      </c>
      <c r="H181" s="5">
        <f t="shared" si="23"/>
        <v>6.6499994642799702</v>
      </c>
      <c r="I181" s="14">
        <f t="shared" si="25"/>
        <v>1143.8723153114302</v>
      </c>
      <c r="J181" s="19">
        <f t="shared" si="26"/>
        <v>918856.36415505188</v>
      </c>
      <c r="K181" s="16">
        <f t="shared" si="24"/>
        <v>0.92618246747276145</v>
      </c>
    </row>
    <row r="182" spans="1:11" x14ac:dyDescent="0.15">
      <c r="A182" s="7">
        <v>39235.583611111113</v>
      </c>
      <c r="B182">
        <v>44.3</v>
      </c>
      <c r="C182" s="6">
        <f t="shared" si="18"/>
        <v>324.00000030174851</v>
      </c>
      <c r="D182" t="str">
        <f t="shared" si="19"/>
        <v/>
      </c>
      <c r="E182">
        <f t="shared" si="21"/>
        <v>39235.583611111113</v>
      </c>
      <c r="F182" s="4">
        <f t="shared" si="20"/>
        <v>6.2999999999999972</v>
      </c>
      <c r="G182" s="4">
        <f t="shared" si="22"/>
        <v>3.1499999999999986</v>
      </c>
      <c r="H182" s="5">
        <f t="shared" si="23"/>
        <v>6.4000014960765821</v>
      </c>
      <c r="I182" s="14">
        <f t="shared" si="25"/>
        <v>1100.8699427175661</v>
      </c>
      <c r="J182" s="19">
        <f t="shared" si="26"/>
        <v>919957.23409776948</v>
      </c>
      <c r="K182" s="16">
        <f t="shared" si="24"/>
        <v>0.9272921147252462</v>
      </c>
    </row>
    <row r="183" spans="1:11" x14ac:dyDescent="0.15">
      <c r="A183" s="7">
        <v>39235.583634259259</v>
      </c>
      <c r="B183">
        <v>43.9</v>
      </c>
      <c r="C183" s="6">
        <f t="shared" si="18"/>
        <v>326.00000014062971</v>
      </c>
      <c r="D183" t="str">
        <f t="shared" si="19"/>
        <v/>
      </c>
      <c r="E183">
        <f t="shared" si="21"/>
        <v>39235.583634259259</v>
      </c>
      <c r="F183" s="4">
        <f t="shared" si="20"/>
        <v>5.8999999999999986</v>
      </c>
      <c r="G183" s="4">
        <f t="shared" si="22"/>
        <v>2.9499999999999993</v>
      </c>
      <c r="H183" s="5">
        <f t="shared" si="23"/>
        <v>6.0999995085876417</v>
      </c>
      <c r="I183" s="14">
        <f t="shared" si="25"/>
        <v>1049.266334345823</v>
      </c>
      <c r="J183" s="19">
        <f t="shared" si="26"/>
        <v>921006.50043211528</v>
      </c>
      <c r="K183" s="16">
        <f t="shared" si="24"/>
        <v>0.92834974693033423</v>
      </c>
    </row>
    <row r="184" spans="1:11" x14ac:dyDescent="0.15">
      <c r="A184" s="7">
        <v>39235.583657407406</v>
      </c>
      <c r="B184">
        <v>44.1</v>
      </c>
      <c r="C184" s="6">
        <f t="shared" si="18"/>
        <v>327.9999999795109</v>
      </c>
      <c r="D184" t="str">
        <f t="shared" si="19"/>
        <v/>
      </c>
      <c r="E184">
        <f t="shared" si="21"/>
        <v>39235.583657407406</v>
      </c>
      <c r="F184" s="4">
        <f t="shared" si="20"/>
        <v>6.1000000000000014</v>
      </c>
      <c r="G184" s="4">
        <f t="shared" si="22"/>
        <v>3.0500000000000007</v>
      </c>
      <c r="H184" s="5">
        <f t="shared" si="23"/>
        <v>5.9999995166435838</v>
      </c>
      <c r="I184" s="14">
        <f t="shared" si="25"/>
        <v>1032.0652468975313</v>
      </c>
      <c r="J184" s="19">
        <f t="shared" si="26"/>
        <v>922038.5656790128</v>
      </c>
      <c r="K184" s="16">
        <f t="shared" si="24"/>
        <v>0.92939004090255195</v>
      </c>
    </row>
    <row r="185" spans="1:11" x14ac:dyDescent="0.15">
      <c r="A185" s="7">
        <v>39235.583680555559</v>
      </c>
      <c r="B185">
        <v>43.9</v>
      </c>
      <c r="C185" s="6">
        <f t="shared" si="18"/>
        <v>330.00000044703484</v>
      </c>
      <c r="D185" t="str">
        <f t="shared" si="19"/>
        <v/>
      </c>
      <c r="E185">
        <f t="shared" si="21"/>
        <v>39235.583680555559</v>
      </c>
      <c r="F185" s="4">
        <f t="shared" si="20"/>
        <v>5.8999999999999986</v>
      </c>
      <c r="G185" s="4">
        <f t="shared" si="22"/>
        <v>2.9499999999999993</v>
      </c>
      <c r="H185" s="5">
        <f t="shared" si="23"/>
        <v>6.0000014025717974</v>
      </c>
      <c r="I185" s="14">
        <f t="shared" si="25"/>
        <v>1032.0655712977186</v>
      </c>
      <c r="J185" s="19">
        <f t="shared" si="26"/>
        <v>923070.63125031057</v>
      </c>
      <c r="K185" s="16">
        <f t="shared" si="24"/>
        <v>0.93043033520175644</v>
      </c>
    </row>
    <row r="186" spans="1:11" x14ac:dyDescent="0.15">
      <c r="A186" s="7">
        <v>39235.583703703705</v>
      </c>
      <c r="B186">
        <v>43.9</v>
      </c>
      <c r="C186" s="6">
        <f t="shared" si="18"/>
        <v>332.00000028591603</v>
      </c>
      <c r="D186" t="str">
        <f t="shared" si="19"/>
        <v/>
      </c>
      <c r="E186">
        <f t="shared" si="21"/>
        <v>39235.583703703705</v>
      </c>
      <c r="F186" s="4">
        <f t="shared" si="20"/>
        <v>5.8999999999999986</v>
      </c>
      <c r="G186" s="4">
        <f t="shared" si="22"/>
        <v>2.9499999999999993</v>
      </c>
      <c r="H186" s="5">
        <f t="shared" si="23"/>
        <v>5.8999995246995223</v>
      </c>
      <c r="I186" s="14">
        <f t="shared" si="25"/>
        <v>1014.8641594492387</v>
      </c>
      <c r="J186" s="19">
        <f t="shared" si="26"/>
        <v>924085.49540975981</v>
      </c>
      <c r="K186" s="16">
        <f t="shared" si="24"/>
        <v>0.93145329094110396</v>
      </c>
    </row>
    <row r="187" spans="1:11" x14ac:dyDescent="0.15">
      <c r="A187" s="7">
        <v>39235.583726851852</v>
      </c>
      <c r="B187">
        <v>43.6</v>
      </c>
      <c r="C187" s="6">
        <f t="shared" si="18"/>
        <v>334.00000012479722</v>
      </c>
      <c r="D187" t="str">
        <f t="shared" si="19"/>
        <v/>
      </c>
      <c r="E187">
        <f t="shared" si="21"/>
        <v>39235.583726851852</v>
      </c>
      <c r="F187" s="4">
        <f t="shared" si="20"/>
        <v>5.6000000000000014</v>
      </c>
      <c r="G187" s="4">
        <f t="shared" si="22"/>
        <v>2.8000000000000007</v>
      </c>
      <c r="H187" s="5">
        <f t="shared" si="23"/>
        <v>5.7499995367834345</v>
      </c>
      <c r="I187" s="14">
        <f t="shared" si="25"/>
        <v>989.06252827680078</v>
      </c>
      <c r="J187" s="19">
        <f t="shared" si="26"/>
        <v>925074.55793803663</v>
      </c>
      <c r="K187" s="16">
        <f t="shared" si="24"/>
        <v>0.93245023933114601</v>
      </c>
    </row>
    <row r="188" spans="1:11" x14ac:dyDescent="0.15">
      <c r="A188" s="7">
        <v>39235.583749999998</v>
      </c>
      <c r="B188">
        <v>43.6</v>
      </c>
      <c r="C188" s="6">
        <f t="shared" si="18"/>
        <v>335.99999996367842</v>
      </c>
      <c r="D188" t="str">
        <f t="shared" si="19"/>
        <v/>
      </c>
      <c r="E188">
        <f t="shared" si="21"/>
        <v>39235.583749999998</v>
      </c>
      <c r="F188" s="4">
        <f t="shared" si="20"/>
        <v>5.6000000000000014</v>
      </c>
      <c r="G188" s="4">
        <f t="shared" si="22"/>
        <v>2.8000000000000007</v>
      </c>
      <c r="H188" s="5">
        <f t="shared" si="23"/>
        <v>5.5999995488673466</v>
      </c>
      <c r="I188" s="14">
        <f t="shared" si="25"/>
        <v>963.26089710436281</v>
      </c>
      <c r="J188" s="19">
        <f t="shared" si="26"/>
        <v>926037.81883514102</v>
      </c>
      <c r="K188" s="16">
        <f t="shared" si="24"/>
        <v>0.9334211803718826</v>
      </c>
    </row>
    <row r="189" spans="1:11" x14ac:dyDescent="0.15">
      <c r="A189" s="7">
        <v>39235.583773148152</v>
      </c>
      <c r="B189">
        <v>43.5</v>
      </c>
      <c r="C189" s="6">
        <f t="shared" si="18"/>
        <v>338.00000043120235</v>
      </c>
      <c r="D189" t="str">
        <f t="shared" si="19"/>
        <v/>
      </c>
      <c r="E189">
        <f t="shared" si="21"/>
        <v>39235.583773148152</v>
      </c>
      <c r="F189" s="4">
        <f t="shared" si="20"/>
        <v>5.5</v>
      </c>
      <c r="G189" s="4">
        <f t="shared" si="22"/>
        <v>2.75</v>
      </c>
      <c r="H189" s="5">
        <f t="shared" si="23"/>
        <v>5.5500012973789135</v>
      </c>
      <c r="I189" s="14">
        <f t="shared" si="25"/>
        <v>954.66065345038987</v>
      </c>
      <c r="J189" s="19">
        <f t="shared" si="26"/>
        <v>926992.47948859143</v>
      </c>
      <c r="K189" s="16">
        <f t="shared" si="24"/>
        <v>0.93438345259864675</v>
      </c>
    </row>
    <row r="190" spans="1:11" x14ac:dyDescent="0.15">
      <c r="A190" s="7">
        <v>39235.583796296298</v>
      </c>
      <c r="B190">
        <v>43.3</v>
      </c>
      <c r="C190" s="6">
        <f t="shared" si="18"/>
        <v>340.00000027008355</v>
      </c>
      <c r="D190" t="str">
        <f t="shared" si="19"/>
        <v/>
      </c>
      <c r="E190">
        <f t="shared" si="21"/>
        <v>39235.583796296298</v>
      </c>
      <c r="F190" s="4">
        <f t="shared" si="20"/>
        <v>5.2999999999999972</v>
      </c>
      <c r="G190" s="4">
        <f t="shared" si="22"/>
        <v>2.6499999999999986</v>
      </c>
      <c r="H190" s="5">
        <f t="shared" si="23"/>
        <v>5.3999995649792236</v>
      </c>
      <c r="I190" s="14">
        <f t="shared" si="25"/>
        <v>928.85872220777776</v>
      </c>
      <c r="J190" s="19">
        <f t="shared" si="26"/>
        <v>927921.33821079927</v>
      </c>
      <c r="K190" s="16">
        <f t="shared" si="24"/>
        <v>0.93531971717364282</v>
      </c>
    </row>
    <row r="191" spans="1:11" x14ac:dyDescent="0.15">
      <c r="A191" s="7">
        <v>39235.583819444444</v>
      </c>
      <c r="B191">
        <v>43.3</v>
      </c>
      <c r="C191" s="6">
        <f t="shared" si="18"/>
        <v>342.00000010896474</v>
      </c>
      <c r="D191" t="str">
        <f t="shared" si="19"/>
        <v/>
      </c>
      <c r="E191">
        <f t="shared" si="21"/>
        <v>39235.583819444444</v>
      </c>
      <c r="F191" s="4">
        <f t="shared" si="20"/>
        <v>5.2999999999999972</v>
      </c>
      <c r="G191" s="4">
        <f t="shared" si="22"/>
        <v>2.6499999999999986</v>
      </c>
      <c r="H191" s="5">
        <f t="shared" si="23"/>
        <v>5.299999573035163</v>
      </c>
      <c r="I191" s="14">
        <f t="shared" si="25"/>
        <v>911.6576347594854</v>
      </c>
      <c r="J191" s="19">
        <f t="shared" si="26"/>
        <v>928832.9958455587</v>
      </c>
      <c r="K191" s="16">
        <f t="shared" si="24"/>
        <v>0.93623864351576846</v>
      </c>
    </row>
    <row r="192" spans="1:11" x14ac:dyDescent="0.15">
      <c r="A192" s="7">
        <v>39235.58384259259</v>
      </c>
      <c r="B192">
        <v>43.2</v>
      </c>
      <c r="C192" s="6">
        <f t="shared" si="18"/>
        <v>343.99999994784594</v>
      </c>
      <c r="D192" t="str">
        <f t="shared" si="19"/>
        <v/>
      </c>
      <c r="E192">
        <f t="shared" si="21"/>
        <v>39235.58384259259</v>
      </c>
      <c r="F192" s="4">
        <f t="shared" si="20"/>
        <v>5.2000000000000028</v>
      </c>
      <c r="G192" s="4">
        <f t="shared" si="22"/>
        <v>2.6000000000000014</v>
      </c>
      <c r="H192" s="5">
        <f t="shared" si="23"/>
        <v>5.2499995770631358</v>
      </c>
      <c r="I192" s="14">
        <f t="shared" si="25"/>
        <v>903.05709103533979</v>
      </c>
      <c r="J192" s="19">
        <f t="shared" si="26"/>
        <v>929736.052936594</v>
      </c>
      <c r="K192" s="16">
        <f t="shared" si="24"/>
        <v>0.93714890074145896</v>
      </c>
    </row>
    <row r="193" spans="1:11" x14ac:dyDescent="0.15">
      <c r="A193" s="7">
        <v>39235.583865740744</v>
      </c>
      <c r="B193">
        <v>43</v>
      </c>
      <c r="C193" s="6">
        <f t="shared" si="18"/>
        <v>346.00000041536987</v>
      </c>
      <c r="D193" t="str">
        <f t="shared" si="19"/>
        <v/>
      </c>
      <c r="E193">
        <f t="shared" si="21"/>
        <v>39235.583865740744</v>
      </c>
      <c r="F193" s="4">
        <f t="shared" si="20"/>
        <v>5</v>
      </c>
      <c r="G193" s="4">
        <f t="shared" si="22"/>
        <v>2.5</v>
      </c>
      <c r="H193" s="5">
        <f t="shared" si="23"/>
        <v>5.1000011921860295</v>
      </c>
      <c r="I193" s="14">
        <f t="shared" si="25"/>
        <v>877.25573560306111</v>
      </c>
      <c r="J193" s="19">
        <f t="shared" si="26"/>
        <v>930613.30867219705</v>
      </c>
      <c r="K193" s="16">
        <f t="shared" si="24"/>
        <v>0.93803315089578265</v>
      </c>
    </row>
    <row r="194" spans="1:11" x14ac:dyDescent="0.15">
      <c r="A194" s="7">
        <v>39235.58388888889</v>
      </c>
      <c r="B194">
        <v>43.2</v>
      </c>
      <c r="C194" s="6">
        <f t="shared" si="18"/>
        <v>348.00000025425106</v>
      </c>
      <c r="D194" t="str">
        <f t="shared" si="19"/>
        <v/>
      </c>
      <c r="E194">
        <f t="shared" si="21"/>
        <v>39235.58388888889</v>
      </c>
      <c r="F194" s="4">
        <f t="shared" si="20"/>
        <v>5.2000000000000028</v>
      </c>
      <c r="G194" s="4">
        <f t="shared" si="22"/>
        <v>2.6000000000000014</v>
      </c>
      <c r="H194" s="5">
        <f t="shared" si="23"/>
        <v>5.099999589147048</v>
      </c>
      <c r="I194" s="14">
        <f t="shared" si="25"/>
        <v>877.25545986290183</v>
      </c>
      <c r="J194" s="19">
        <f t="shared" si="26"/>
        <v>931490.56413205992</v>
      </c>
      <c r="K194" s="16">
        <f t="shared" si="24"/>
        <v>0.93891740077216779</v>
      </c>
    </row>
    <row r="195" spans="1:11" x14ac:dyDescent="0.15">
      <c r="A195" s="7">
        <v>39235.583912037036</v>
      </c>
      <c r="B195">
        <v>43</v>
      </c>
      <c r="C195" s="6">
        <f t="shared" si="18"/>
        <v>350.00000009313226</v>
      </c>
      <c r="D195" t="str">
        <f t="shared" si="19"/>
        <v/>
      </c>
      <c r="E195">
        <f t="shared" si="21"/>
        <v>39235.583912037036</v>
      </c>
      <c r="F195" s="4">
        <f t="shared" si="20"/>
        <v>5</v>
      </c>
      <c r="G195" s="4">
        <f t="shared" si="22"/>
        <v>2.5</v>
      </c>
      <c r="H195" s="5">
        <f t="shared" si="23"/>
        <v>5.099999589147048</v>
      </c>
      <c r="I195" s="14">
        <f t="shared" si="25"/>
        <v>877.25545986290183</v>
      </c>
      <c r="J195" s="19">
        <f t="shared" si="26"/>
        <v>932367.8195919228</v>
      </c>
      <c r="K195" s="16">
        <f t="shared" si="24"/>
        <v>0.93980165064855281</v>
      </c>
    </row>
    <row r="196" spans="1:11" x14ac:dyDescent="0.15">
      <c r="A196" s="7">
        <v>39235.583935185183</v>
      </c>
      <c r="B196">
        <v>42.6</v>
      </c>
      <c r="C196" s="6">
        <f t="shared" si="18"/>
        <v>351.99999993201345</v>
      </c>
      <c r="D196" t="str">
        <f t="shared" si="19"/>
        <v/>
      </c>
      <c r="E196">
        <f t="shared" si="21"/>
        <v>39235.583935185183</v>
      </c>
      <c r="F196" s="4">
        <f t="shared" si="20"/>
        <v>4.6000000000000014</v>
      </c>
      <c r="G196" s="4">
        <f t="shared" si="22"/>
        <v>2.3000000000000007</v>
      </c>
      <c r="H196" s="5">
        <f t="shared" si="23"/>
        <v>4.7999996133148679</v>
      </c>
      <c r="I196" s="14">
        <f t="shared" si="25"/>
        <v>825.6521975180251</v>
      </c>
      <c r="J196" s="19">
        <f t="shared" si="26"/>
        <v>933193.47178944084</v>
      </c>
      <c r="K196" s="16">
        <f t="shared" si="24"/>
        <v>0.94063388582632712</v>
      </c>
    </row>
    <row r="197" spans="1:11" x14ac:dyDescent="0.15">
      <c r="A197" s="7">
        <v>39235.583958333336</v>
      </c>
      <c r="B197">
        <v>42.6</v>
      </c>
      <c r="C197" s="6">
        <f t="shared" si="18"/>
        <v>354.00000039953738</v>
      </c>
      <c r="D197" t="str">
        <f t="shared" si="19"/>
        <v/>
      </c>
      <c r="E197">
        <f t="shared" si="21"/>
        <v>39235.583958333336</v>
      </c>
      <c r="F197" s="4">
        <f t="shared" si="20"/>
        <v>4.6000000000000014</v>
      </c>
      <c r="G197" s="4">
        <f t="shared" si="22"/>
        <v>2.3000000000000007</v>
      </c>
      <c r="H197" s="5">
        <f t="shared" si="23"/>
        <v>4.6000010753050464</v>
      </c>
      <c r="I197" s="14">
        <f t="shared" si="25"/>
        <v>791.25027132825119</v>
      </c>
      <c r="J197" s="19">
        <f t="shared" si="26"/>
        <v>933984.7220607691</v>
      </c>
      <c r="K197" s="16">
        <f t="shared" si="24"/>
        <v>0.9414314447890505</v>
      </c>
    </row>
    <row r="198" spans="1:11" x14ac:dyDescent="0.15">
      <c r="A198" s="7">
        <v>39235.583981481483</v>
      </c>
      <c r="B198">
        <v>42.6</v>
      </c>
      <c r="C198" s="6">
        <f t="shared" si="18"/>
        <v>356.00000023841858</v>
      </c>
      <c r="D198" t="str">
        <f t="shared" si="19"/>
        <v/>
      </c>
      <c r="E198">
        <f t="shared" si="21"/>
        <v>39235.583981481483</v>
      </c>
      <c r="F198" s="4">
        <f t="shared" si="20"/>
        <v>4.6000000000000014</v>
      </c>
      <c r="G198" s="4">
        <f t="shared" si="22"/>
        <v>2.3000000000000007</v>
      </c>
      <c r="H198" s="5">
        <f t="shared" si="23"/>
        <v>4.5999996294267493</v>
      </c>
      <c r="I198" s="14">
        <f t="shared" si="25"/>
        <v>791.25002262144096</v>
      </c>
      <c r="J198" s="19">
        <f t="shared" si="26"/>
        <v>934775.97208339057</v>
      </c>
      <c r="K198" s="16">
        <f t="shared" si="24"/>
        <v>0.94222900350108418</v>
      </c>
    </row>
    <row r="199" spans="1:11" x14ac:dyDescent="0.15">
      <c r="A199" s="7">
        <v>39235.584004629629</v>
      </c>
      <c r="B199">
        <v>42.5</v>
      </c>
      <c r="C199" s="6">
        <f t="shared" si="18"/>
        <v>358.00000007729977</v>
      </c>
      <c r="D199" t="str">
        <f t="shared" si="19"/>
        <v/>
      </c>
      <c r="E199">
        <f t="shared" si="21"/>
        <v>39235.584004629629</v>
      </c>
      <c r="F199" s="4">
        <f t="shared" si="20"/>
        <v>4.5</v>
      </c>
      <c r="G199" s="4">
        <f t="shared" si="22"/>
        <v>2.25</v>
      </c>
      <c r="H199" s="5">
        <f t="shared" si="23"/>
        <v>4.5499996334547186</v>
      </c>
      <c r="I199" s="14">
        <f t="shared" si="25"/>
        <v>782.64947889729467</v>
      </c>
      <c r="J199" s="19">
        <f t="shared" si="26"/>
        <v>935558.62156228791</v>
      </c>
      <c r="K199" s="16">
        <f t="shared" si="24"/>
        <v>0.94301789309668271</v>
      </c>
    </row>
    <row r="200" spans="1:11" x14ac:dyDescent="0.15">
      <c r="A200" s="7">
        <v>39235.584027777775</v>
      </c>
      <c r="B200">
        <v>42.3</v>
      </c>
      <c r="C200" s="6">
        <f t="shared" si="18"/>
        <v>359.99999991618097</v>
      </c>
      <c r="D200" t="str">
        <f t="shared" si="19"/>
        <v/>
      </c>
      <c r="E200">
        <f t="shared" si="21"/>
        <v>39235.584027777775</v>
      </c>
      <c r="F200" s="4">
        <f t="shared" si="20"/>
        <v>4.2999999999999972</v>
      </c>
      <c r="G200" s="4">
        <f t="shared" si="22"/>
        <v>2.1499999999999986</v>
      </c>
      <c r="H200" s="5">
        <f t="shared" si="23"/>
        <v>4.3999996455386263</v>
      </c>
      <c r="I200" s="14">
        <f t="shared" si="25"/>
        <v>756.84784772485591</v>
      </c>
      <c r="J200" s="19">
        <f t="shared" si="26"/>
        <v>936315.46941001271</v>
      </c>
      <c r="K200" s="16">
        <f t="shared" si="24"/>
        <v>0.94378077534297566</v>
      </c>
    </row>
    <row r="201" spans="1:11" x14ac:dyDescent="0.15">
      <c r="A201" s="7">
        <v>39235.584050925929</v>
      </c>
      <c r="B201">
        <v>42.5</v>
      </c>
      <c r="C201" s="6">
        <f t="shared" si="18"/>
        <v>362.0000003837049</v>
      </c>
      <c r="D201" t="str">
        <f t="shared" si="19"/>
        <v/>
      </c>
      <c r="E201">
        <f t="shared" si="21"/>
        <v>39235.584050925929</v>
      </c>
      <c r="F201" s="4">
        <f t="shared" si="20"/>
        <v>4.5</v>
      </c>
      <c r="G201" s="4">
        <f t="shared" si="22"/>
        <v>2.25</v>
      </c>
      <c r="H201" s="5">
        <f t="shared" si="23"/>
        <v>4.4000010285526496</v>
      </c>
      <c r="I201" s="14">
        <f t="shared" si="25"/>
        <v>756.84808561832665</v>
      </c>
      <c r="J201" s="19">
        <f t="shared" si="26"/>
        <v>937072.31749563105</v>
      </c>
      <c r="K201" s="16">
        <f t="shared" si="24"/>
        <v>0.94454365782905891</v>
      </c>
    </row>
    <row r="202" spans="1:11" x14ac:dyDescent="0.15">
      <c r="A202" s="7">
        <v>39235.584074074075</v>
      </c>
      <c r="B202">
        <v>42.2</v>
      </c>
      <c r="C202" s="6">
        <f t="shared" si="18"/>
        <v>364.0000002225861</v>
      </c>
      <c r="D202" t="str">
        <f t="shared" si="19"/>
        <v/>
      </c>
      <c r="E202">
        <f t="shared" si="21"/>
        <v>39235.584074074075</v>
      </c>
      <c r="F202" s="4">
        <f t="shared" si="20"/>
        <v>4.2000000000000028</v>
      </c>
      <c r="G202" s="4">
        <f t="shared" si="22"/>
        <v>2.1000000000000014</v>
      </c>
      <c r="H202" s="5">
        <f t="shared" si="23"/>
        <v>4.3499996495666</v>
      </c>
      <c r="I202" s="14">
        <f t="shared" si="25"/>
        <v>748.24730400071041</v>
      </c>
      <c r="J202" s="19">
        <f t="shared" si="26"/>
        <v>937820.56479963171</v>
      </c>
      <c r="K202" s="16">
        <f t="shared" si="24"/>
        <v>0.94529787095891671</v>
      </c>
    </row>
    <row r="203" spans="1:11" x14ac:dyDescent="0.15">
      <c r="A203" s="7">
        <v>39235.584097222221</v>
      </c>
      <c r="B203">
        <v>42.2</v>
      </c>
      <c r="C203" s="6">
        <f t="shared" si="18"/>
        <v>366.00000006146729</v>
      </c>
      <c r="D203" t="str">
        <f t="shared" si="19"/>
        <v/>
      </c>
      <c r="E203">
        <f t="shared" si="21"/>
        <v>39235.584097222221</v>
      </c>
      <c r="F203" s="4">
        <f t="shared" si="20"/>
        <v>4.2000000000000028</v>
      </c>
      <c r="G203" s="4">
        <f t="shared" si="22"/>
        <v>2.1000000000000014</v>
      </c>
      <c r="H203" s="5">
        <f t="shared" si="23"/>
        <v>4.1999996616505113</v>
      </c>
      <c r="I203" s="14">
        <f t="shared" si="25"/>
        <v>722.44567282827234</v>
      </c>
      <c r="J203" s="19">
        <f t="shared" si="26"/>
        <v>938543.01047245995</v>
      </c>
      <c r="K203" s="16">
        <f t="shared" si="24"/>
        <v>0.94602607673946915</v>
      </c>
    </row>
    <row r="204" spans="1:11" x14ac:dyDescent="0.15">
      <c r="A204" s="7">
        <v>39235.584120370368</v>
      </c>
      <c r="B204">
        <v>42</v>
      </c>
      <c r="C204" s="6">
        <f t="shared" si="18"/>
        <v>367.99999990034848</v>
      </c>
      <c r="D204" t="str">
        <f t="shared" si="19"/>
        <v/>
      </c>
      <c r="E204">
        <f t="shared" si="21"/>
        <v>39235.584120370368</v>
      </c>
      <c r="F204" s="4">
        <f t="shared" si="20"/>
        <v>4</v>
      </c>
      <c r="G204" s="4">
        <f t="shared" si="22"/>
        <v>2</v>
      </c>
      <c r="H204" s="5">
        <f t="shared" si="23"/>
        <v>4.0999996697064507</v>
      </c>
      <c r="I204" s="14">
        <f t="shared" si="25"/>
        <v>705.24458537997998</v>
      </c>
      <c r="J204" s="19">
        <f t="shared" si="26"/>
        <v>939248.25505783991</v>
      </c>
      <c r="K204" s="16">
        <f t="shared" si="24"/>
        <v>0.94673694428715127</v>
      </c>
    </row>
    <row r="205" spans="1:11" x14ac:dyDescent="0.15">
      <c r="A205" s="7">
        <v>39235.584143518521</v>
      </c>
      <c r="B205">
        <v>42.2</v>
      </c>
      <c r="C205" s="6">
        <f t="shared" si="18"/>
        <v>370.00000036787242</v>
      </c>
      <c r="D205" t="str">
        <f t="shared" si="19"/>
        <v/>
      </c>
      <c r="E205">
        <f t="shared" si="21"/>
        <v>39235.584143518521</v>
      </c>
      <c r="F205" s="4">
        <f t="shared" si="20"/>
        <v>4.2000000000000028</v>
      </c>
      <c r="G205" s="4">
        <f t="shared" si="22"/>
        <v>2.1000000000000014</v>
      </c>
      <c r="H205" s="5">
        <f t="shared" si="23"/>
        <v>4.1000009584240633</v>
      </c>
      <c r="I205" s="14">
        <f t="shared" si="25"/>
        <v>705.24480705344138</v>
      </c>
      <c r="J205" s="19">
        <f t="shared" si="26"/>
        <v>939953.49986489338</v>
      </c>
      <c r="K205" s="16">
        <f t="shared" si="24"/>
        <v>0.94744781205827433</v>
      </c>
    </row>
    <row r="206" spans="1:11" x14ac:dyDescent="0.15">
      <c r="A206" s="7">
        <v>39235.584166666667</v>
      </c>
      <c r="B206">
        <v>41.9</v>
      </c>
      <c r="C206" s="6">
        <f t="shared" si="18"/>
        <v>372.00000020675361</v>
      </c>
      <c r="D206" t="str">
        <f t="shared" si="19"/>
        <v/>
      </c>
      <c r="E206">
        <f t="shared" si="21"/>
        <v>39235.584166666667</v>
      </c>
      <c r="F206" s="4">
        <f t="shared" si="20"/>
        <v>3.8999999999999986</v>
      </c>
      <c r="G206" s="4">
        <f t="shared" si="22"/>
        <v>1.9499999999999993</v>
      </c>
      <c r="H206" s="5">
        <f t="shared" si="23"/>
        <v>4.0499996737344199</v>
      </c>
      <c r="I206" s="14">
        <f t="shared" si="25"/>
        <v>696.64404165583369</v>
      </c>
      <c r="J206" s="19">
        <f t="shared" si="26"/>
        <v>940650.1439065492</v>
      </c>
      <c r="K206" s="16">
        <f t="shared" si="24"/>
        <v>0.9481500104895213</v>
      </c>
    </row>
    <row r="207" spans="1:11" x14ac:dyDescent="0.15">
      <c r="A207" s="7">
        <v>39235.584189814814</v>
      </c>
      <c r="B207">
        <v>41.9</v>
      </c>
      <c r="C207" s="6">
        <f t="shared" si="18"/>
        <v>374.00000004563481</v>
      </c>
      <c r="D207" t="str">
        <f t="shared" si="19"/>
        <v/>
      </c>
      <c r="E207">
        <f t="shared" si="21"/>
        <v>39235.584189814814</v>
      </c>
      <c r="F207" s="4">
        <f t="shared" si="20"/>
        <v>3.8999999999999986</v>
      </c>
      <c r="G207" s="4">
        <f t="shared" si="22"/>
        <v>1.9499999999999993</v>
      </c>
      <c r="H207" s="5">
        <f t="shared" si="23"/>
        <v>3.8999996858183281</v>
      </c>
      <c r="I207" s="14">
        <f t="shared" si="25"/>
        <v>670.84241048339504</v>
      </c>
      <c r="J207" s="19">
        <f t="shared" si="26"/>
        <v>941320.9863170326</v>
      </c>
      <c r="K207" s="16">
        <f t="shared" si="24"/>
        <v>0.94882620157146291</v>
      </c>
    </row>
    <row r="208" spans="1:11" x14ac:dyDescent="0.15">
      <c r="A208" s="7">
        <v>39235.58421296296</v>
      </c>
      <c r="B208">
        <v>41.9</v>
      </c>
      <c r="C208" s="6">
        <f t="shared" si="18"/>
        <v>375.999999884516</v>
      </c>
      <c r="D208" t="str">
        <f t="shared" si="19"/>
        <v/>
      </c>
      <c r="E208">
        <f t="shared" si="21"/>
        <v>39235.58421296296</v>
      </c>
      <c r="F208" s="4">
        <f t="shared" si="20"/>
        <v>3.8999999999999986</v>
      </c>
      <c r="G208" s="4">
        <f t="shared" si="22"/>
        <v>1.9499999999999993</v>
      </c>
      <c r="H208" s="5">
        <f t="shared" si="23"/>
        <v>3.8999996858183281</v>
      </c>
      <c r="I208" s="14">
        <f t="shared" si="25"/>
        <v>670.84241048339504</v>
      </c>
      <c r="J208" s="19">
        <f t="shared" si="26"/>
        <v>941991.828727516</v>
      </c>
      <c r="K208" s="16">
        <f t="shared" si="24"/>
        <v>0.94950239265340441</v>
      </c>
    </row>
    <row r="209" spans="1:11" x14ac:dyDescent="0.15">
      <c r="A209" s="7">
        <v>39235.584236111114</v>
      </c>
      <c r="B209">
        <v>41.7</v>
      </c>
      <c r="C209" s="6">
        <f t="shared" si="18"/>
        <v>378.00000035203993</v>
      </c>
      <c r="D209" t="str">
        <f t="shared" si="19"/>
        <v/>
      </c>
      <c r="E209">
        <f t="shared" si="21"/>
        <v>39235.584236111114</v>
      </c>
      <c r="F209" s="4">
        <f t="shared" si="20"/>
        <v>3.7000000000000028</v>
      </c>
      <c r="G209" s="4">
        <f t="shared" si="22"/>
        <v>1.8500000000000014</v>
      </c>
      <c r="H209" s="5">
        <f t="shared" si="23"/>
        <v>3.8000008882954726</v>
      </c>
      <c r="I209" s="14">
        <f t="shared" si="25"/>
        <v>653.64152848855531</v>
      </c>
      <c r="J209" s="19">
        <f t="shared" si="26"/>
        <v>942645.4702560046</v>
      </c>
      <c r="K209" s="16">
        <f t="shared" si="24"/>
        <v>0.95016124570956728</v>
      </c>
    </row>
    <row r="210" spans="1:11" x14ac:dyDescent="0.15">
      <c r="A210" s="7">
        <v>39235.58425925926</v>
      </c>
      <c r="B210">
        <v>41.7</v>
      </c>
      <c r="C210" s="6">
        <f t="shared" si="18"/>
        <v>380.00000019092113</v>
      </c>
      <c r="D210" t="str">
        <f t="shared" si="19"/>
        <v/>
      </c>
      <c r="E210">
        <f t="shared" si="21"/>
        <v>39235.58425925926</v>
      </c>
      <c r="F210" s="4">
        <f t="shared" si="20"/>
        <v>3.7000000000000028</v>
      </c>
      <c r="G210" s="4">
        <f t="shared" si="22"/>
        <v>1.8500000000000014</v>
      </c>
      <c r="H210" s="5">
        <f t="shared" si="23"/>
        <v>3.6999997019302127</v>
      </c>
      <c r="I210" s="14">
        <f t="shared" si="25"/>
        <v>636.44023558681135</v>
      </c>
      <c r="J210" s="19">
        <f t="shared" si="26"/>
        <v>943281.91049159144</v>
      </c>
      <c r="K210" s="16">
        <f t="shared" si="24"/>
        <v>0.95080276032576827</v>
      </c>
    </row>
    <row r="211" spans="1:11" x14ac:dyDescent="0.15">
      <c r="A211" s="7">
        <v>39235.584282407406</v>
      </c>
      <c r="B211">
        <v>41.6</v>
      </c>
      <c r="C211" s="6">
        <f t="shared" si="18"/>
        <v>382.00000002980232</v>
      </c>
      <c r="D211" t="str">
        <f t="shared" si="19"/>
        <v/>
      </c>
      <c r="E211">
        <f t="shared" si="21"/>
        <v>39235.584282407406</v>
      </c>
      <c r="F211" s="4">
        <f t="shared" si="20"/>
        <v>3.6000000000000014</v>
      </c>
      <c r="G211" s="4">
        <f t="shared" si="22"/>
        <v>1.8000000000000007</v>
      </c>
      <c r="H211" s="5">
        <f t="shared" si="23"/>
        <v>3.6499997059581823</v>
      </c>
      <c r="I211" s="14">
        <f t="shared" si="25"/>
        <v>627.83969186266518</v>
      </c>
      <c r="J211" s="19">
        <f t="shared" si="26"/>
        <v>943909.75018345413</v>
      </c>
      <c r="K211" s="16">
        <f t="shared" si="24"/>
        <v>0.9514356058255341</v>
      </c>
    </row>
    <row r="212" spans="1:11" x14ac:dyDescent="0.15">
      <c r="A212" s="7">
        <v>39235.584305555552</v>
      </c>
      <c r="B212">
        <v>41.6</v>
      </c>
      <c r="C212" s="6">
        <f t="shared" ref="C212:C275" si="27">(A212-$B$4)*24*60*60</f>
        <v>383.99999986868352</v>
      </c>
      <c r="D212" t="str">
        <f t="shared" ref="D212:D275" si="28">IF(F212=$B$8,A212,"")</f>
        <v/>
      </c>
      <c r="E212">
        <f t="shared" si="21"/>
        <v>39235.584305555552</v>
      </c>
      <c r="F212" s="4">
        <f t="shared" ref="F212:F275" si="29">IF((B212-$B$6)&gt;0,B212-$B$6,0)</f>
        <v>3.6000000000000014</v>
      </c>
      <c r="G212" s="4">
        <f t="shared" si="22"/>
        <v>1.8000000000000007</v>
      </c>
      <c r="H212" s="5">
        <f t="shared" si="23"/>
        <v>3.5999997099861516</v>
      </c>
      <c r="I212" s="14">
        <f t="shared" si="25"/>
        <v>619.239148138519</v>
      </c>
      <c r="J212" s="19">
        <f t="shared" si="26"/>
        <v>944528.98933159269</v>
      </c>
      <c r="K212" s="16">
        <f t="shared" si="24"/>
        <v>0.95205978220886478</v>
      </c>
    </row>
    <row r="213" spans="1:11" x14ac:dyDescent="0.15">
      <c r="A213" s="7">
        <v>39235.584328703706</v>
      </c>
      <c r="B213">
        <v>41.5</v>
      </c>
      <c r="C213" s="6">
        <f t="shared" si="27"/>
        <v>386.00000033620745</v>
      </c>
      <c r="D213" t="str">
        <f t="shared" si="28"/>
        <v/>
      </c>
      <c r="E213">
        <f t="shared" ref="E213:E276" si="30">IF(B213-$B$6&gt;0,A213," ")</f>
        <v>39235.584328703706</v>
      </c>
      <c r="F213" s="4">
        <f t="shared" si="29"/>
        <v>3.5</v>
      </c>
      <c r="G213" s="4">
        <f t="shared" ref="G213:G276" si="31">F213/2</f>
        <v>1.75</v>
      </c>
      <c r="H213" s="5">
        <f t="shared" ref="H213:H276" si="32">AVERAGE(G212:G213)*(C213-C212)</f>
        <v>3.550000829854981</v>
      </c>
      <c r="I213" s="14">
        <f t="shared" si="25"/>
        <v>610.63879635115029</v>
      </c>
      <c r="J213" s="19">
        <f t="shared" si="26"/>
        <v>945139.62812794384</v>
      </c>
      <c r="K213" s="16">
        <f t="shared" ref="K213:K276" si="33">J213/($B$12*1000)</f>
        <v>0.95267528966922743</v>
      </c>
    </row>
    <row r="214" spans="1:11" x14ac:dyDescent="0.15">
      <c r="A214" s="7">
        <v>39235.584351851852</v>
      </c>
      <c r="B214">
        <v>41.4</v>
      </c>
      <c r="C214" s="6">
        <f t="shared" si="27"/>
        <v>388.00000017508864</v>
      </c>
      <c r="D214" t="str">
        <f t="shared" si="28"/>
        <v/>
      </c>
      <c r="E214">
        <f t="shared" si="30"/>
        <v>39235.584351851852</v>
      </c>
      <c r="F214" s="4">
        <f t="shared" si="29"/>
        <v>3.3999999999999986</v>
      </c>
      <c r="G214" s="4">
        <f t="shared" si="31"/>
        <v>1.6999999999999993</v>
      </c>
      <c r="H214" s="5">
        <f t="shared" si="32"/>
        <v>3.4499997220700598</v>
      </c>
      <c r="I214" s="14">
        <f t="shared" ref="I214:I277" si="34">H214*$B$14</f>
        <v>593.43751696608035</v>
      </c>
      <c r="J214" s="19">
        <f t="shared" ref="J214:J277" si="35">J213+I214</f>
        <v>945733.06564490998</v>
      </c>
      <c r="K214" s="16">
        <f t="shared" si="33"/>
        <v>0.95327345870325275</v>
      </c>
    </row>
    <row r="215" spans="1:11" x14ac:dyDescent="0.15">
      <c r="A215" s="7">
        <v>39235.584374999999</v>
      </c>
      <c r="B215">
        <v>41.4</v>
      </c>
      <c r="C215" s="6">
        <f t="shared" si="27"/>
        <v>390.00000001396984</v>
      </c>
      <c r="D215" t="str">
        <f t="shared" si="28"/>
        <v/>
      </c>
      <c r="E215">
        <f t="shared" si="30"/>
        <v>39235.584374999999</v>
      </c>
      <c r="F215" s="4">
        <f t="shared" si="29"/>
        <v>3.3999999999999986</v>
      </c>
      <c r="G215" s="4">
        <f t="shared" si="31"/>
        <v>1.6999999999999993</v>
      </c>
      <c r="H215" s="5">
        <f t="shared" si="32"/>
        <v>3.3999997260980295</v>
      </c>
      <c r="I215" s="14">
        <f t="shared" si="34"/>
        <v>584.83697324193417</v>
      </c>
      <c r="J215" s="19">
        <f t="shared" si="35"/>
        <v>946317.90261815186</v>
      </c>
      <c r="K215" s="16">
        <f t="shared" si="33"/>
        <v>0.95386295862084269</v>
      </c>
    </row>
    <row r="216" spans="1:11" x14ac:dyDescent="0.15">
      <c r="A216" s="7">
        <v>39235.584398148145</v>
      </c>
      <c r="B216">
        <v>41.3</v>
      </c>
      <c r="C216" s="6">
        <f t="shared" si="27"/>
        <v>391.99999985285103</v>
      </c>
      <c r="D216" t="str">
        <f t="shared" si="28"/>
        <v/>
      </c>
      <c r="E216">
        <f t="shared" si="30"/>
        <v>39235.584398148145</v>
      </c>
      <c r="F216" s="4">
        <f t="shared" si="29"/>
        <v>3.2999999999999972</v>
      </c>
      <c r="G216" s="4">
        <f t="shared" si="31"/>
        <v>1.6499999999999986</v>
      </c>
      <c r="H216" s="5">
        <f t="shared" si="32"/>
        <v>3.3499997301259987</v>
      </c>
      <c r="I216" s="14">
        <f t="shared" si="34"/>
        <v>576.23642951778788</v>
      </c>
      <c r="J216" s="19">
        <f t="shared" si="35"/>
        <v>946894.1390476696</v>
      </c>
      <c r="K216" s="16">
        <f t="shared" si="33"/>
        <v>0.95444378942199759</v>
      </c>
    </row>
    <row r="217" spans="1:11" x14ac:dyDescent="0.15">
      <c r="A217" s="7">
        <v>39235.584421296298</v>
      </c>
      <c r="B217">
        <v>41.3</v>
      </c>
      <c r="C217" s="6">
        <f t="shared" si="27"/>
        <v>394.00000032037497</v>
      </c>
      <c r="D217" t="str">
        <f t="shared" si="28"/>
        <v/>
      </c>
      <c r="E217">
        <f t="shared" si="30"/>
        <v>39235.584421296298</v>
      </c>
      <c r="F217" s="4">
        <f t="shared" si="29"/>
        <v>3.2999999999999972</v>
      </c>
      <c r="G217" s="4">
        <f t="shared" si="31"/>
        <v>1.6499999999999986</v>
      </c>
      <c r="H217" s="5">
        <f t="shared" si="32"/>
        <v>3.3000007714144859</v>
      </c>
      <c r="I217" s="14">
        <f t="shared" si="34"/>
        <v>567.63606421374482</v>
      </c>
      <c r="J217" s="19">
        <f t="shared" si="35"/>
        <v>947461.7751118833</v>
      </c>
      <c r="K217" s="16">
        <f t="shared" si="33"/>
        <v>0.95501595128656003</v>
      </c>
    </row>
    <row r="218" spans="1:11" x14ac:dyDescent="0.15">
      <c r="A218" s="7">
        <v>39235.584444444445</v>
      </c>
      <c r="B218">
        <v>41.4</v>
      </c>
      <c r="C218" s="6">
        <f t="shared" si="27"/>
        <v>396.00000015925616</v>
      </c>
      <c r="D218" t="str">
        <f t="shared" si="28"/>
        <v/>
      </c>
      <c r="E218">
        <f t="shared" si="30"/>
        <v>39235.584444444445</v>
      </c>
      <c r="F218" s="4">
        <f t="shared" si="29"/>
        <v>3.3999999999999986</v>
      </c>
      <c r="G218" s="4">
        <f t="shared" si="31"/>
        <v>1.6999999999999993</v>
      </c>
      <c r="H218" s="5">
        <f t="shared" si="32"/>
        <v>3.3499997301259987</v>
      </c>
      <c r="I218" s="14">
        <f t="shared" si="34"/>
        <v>576.23642951778788</v>
      </c>
      <c r="J218" s="19">
        <f t="shared" si="35"/>
        <v>948038.01154140104</v>
      </c>
      <c r="K218" s="16">
        <f t="shared" si="33"/>
        <v>0.95559678208771481</v>
      </c>
    </row>
    <row r="219" spans="1:11" x14ac:dyDescent="0.15">
      <c r="A219" s="7">
        <v>39235.584467592591</v>
      </c>
      <c r="B219">
        <v>41.3</v>
      </c>
      <c r="C219" s="6">
        <f t="shared" si="27"/>
        <v>397.99999999813735</v>
      </c>
      <c r="D219" t="str">
        <f t="shared" si="28"/>
        <v/>
      </c>
      <c r="E219">
        <f t="shared" si="30"/>
        <v>39235.584467592591</v>
      </c>
      <c r="F219" s="4">
        <f t="shared" si="29"/>
        <v>3.2999999999999972</v>
      </c>
      <c r="G219" s="4">
        <f t="shared" si="31"/>
        <v>1.6499999999999986</v>
      </c>
      <c r="H219" s="5">
        <f t="shared" si="32"/>
        <v>3.3499997301259987</v>
      </c>
      <c r="I219" s="14">
        <f t="shared" si="34"/>
        <v>576.23642951778788</v>
      </c>
      <c r="J219" s="19">
        <f t="shared" si="35"/>
        <v>948614.24797091878</v>
      </c>
      <c r="K219" s="16">
        <f t="shared" si="33"/>
        <v>0.95617761288886971</v>
      </c>
    </row>
    <row r="220" spans="1:11" x14ac:dyDescent="0.15">
      <c r="A220" s="7">
        <v>39235.584490740737</v>
      </c>
      <c r="B220">
        <v>41.2</v>
      </c>
      <c r="C220" s="6">
        <f t="shared" si="27"/>
        <v>399.99999983701855</v>
      </c>
      <c r="D220" t="str">
        <f t="shared" si="28"/>
        <v/>
      </c>
      <c r="E220">
        <f t="shared" si="30"/>
        <v>39235.584490740737</v>
      </c>
      <c r="F220" s="4">
        <f t="shared" si="29"/>
        <v>3.2000000000000028</v>
      </c>
      <c r="G220" s="4">
        <f t="shared" si="31"/>
        <v>1.6000000000000014</v>
      </c>
      <c r="H220" s="5">
        <f t="shared" si="32"/>
        <v>3.2499997381819412</v>
      </c>
      <c r="I220" s="14">
        <f t="shared" si="34"/>
        <v>559.0353420694961</v>
      </c>
      <c r="J220" s="19">
        <f t="shared" si="35"/>
        <v>949173.28331298823</v>
      </c>
      <c r="K220" s="16">
        <f t="shared" si="33"/>
        <v>0.95674110545715429</v>
      </c>
    </row>
    <row r="221" spans="1:11" x14ac:dyDescent="0.15">
      <c r="A221" s="7">
        <v>39235.584513888891</v>
      </c>
      <c r="B221">
        <v>41</v>
      </c>
      <c r="C221" s="6">
        <f t="shared" si="27"/>
        <v>402.00000030454248</v>
      </c>
      <c r="D221" t="str">
        <f t="shared" si="28"/>
        <v/>
      </c>
      <c r="E221">
        <f t="shared" si="30"/>
        <v>39235.584513888891</v>
      </c>
      <c r="F221" s="4">
        <f t="shared" si="29"/>
        <v>3</v>
      </c>
      <c r="G221" s="4">
        <f t="shared" si="31"/>
        <v>1.5</v>
      </c>
      <c r="H221" s="5">
        <f t="shared" si="32"/>
        <v>3.1000007246620966</v>
      </c>
      <c r="I221" s="14">
        <f t="shared" si="34"/>
        <v>533.23387850382153</v>
      </c>
      <c r="J221" s="19">
        <f t="shared" si="35"/>
        <v>949706.51719149202</v>
      </c>
      <c r="K221" s="16">
        <f t="shared" si="33"/>
        <v>0.9572785908450766</v>
      </c>
    </row>
    <row r="222" spans="1:11" x14ac:dyDescent="0.15">
      <c r="A222" s="7">
        <v>39235.584537037037</v>
      </c>
      <c r="B222">
        <v>40.9</v>
      </c>
      <c r="C222" s="6">
        <f t="shared" si="27"/>
        <v>404.00000014342368</v>
      </c>
      <c r="D222" t="str">
        <f t="shared" si="28"/>
        <v/>
      </c>
      <c r="E222">
        <f t="shared" si="30"/>
        <v>39235.584537037037</v>
      </c>
      <c r="F222" s="4">
        <f t="shared" si="29"/>
        <v>2.8999999999999986</v>
      </c>
      <c r="G222" s="4">
        <f t="shared" si="31"/>
        <v>1.4499999999999993</v>
      </c>
      <c r="H222" s="5">
        <f t="shared" si="32"/>
        <v>2.9499997623497611</v>
      </c>
      <c r="I222" s="14">
        <f t="shared" si="34"/>
        <v>507.43207972461937</v>
      </c>
      <c r="J222" s="19">
        <f t="shared" si="35"/>
        <v>950213.94927121664</v>
      </c>
      <c r="K222" s="16">
        <f t="shared" si="33"/>
        <v>0.95779006871475036</v>
      </c>
    </row>
    <row r="223" spans="1:11" x14ac:dyDescent="0.15">
      <c r="A223" s="7">
        <v>39235.584560185183</v>
      </c>
      <c r="B223">
        <v>41</v>
      </c>
      <c r="C223" s="6">
        <f t="shared" si="27"/>
        <v>405.99999998230487</v>
      </c>
      <c r="D223" t="str">
        <f t="shared" si="28"/>
        <v/>
      </c>
      <c r="E223">
        <f t="shared" si="30"/>
        <v>39235.584560185183</v>
      </c>
      <c r="F223" s="4">
        <f t="shared" si="29"/>
        <v>3</v>
      </c>
      <c r="G223" s="4">
        <f t="shared" si="31"/>
        <v>1.5</v>
      </c>
      <c r="H223" s="5">
        <f t="shared" si="32"/>
        <v>2.9499997623497611</v>
      </c>
      <c r="I223" s="14">
        <f t="shared" si="34"/>
        <v>507.43207972461937</v>
      </c>
      <c r="J223" s="19">
        <f t="shared" si="35"/>
        <v>950721.38135094126</v>
      </c>
      <c r="K223" s="16">
        <f t="shared" si="33"/>
        <v>0.95830154658442401</v>
      </c>
    </row>
    <row r="224" spans="1:11" x14ac:dyDescent="0.15">
      <c r="A224" s="7">
        <v>39235.584583333337</v>
      </c>
      <c r="B224">
        <v>40.799999999999997</v>
      </c>
      <c r="C224" s="6">
        <f t="shared" si="27"/>
        <v>408.0000004498288</v>
      </c>
      <c r="D224" t="str">
        <f t="shared" si="28"/>
        <v/>
      </c>
      <c r="E224">
        <f t="shared" si="30"/>
        <v>39235.584583333337</v>
      </c>
      <c r="F224" s="4">
        <f t="shared" si="29"/>
        <v>2.7999999999999972</v>
      </c>
      <c r="G224" s="4">
        <f t="shared" si="31"/>
        <v>1.3999999999999986</v>
      </c>
      <c r="H224" s="5">
        <f t="shared" si="32"/>
        <v>2.9000006779097007</v>
      </c>
      <c r="I224" s="14">
        <f t="shared" si="34"/>
        <v>498.8316927938971</v>
      </c>
      <c r="J224" s="19">
        <f t="shared" si="35"/>
        <v>951220.21304373513</v>
      </c>
      <c r="K224" s="16">
        <f t="shared" si="33"/>
        <v>0.9588043554957062</v>
      </c>
    </row>
    <row r="225" spans="1:11" x14ac:dyDescent="0.15">
      <c r="A225" s="7">
        <v>39235.584606481483</v>
      </c>
      <c r="B225">
        <v>40.9</v>
      </c>
      <c r="C225" s="6">
        <f t="shared" si="27"/>
        <v>410.00000028871</v>
      </c>
      <c r="D225" t="str">
        <f t="shared" si="28"/>
        <v/>
      </c>
      <c r="E225">
        <f t="shared" si="30"/>
        <v>39235.584606481483</v>
      </c>
      <c r="F225" s="4">
        <f t="shared" si="29"/>
        <v>2.8999999999999986</v>
      </c>
      <c r="G225" s="4">
        <f t="shared" si="31"/>
        <v>1.4499999999999993</v>
      </c>
      <c r="H225" s="5">
        <f t="shared" si="32"/>
        <v>2.8499997704057001</v>
      </c>
      <c r="I225" s="14">
        <f t="shared" si="34"/>
        <v>490.23099227632696</v>
      </c>
      <c r="J225" s="19">
        <f t="shared" si="35"/>
        <v>951710.44403601147</v>
      </c>
      <c r="K225" s="16">
        <f t="shared" si="33"/>
        <v>0.95929849513250964</v>
      </c>
    </row>
    <row r="226" spans="1:11" x14ac:dyDescent="0.15">
      <c r="A226" s="7">
        <v>39235.584629629629</v>
      </c>
      <c r="B226">
        <v>40.9</v>
      </c>
      <c r="C226" s="6">
        <f t="shared" si="27"/>
        <v>412.00000012759119</v>
      </c>
      <c r="D226" t="str">
        <f t="shared" si="28"/>
        <v/>
      </c>
      <c r="E226">
        <f t="shared" si="30"/>
        <v>39235.584629629629</v>
      </c>
      <c r="F226" s="4">
        <f t="shared" si="29"/>
        <v>2.8999999999999986</v>
      </c>
      <c r="G226" s="4">
        <f t="shared" si="31"/>
        <v>1.4499999999999993</v>
      </c>
      <c r="H226" s="5">
        <f t="shared" si="32"/>
        <v>2.8999997663777308</v>
      </c>
      <c r="I226" s="14">
        <f t="shared" si="34"/>
        <v>498.83153600047319</v>
      </c>
      <c r="J226" s="19">
        <f t="shared" si="35"/>
        <v>952209.27557201195</v>
      </c>
      <c r="K226" s="16">
        <f t="shared" si="33"/>
        <v>0.95980130388574825</v>
      </c>
    </row>
    <row r="227" spans="1:11" x14ac:dyDescent="0.15">
      <c r="A227" s="7">
        <v>39235.584652777776</v>
      </c>
      <c r="B227">
        <v>40.700000000000003</v>
      </c>
      <c r="C227" s="6">
        <f t="shared" si="27"/>
        <v>413.99999996647239</v>
      </c>
      <c r="D227" t="str">
        <f t="shared" si="28"/>
        <v/>
      </c>
      <c r="E227">
        <f t="shared" si="30"/>
        <v>39235.584652777776</v>
      </c>
      <c r="F227" s="4">
        <f t="shared" si="29"/>
        <v>2.7000000000000028</v>
      </c>
      <c r="G227" s="4">
        <f t="shared" si="31"/>
        <v>1.3500000000000014</v>
      </c>
      <c r="H227" s="5">
        <f t="shared" si="32"/>
        <v>2.7999997744336733</v>
      </c>
      <c r="I227" s="14">
        <f t="shared" si="34"/>
        <v>481.63044855218141</v>
      </c>
      <c r="J227" s="19">
        <f t="shared" si="35"/>
        <v>952690.90602056414</v>
      </c>
      <c r="K227" s="16">
        <f t="shared" si="33"/>
        <v>0.96028677440611654</v>
      </c>
    </row>
    <row r="228" spans="1:11" x14ac:dyDescent="0.15">
      <c r="A228" s="7">
        <v>39235.584675925929</v>
      </c>
      <c r="B228">
        <v>40.6</v>
      </c>
      <c r="C228" s="6">
        <f t="shared" si="27"/>
        <v>416.00000043399632</v>
      </c>
      <c r="D228" t="str">
        <f t="shared" si="28"/>
        <v/>
      </c>
      <c r="E228">
        <f t="shared" si="30"/>
        <v>39235.584675925929</v>
      </c>
      <c r="F228" s="4">
        <f t="shared" si="29"/>
        <v>2.6000000000000014</v>
      </c>
      <c r="G228" s="4">
        <f t="shared" si="31"/>
        <v>1.3000000000000007</v>
      </c>
      <c r="H228" s="5">
        <f t="shared" si="32"/>
        <v>2.6500006194692127</v>
      </c>
      <c r="I228" s="14">
        <f t="shared" si="34"/>
        <v>455.82896065649277</v>
      </c>
      <c r="J228" s="19">
        <f t="shared" si="35"/>
        <v>953146.73498122068</v>
      </c>
      <c r="K228" s="16">
        <f t="shared" si="33"/>
        <v>0.96074623772159851</v>
      </c>
    </row>
    <row r="229" spans="1:11" x14ac:dyDescent="0.15">
      <c r="A229" s="7">
        <v>39235.584699074076</v>
      </c>
      <c r="B229">
        <v>40.700000000000003</v>
      </c>
      <c r="C229" s="6">
        <f t="shared" si="27"/>
        <v>418.00000027287751</v>
      </c>
      <c r="D229" t="str">
        <f t="shared" si="28"/>
        <v/>
      </c>
      <c r="E229">
        <f t="shared" si="30"/>
        <v>39235.584699074076</v>
      </c>
      <c r="F229" s="4">
        <f t="shared" si="29"/>
        <v>2.7000000000000028</v>
      </c>
      <c r="G229" s="4">
        <f t="shared" si="31"/>
        <v>1.3500000000000014</v>
      </c>
      <c r="H229" s="5">
        <f t="shared" si="32"/>
        <v>2.6499997865175851</v>
      </c>
      <c r="I229" s="14">
        <f t="shared" si="34"/>
        <v>455.82881737974333</v>
      </c>
      <c r="J229" s="19">
        <f t="shared" si="35"/>
        <v>953602.56379860046</v>
      </c>
      <c r="K229" s="16">
        <f t="shared" si="33"/>
        <v>0.96120570089266144</v>
      </c>
    </row>
    <row r="230" spans="1:11" x14ac:dyDescent="0.15">
      <c r="A230" s="7">
        <v>39235.584722222222</v>
      </c>
      <c r="B230">
        <v>40.6</v>
      </c>
      <c r="C230" s="6">
        <f t="shared" si="27"/>
        <v>420.00000011175871</v>
      </c>
      <c r="D230" t="str">
        <f t="shared" si="28"/>
        <v/>
      </c>
      <c r="E230">
        <f t="shared" si="30"/>
        <v>39235.584722222222</v>
      </c>
      <c r="F230" s="4">
        <f t="shared" si="29"/>
        <v>2.6000000000000014</v>
      </c>
      <c r="G230" s="4">
        <f t="shared" si="31"/>
        <v>1.3000000000000007</v>
      </c>
      <c r="H230" s="5">
        <f t="shared" si="32"/>
        <v>2.6499997865175851</v>
      </c>
      <c r="I230" s="14">
        <f t="shared" si="34"/>
        <v>455.82881737974333</v>
      </c>
      <c r="J230" s="19">
        <f t="shared" si="35"/>
        <v>954058.39261598024</v>
      </c>
      <c r="K230" s="16">
        <f t="shared" si="33"/>
        <v>0.96166516406372426</v>
      </c>
    </row>
    <row r="231" spans="1:11" x14ac:dyDescent="0.15">
      <c r="A231" s="7">
        <v>39235.584745370368</v>
      </c>
      <c r="B231">
        <v>40.700000000000003</v>
      </c>
      <c r="C231" s="6">
        <f t="shared" si="27"/>
        <v>421.9999999506399</v>
      </c>
      <c r="D231" t="str">
        <f t="shared" si="28"/>
        <v/>
      </c>
      <c r="E231">
        <f t="shared" si="30"/>
        <v>39235.584745370368</v>
      </c>
      <c r="F231" s="4">
        <f t="shared" si="29"/>
        <v>2.7000000000000028</v>
      </c>
      <c r="G231" s="4">
        <f t="shared" si="31"/>
        <v>1.3500000000000014</v>
      </c>
      <c r="H231" s="5">
        <f t="shared" si="32"/>
        <v>2.6499997865175851</v>
      </c>
      <c r="I231" s="14">
        <f t="shared" si="34"/>
        <v>455.82881737974333</v>
      </c>
      <c r="J231" s="19">
        <f t="shared" si="35"/>
        <v>954514.22143336001</v>
      </c>
      <c r="K231" s="16">
        <f t="shared" si="33"/>
        <v>0.9621246272347872</v>
      </c>
    </row>
    <row r="232" spans="1:11" x14ac:dyDescent="0.15">
      <c r="A232" s="7">
        <v>39235.584768518522</v>
      </c>
      <c r="B232">
        <v>40.6</v>
      </c>
      <c r="C232" s="6">
        <f t="shared" si="27"/>
        <v>424.00000041816384</v>
      </c>
      <c r="D232" t="str">
        <f t="shared" si="28"/>
        <v/>
      </c>
      <c r="E232">
        <f t="shared" si="30"/>
        <v>39235.584768518522</v>
      </c>
      <c r="F232" s="4">
        <f t="shared" si="29"/>
        <v>2.6000000000000014</v>
      </c>
      <c r="G232" s="4">
        <f t="shared" si="31"/>
        <v>1.3000000000000007</v>
      </c>
      <c r="H232" s="5">
        <f t="shared" si="32"/>
        <v>2.6500006194692127</v>
      </c>
      <c r="I232" s="14">
        <f t="shared" si="34"/>
        <v>455.82896065649277</v>
      </c>
      <c r="J232" s="19">
        <f t="shared" si="35"/>
        <v>954970.05039401655</v>
      </c>
      <c r="K232" s="16">
        <f t="shared" si="33"/>
        <v>0.96258409055026917</v>
      </c>
    </row>
    <row r="233" spans="1:11" x14ac:dyDescent="0.15">
      <c r="A233" s="7">
        <v>39235.584791666668</v>
      </c>
      <c r="B233">
        <v>40.6</v>
      </c>
      <c r="C233" s="6">
        <f t="shared" si="27"/>
        <v>426.00000025704503</v>
      </c>
      <c r="D233" t="str">
        <f t="shared" si="28"/>
        <v/>
      </c>
      <c r="E233">
        <f t="shared" si="30"/>
        <v>39235.584791666668</v>
      </c>
      <c r="F233" s="4">
        <f t="shared" si="29"/>
        <v>2.6000000000000014</v>
      </c>
      <c r="G233" s="4">
        <f t="shared" si="31"/>
        <v>1.3000000000000007</v>
      </c>
      <c r="H233" s="5">
        <f t="shared" si="32"/>
        <v>2.5999997905455543</v>
      </c>
      <c r="I233" s="14">
        <f t="shared" si="34"/>
        <v>447.22827365559709</v>
      </c>
      <c r="J233" s="19">
        <f t="shared" si="35"/>
        <v>955417.27866767219</v>
      </c>
      <c r="K233" s="16">
        <f t="shared" si="33"/>
        <v>0.96303488460489695</v>
      </c>
    </row>
    <row r="234" spans="1:11" x14ac:dyDescent="0.15">
      <c r="A234" s="7">
        <v>39235.584814814814</v>
      </c>
      <c r="B234">
        <v>40.6</v>
      </c>
      <c r="C234" s="6">
        <f t="shared" si="27"/>
        <v>428.00000009592623</v>
      </c>
      <c r="D234" t="str">
        <f t="shared" si="28"/>
        <v/>
      </c>
      <c r="E234">
        <f t="shared" si="30"/>
        <v>39235.584814814814</v>
      </c>
      <c r="F234" s="4">
        <f t="shared" si="29"/>
        <v>2.6000000000000014</v>
      </c>
      <c r="G234" s="4">
        <f t="shared" si="31"/>
        <v>1.3000000000000007</v>
      </c>
      <c r="H234" s="5">
        <f t="shared" si="32"/>
        <v>2.5999997905455543</v>
      </c>
      <c r="I234" s="14">
        <f t="shared" si="34"/>
        <v>447.22827365559709</v>
      </c>
      <c r="J234" s="19">
        <f t="shared" si="35"/>
        <v>955864.50694132783</v>
      </c>
      <c r="K234" s="16">
        <f t="shared" si="33"/>
        <v>0.96348567865952461</v>
      </c>
    </row>
    <row r="235" spans="1:11" x14ac:dyDescent="0.15">
      <c r="A235" s="7">
        <v>39235.584837962961</v>
      </c>
      <c r="B235">
        <v>40.6</v>
      </c>
      <c r="C235" s="6">
        <f t="shared" si="27"/>
        <v>429.99999993480742</v>
      </c>
      <c r="D235" t="str">
        <f t="shared" si="28"/>
        <v/>
      </c>
      <c r="E235">
        <f t="shared" si="30"/>
        <v>39235.584837962961</v>
      </c>
      <c r="F235" s="4">
        <f t="shared" si="29"/>
        <v>2.6000000000000014</v>
      </c>
      <c r="G235" s="4">
        <f t="shared" si="31"/>
        <v>1.3000000000000007</v>
      </c>
      <c r="H235" s="5">
        <f t="shared" si="32"/>
        <v>2.5999997905455543</v>
      </c>
      <c r="I235" s="14">
        <f t="shared" si="34"/>
        <v>447.22827365559709</v>
      </c>
      <c r="J235" s="19">
        <f t="shared" si="35"/>
        <v>956311.73521498346</v>
      </c>
      <c r="K235" s="16">
        <f t="shared" si="33"/>
        <v>0.96393647271415239</v>
      </c>
    </row>
    <row r="236" spans="1:11" x14ac:dyDescent="0.15">
      <c r="A236" s="7">
        <v>39235.584861111114</v>
      </c>
      <c r="B236">
        <v>40.4</v>
      </c>
      <c r="C236" s="6">
        <f t="shared" si="27"/>
        <v>432.00000040233135</v>
      </c>
      <c r="D236" t="str">
        <f t="shared" si="28"/>
        <v/>
      </c>
      <c r="E236">
        <f t="shared" si="30"/>
        <v>39235.584861111114</v>
      </c>
      <c r="F236" s="4">
        <f t="shared" si="29"/>
        <v>2.3999999999999986</v>
      </c>
      <c r="G236" s="4">
        <f t="shared" si="31"/>
        <v>1.1999999999999993</v>
      </c>
      <c r="H236" s="5">
        <f t="shared" si="32"/>
        <v>2.5000005844049156</v>
      </c>
      <c r="I236" s="14">
        <f t="shared" si="34"/>
        <v>430.02732137404939</v>
      </c>
      <c r="J236" s="19">
        <f t="shared" si="35"/>
        <v>956741.76253635751</v>
      </c>
      <c r="K236" s="16">
        <f t="shared" si="33"/>
        <v>0.96436992867215421</v>
      </c>
    </row>
    <row r="237" spans="1:11" x14ac:dyDescent="0.15">
      <c r="A237" s="7">
        <v>39235.58488425926</v>
      </c>
      <c r="B237">
        <v>40.4</v>
      </c>
      <c r="C237" s="6">
        <f t="shared" si="27"/>
        <v>434.00000024121255</v>
      </c>
      <c r="D237" t="str">
        <f t="shared" si="28"/>
        <v/>
      </c>
      <c r="E237">
        <f t="shared" si="30"/>
        <v>39235.58488425926</v>
      </c>
      <c r="F237" s="4">
        <f t="shared" si="29"/>
        <v>2.3999999999999986</v>
      </c>
      <c r="G237" s="4">
        <f t="shared" si="31"/>
        <v>1.1999999999999993</v>
      </c>
      <c r="H237" s="5">
        <f t="shared" si="32"/>
        <v>2.3999998066574322</v>
      </c>
      <c r="I237" s="14">
        <f t="shared" si="34"/>
        <v>412.82609875901227</v>
      </c>
      <c r="J237" s="19">
        <f t="shared" si="35"/>
        <v>957154.58863511647</v>
      </c>
      <c r="K237" s="16">
        <f t="shared" si="33"/>
        <v>0.96478604626104125</v>
      </c>
    </row>
    <row r="238" spans="1:11" x14ac:dyDescent="0.15">
      <c r="A238" s="7">
        <v>39235.584907407407</v>
      </c>
      <c r="B238">
        <v>40.4</v>
      </c>
      <c r="C238" s="6">
        <f t="shared" si="27"/>
        <v>436.00000008009374</v>
      </c>
      <c r="D238" t="str">
        <f t="shared" si="28"/>
        <v/>
      </c>
      <c r="E238">
        <f t="shared" si="30"/>
        <v>39235.584907407407</v>
      </c>
      <c r="F238" s="4">
        <f t="shared" si="29"/>
        <v>2.3999999999999986</v>
      </c>
      <c r="G238" s="4">
        <f t="shared" si="31"/>
        <v>1.1999999999999993</v>
      </c>
      <c r="H238" s="5">
        <f t="shared" si="32"/>
        <v>2.3999998066574322</v>
      </c>
      <c r="I238" s="14">
        <f t="shared" si="34"/>
        <v>412.82609875901227</v>
      </c>
      <c r="J238" s="19">
        <f t="shared" si="35"/>
        <v>957567.41473387543</v>
      </c>
      <c r="K238" s="16">
        <f t="shared" si="33"/>
        <v>0.96520216384992841</v>
      </c>
    </row>
    <row r="239" spans="1:11" x14ac:dyDescent="0.15">
      <c r="A239" s="7">
        <v>39235.584930555553</v>
      </c>
      <c r="B239">
        <v>40.4</v>
      </c>
      <c r="C239" s="6">
        <f t="shared" si="27"/>
        <v>437.99999991897494</v>
      </c>
      <c r="D239" t="str">
        <f t="shared" si="28"/>
        <v/>
      </c>
      <c r="E239">
        <f t="shared" si="30"/>
        <v>39235.584930555553</v>
      </c>
      <c r="F239" s="4">
        <f t="shared" si="29"/>
        <v>2.3999999999999986</v>
      </c>
      <c r="G239" s="4">
        <f t="shared" si="31"/>
        <v>1.1999999999999993</v>
      </c>
      <c r="H239" s="5">
        <f t="shared" si="32"/>
        <v>2.3999998066574322</v>
      </c>
      <c r="I239" s="14">
        <f t="shared" si="34"/>
        <v>412.82609875901227</v>
      </c>
      <c r="J239" s="19">
        <f t="shared" si="35"/>
        <v>957980.24083263439</v>
      </c>
      <c r="K239" s="16">
        <f t="shared" si="33"/>
        <v>0.96561828143881545</v>
      </c>
    </row>
    <row r="240" spans="1:11" x14ac:dyDescent="0.15">
      <c r="A240" s="7">
        <v>39235.584953703707</v>
      </c>
      <c r="B240">
        <v>40.299999999999997</v>
      </c>
      <c r="C240" s="6">
        <f t="shared" si="27"/>
        <v>440.00000038649887</v>
      </c>
      <c r="D240" t="str">
        <f t="shared" si="28"/>
        <v/>
      </c>
      <c r="E240">
        <f t="shared" si="30"/>
        <v>39235.584953703707</v>
      </c>
      <c r="F240" s="4">
        <f t="shared" si="29"/>
        <v>2.2999999999999972</v>
      </c>
      <c r="G240" s="4">
        <f t="shared" si="31"/>
        <v>1.1499999999999986</v>
      </c>
      <c r="H240" s="5">
        <f t="shared" si="32"/>
        <v>2.3500005493406184</v>
      </c>
      <c r="I240" s="14">
        <f t="shared" si="34"/>
        <v>404.22568209160607</v>
      </c>
      <c r="J240" s="19">
        <f t="shared" si="35"/>
        <v>958384.46651472594</v>
      </c>
      <c r="K240" s="16">
        <f t="shared" si="33"/>
        <v>0.96602573003933712</v>
      </c>
    </row>
    <row r="241" spans="1:11" x14ac:dyDescent="0.15">
      <c r="A241" s="7">
        <v>39235.584976851853</v>
      </c>
      <c r="B241">
        <v>40.1</v>
      </c>
      <c r="C241" s="6">
        <f t="shared" si="27"/>
        <v>442.00000022538006</v>
      </c>
      <c r="D241" t="str">
        <f t="shared" si="28"/>
        <v/>
      </c>
      <c r="E241">
        <f t="shared" si="30"/>
        <v>39235.584976851853</v>
      </c>
      <c r="F241" s="4">
        <f t="shared" si="29"/>
        <v>2.1000000000000014</v>
      </c>
      <c r="G241" s="4">
        <f t="shared" si="31"/>
        <v>1.0500000000000007</v>
      </c>
      <c r="H241" s="5">
        <f t="shared" si="32"/>
        <v>2.1999998227693132</v>
      </c>
      <c r="I241" s="14">
        <f t="shared" si="34"/>
        <v>378.42392386242796</v>
      </c>
      <c r="J241" s="19">
        <f t="shared" si="35"/>
        <v>958762.89043858834</v>
      </c>
      <c r="K241" s="16">
        <f t="shared" si="33"/>
        <v>0.96640717116248354</v>
      </c>
    </row>
    <row r="242" spans="1:11" x14ac:dyDescent="0.15">
      <c r="A242" s="7">
        <v>39235.584999999999</v>
      </c>
      <c r="B242">
        <v>40.299999999999997</v>
      </c>
      <c r="C242" s="6">
        <f t="shared" si="27"/>
        <v>444.00000006426126</v>
      </c>
      <c r="D242" t="str">
        <f t="shared" si="28"/>
        <v/>
      </c>
      <c r="E242">
        <f t="shared" si="30"/>
        <v>39235.584999999999</v>
      </c>
      <c r="F242" s="4">
        <f t="shared" si="29"/>
        <v>2.2999999999999972</v>
      </c>
      <c r="G242" s="4">
        <f t="shared" si="31"/>
        <v>1.1499999999999986</v>
      </c>
      <c r="H242" s="5">
        <f t="shared" si="32"/>
        <v>2.1999998227693132</v>
      </c>
      <c r="I242" s="14">
        <f t="shared" si="34"/>
        <v>378.42392386242796</v>
      </c>
      <c r="J242" s="19">
        <f t="shared" si="35"/>
        <v>959141.31436245074</v>
      </c>
      <c r="K242" s="16">
        <f t="shared" si="33"/>
        <v>0.96678861228563007</v>
      </c>
    </row>
    <row r="243" spans="1:11" x14ac:dyDescent="0.15">
      <c r="A243" s="7">
        <v>39235.585023148145</v>
      </c>
      <c r="B243">
        <v>40.1</v>
      </c>
      <c r="C243" s="6">
        <f t="shared" si="27"/>
        <v>445.99999990314245</v>
      </c>
      <c r="D243" t="str">
        <f t="shared" si="28"/>
        <v/>
      </c>
      <c r="E243">
        <f t="shared" si="30"/>
        <v>39235.585023148145</v>
      </c>
      <c r="F243" s="4">
        <f t="shared" si="29"/>
        <v>2.1000000000000014</v>
      </c>
      <c r="G243" s="4">
        <f t="shared" si="31"/>
        <v>1.0500000000000007</v>
      </c>
      <c r="H243" s="5">
        <f t="shared" si="32"/>
        <v>2.1999998227693132</v>
      </c>
      <c r="I243" s="14">
        <f t="shared" si="34"/>
        <v>378.42392386242796</v>
      </c>
      <c r="J243" s="19">
        <f t="shared" si="35"/>
        <v>959519.73828631314</v>
      </c>
      <c r="K243" s="16">
        <f t="shared" si="33"/>
        <v>0.9671700534087766</v>
      </c>
    </row>
    <row r="244" spans="1:11" x14ac:dyDescent="0.15">
      <c r="A244" s="7">
        <v>39235.585046296299</v>
      </c>
      <c r="B244">
        <v>40.1</v>
      </c>
      <c r="C244" s="6">
        <f t="shared" si="27"/>
        <v>448.00000037066638</v>
      </c>
      <c r="D244" t="str">
        <f t="shared" si="28"/>
        <v/>
      </c>
      <c r="E244">
        <f t="shared" si="30"/>
        <v>39235.585046296299</v>
      </c>
      <c r="F244" s="4">
        <f t="shared" si="29"/>
        <v>2.1000000000000014</v>
      </c>
      <c r="G244" s="4">
        <f t="shared" si="31"/>
        <v>1.0500000000000007</v>
      </c>
      <c r="H244" s="5">
        <f t="shared" si="32"/>
        <v>2.1000004909001304</v>
      </c>
      <c r="I244" s="14">
        <f t="shared" si="34"/>
        <v>361.22294995420174</v>
      </c>
      <c r="J244" s="19">
        <f t="shared" si="35"/>
        <v>959880.96123626735</v>
      </c>
      <c r="K244" s="16">
        <f t="shared" si="33"/>
        <v>0.96753415641349816</v>
      </c>
    </row>
    <row r="245" spans="1:11" x14ac:dyDescent="0.15">
      <c r="A245" s="7">
        <v>39235.585069444445</v>
      </c>
      <c r="B245">
        <v>40.1</v>
      </c>
      <c r="C245" s="6">
        <f t="shared" si="27"/>
        <v>450.00000020954758</v>
      </c>
      <c r="D245" t="str">
        <f t="shared" si="28"/>
        <v/>
      </c>
      <c r="E245">
        <f t="shared" si="30"/>
        <v>39235.585069444445</v>
      </c>
      <c r="F245" s="4">
        <f t="shared" si="29"/>
        <v>2.1000000000000014</v>
      </c>
      <c r="G245" s="4">
        <f t="shared" si="31"/>
        <v>1.0500000000000007</v>
      </c>
      <c r="H245" s="5">
        <f t="shared" si="32"/>
        <v>2.0999998308252557</v>
      </c>
      <c r="I245" s="14">
        <f t="shared" si="34"/>
        <v>361.22283641413617</v>
      </c>
      <c r="J245" s="19">
        <f t="shared" si="35"/>
        <v>960242.18407268147</v>
      </c>
      <c r="K245" s="16">
        <f t="shared" si="33"/>
        <v>0.96789825930377438</v>
      </c>
    </row>
    <row r="246" spans="1:11" x14ac:dyDescent="0.15">
      <c r="A246" s="7">
        <v>39235.585092592592</v>
      </c>
      <c r="B246">
        <v>40.1</v>
      </c>
      <c r="C246" s="6">
        <f t="shared" si="27"/>
        <v>452.00000004842877</v>
      </c>
      <c r="D246" t="str">
        <f t="shared" si="28"/>
        <v/>
      </c>
      <c r="E246">
        <f t="shared" si="30"/>
        <v>39235.585092592592</v>
      </c>
      <c r="F246" s="4">
        <f t="shared" si="29"/>
        <v>2.1000000000000014</v>
      </c>
      <c r="G246" s="4">
        <f t="shared" si="31"/>
        <v>1.0500000000000007</v>
      </c>
      <c r="H246" s="5">
        <f t="shared" si="32"/>
        <v>2.0999998308252557</v>
      </c>
      <c r="I246" s="14">
        <f t="shared" si="34"/>
        <v>361.22283641413617</v>
      </c>
      <c r="J246" s="19">
        <f t="shared" si="35"/>
        <v>960603.40690909559</v>
      </c>
      <c r="K246" s="16">
        <f t="shared" si="33"/>
        <v>0.96826236219405049</v>
      </c>
    </row>
    <row r="247" spans="1:11" x14ac:dyDescent="0.15">
      <c r="A247" s="7">
        <v>39235.585115740738</v>
      </c>
      <c r="B247">
        <v>40.1</v>
      </c>
      <c r="C247" s="6">
        <f t="shared" si="27"/>
        <v>453.99999988730997</v>
      </c>
      <c r="D247" t="str">
        <f t="shared" si="28"/>
        <v/>
      </c>
      <c r="E247">
        <f t="shared" si="30"/>
        <v>39235.585115740738</v>
      </c>
      <c r="F247" s="4">
        <f t="shared" si="29"/>
        <v>2.1000000000000014</v>
      </c>
      <c r="G247" s="4">
        <f t="shared" si="31"/>
        <v>1.0500000000000007</v>
      </c>
      <c r="H247" s="5">
        <f t="shared" si="32"/>
        <v>2.0999998308252557</v>
      </c>
      <c r="I247" s="14">
        <f t="shared" si="34"/>
        <v>361.22283641413617</v>
      </c>
      <c r="J247" s="19">
        <f t="shared" si="35"/>
        <v>960964.62974550971</v>
      </c>
      <c r="K247" s="16">
        <f t="shared" si="33"/>
        <v>0.9686264650843267</v>
      </c>
    </row>
    <row r="248" spans="1:11" x14ac:dyDescent="0.15">
      <c r="A248" s="7">
        <v>39235.585138888891</v>
      </c>
      <c r="B248">
        <v>40.1</v>
      </c>
      <c r="C248" s="6">
        <f t="shared" si="27"/>
        <v>456.0000003548339</v>
      </c>
      <c r="D248" t="str">
        <f t="shared" si="28"/>
        <v/>
      </c>
      <c r="E248">
        <f t="shared" si="30"/>
        <v>39235.585138888891</v>
      </c>
      <c r="F248" s="4">
        <f t="shared" si="29"/>
        <v>2.1000000000000014</v>
      </c>
      <c r="G248" s="4">
        <f t="shared" si="31"/>
        <v>1.0500000000000007</v>
      </c>
      <c r="H248" s="5">
        <f t="shared" si="32"/>
        <v>2.1000004909001304</v>
      </c>
      <c r="I248" s="14">
        <f t="shared" si="34"/>
        <v>361.22294995420174</v>
      </c>
      <c r="J248" s="19">
        <f t="shared" si="35"/>
        <v>961325.85269546392</v>
      </c>
      <c r="K248" s="16">
        <f t="shared" si="33"/>
        <v>0.96899056808904827</v>
      </c>
    </row>
    <row r="249" spans="1:11" x14ac:dyDescent="0.15">
      <c r="A249" s="7">
        <v>39235.585162037038</v>
      </c>
      <c r="B249">
        <v>40.1</v>
      </c>
      <c r="C249" s="6">
        <f t="shared" si="27"/>
        <v>458.0000001937151</v>
      </c>
      <c r="D249" t="str">
        <f t="shared" si="28"/>
        <v/>
      </c>
      <c r="E249">
        <f t="shared" si="30"/>
        <v>39235.585162037038</v>
      </c>
      <c r="F249" s="4">
        <f t="shared" si="29"/>
        <v>2.1000000000000014</v>
      </c>
      <c r="G249" s="4">
        <f t="shared" si="31"/>
        <v>1.0500000000000007</v>
      </c>
      <c r="H249" s="5">
        <f t="shared" si="32"/>
        <v>2.0999998308252557</v>
      </c>
      <c r="I249" s="14">
        <f t="shared" si="34"/>
        <v>361.22283641413617</v>
      </c>
      <c r="J249" s="19">
        <f t="shared" si="35"/>
        <v>961687.07553187804</v>
      </c>
      <c r="K249" s="16">
        <f t="shared" si="33"/>
        <v>0.96935467097932448</v>
      </c>
    </row>
    <row r="250" spans="1:11" x14ac:dyDescent="0.15">
      <c r="A250" s="7">
        <v>39235.585185185184</v>
      </c>
      <c r="B250">
        <v>40</v>
      </c>
      <c r="C250" s="6">
        <f t="shared" si="27"/>
        <v>460.00000003259629</v>
      </c>
      <c r="D250" t="str">
        <f t="shared" si="28"/>
        <v/>
      </c>
      <c r="E250">
        <f t="shared" si="30"/>
        <v>39235.585185185184</v>
      </c>
      <c r="F250" s="4">
        <f t="shared" si="29"/>
        <v>2</v>
      </c>
      <c r="G250" s="4">
        <f t="shared" si="31"/>
        <v>1</v>
      </c>
      <c r="H250" s="5">
        <f t="shared" si="32"/>
        <v>2.0499998348532253</v>
      </c>
      <c r="I250" s="14">
        <f t="shared" si="34"/>
        <v>352.62229268998999</v>
      </c>
      <c r="J250" s="19">
        <f t="shared" si="35"/>
        <v>962039.69782456802</v>
      </c>
      <c r="K250" s="16">
        <f t="shared" si="33"/>
        <v>0.96971010475316555</v>
      </c>
    </row>
    <row r="251" spans="1:11" x14ac:dyDescent="0.15">
      <c r="A251" s="7">
        <v>39235.58520833333</v>
      </c>
      <c r="B251">
        <v>40.1</v>
      </c>
      <c r="C251" s="6">
        <f t="shared" si="27"/>
        <v>461.99999987147748</v>
      </c>
      <c r="D251" t="str">
        <f t="shared" si="28"/>
        <v/>
      </c>
      <c r="E251">
        <f t="shared" si="30"/>
        <v>39235.58520833333</v>
      </c>
      <c r="F251" s="4">
        <f t="shared" si="29"/>
        <v>2.1000000000000014</v>
      </c>
      <c r="G251" s="4">
        <f t="shared" si="31"/>
        <v>1.0500000000000007</v>
      </c>
      <c r="H251" s="5">
        <f t="shared" si="32"/>
        <v>2.0499998348532253</v>
      </c>
      <c r="I251" s="14">
        <f t="shared" si="34"/>
        <v>352.62229268998999</v>
      </c>
      <c r="J251" s="19">
        <f t="shared" si="35"/>
        <v>962392.320117258</v>
      </c>
      <c r="K251" s="16">
        <f t="shared" si="33"/>
        <v>0.97006553852700661</v>
      </c>
    </row>
    <row r="252" spans="1:11" x14ac:dyDescent="0.15">
      <c r="A252" s="7">
        <v>39235.585231481484</v>
      </c>
      <c r="B252">
        <v>39.799999999999997</v>
      </c>
      <c r="C252" s="6">
        <f t="shared" si="27"/>
        <v>464.00000033900142</v>
      </c>
      <c r="D252" t="str">
        <f t="shared" si="28"/>
        <v/>
      </c>
      <c r="E252">
        <f t="shared" si="30"/>
        <v>39235.585231481484</v>
      </c>
      <c r="F252" s="4">
        <f t="shared" si="29"/>
        <v>1.7999999999999972</v>
      </c>
      <c r="G252" s="4">
        <f t="shared" si="31"/>
        <v>0.89999999999999858</v>
      </c>
      <c r="H252" s="5">
        <f t="shared" si="32"/>
        <v>1.9500004558358335</v>
      </c>
      <c r="I252" s="14">
        <f t="shared" si="34"/>
        <v>335.42131067175842</v>
      </c>
      <c r="J252" s="19">
        <f t="shared" si="35"/>
        <v>962727.74142792972</v>
      </c>
      <c r="K252" s="16">
        <f t="shared" si="33"/>
        <v>0.97040363417424802</v>
      </c>
    </row>
    <row r="253" spans="1:11" x14ac:dyDescent="0.15">
      <c r="A253" s="7">
        <v>39235.58525462963</v>
      </c>
      <c r="B253">
        <v>40</v>
      </c>
      <c r="C253" s="6">
        <f t="shared" si="27"/>
        <v>466.00000017788261</v>
      </c>
      <c r="D253" t="str">
        <f t="shared" si="28"/>
        <v/>
      </c>
      <c r="E253">
        <f t="shared" si="30"/>
        <v>39235.58525462963</v>
      </c>
      <c r="F253" s="4">
        <f t="shared" si="29"/>
        <v>2</v>
      </c>
      <c r="G253" s="4">
        <f t="shared" si="31"/>
        <v>1</v>
      </c>
      <c r="H253" s="5">
        <f t="shared" si="32"/>
        <v>1.8999998469371335</v>
      </c>
      <c r="I253" s="14">
        <f t="shared" si="34"/>
        <v>326.82066151755134</v>
      </c>
      <c r="J253" s="19">
        <f t="shared" si="35"/>
        <v>963054.56208944728</v>
      </c>
      <c r="K253" s="16">
        <f t="shared" si="33"/>
        <v>0.97073306059878361</v>
      </c>
    </row>
    <row r="254" spans="1:11" x14ac:dyDescent="0.15">
      <c r="A254" s="7">
        <v>39235.585277777776</v>
      </c>
      <c r="B254">
        <v>40</v>
      </c>
      <c r="C254" s="6">
        <f t="shared" si="27"/>
        <v>468.00000001676381</v>
      </c>
      <c r="D254" t="str">
        <f t="shared" si="28"/>
        <v/>
      </c>
      <c r="E254">
        <f t="shared" si="30"/>
        <v>39235.585277777776</v>
      </c>
      <c r="F254" s="4">
        <f t="shared" si="29"/>
        <v>2</v>
      </c>
      <c r="G254" s="4">
        <f t="shared" si="31"/>
        <v>1</v>
      </c>
      <c r="H254" s="5">
        <f t="shared" si="32"/>
        <v>1.9999998388811946</v>
      </c>
      <c r="I254" s="14">
        <f t="shared" si="34"/>
        <v>344.02174896584376</v>
      </c>
      <c r="J254" s="19">
        <f t="shared" si="35"/>
        <v>963398.58383841312</v>
      </c>
      <c r="K254" s="16">
        <f t="shared" si="33"/>
        <v>0.97107982525618963</v>
      </c>
    </row>
    <row r="255" spans="1:11" x14ac:dyDescent="0.15">
      <c r="A255" s="7">
        <v>39235.585300925923</v>
      </c>
      <c r="B255">
        <v>39.799999999999997</v>
      </c>
      <c r="C255" s="6">
        <f t="shared" si="27"/>
        <v>469.999999855645</v>
      </c>
      <c r="D255" t="str">
        <f t="shared" si="28"/>
        <v/>
      </c>
      <c r="E255">
        <f t="shared" si="30"/>
        <v>39235.585300925923</v>
      </c>
      <c r="F255" s="4">
        <f t="shared" si="29"/>
        <v>1.7999999999999972</v>
      </c>
      <c r="G255" s="4">
        <f t="shared" si="31"/>
        <v>0.89999999999999858</v>
      </c>
      <c r="H255" s="5">
        <f t="shared" si="32"/>
        <v>1.8999998469371335</v>
      </c>
      <c r="I255" s="14">
        <f t="shared" si="34"/>
        <v>326.82066151755134</v>
      </c>
      <c r="J255" s="19">
        <f t="shared" si="35"/>
        <v>963725.40449993068</v>
      </c>
      <c r="K255" s="16">
        <f t="shared" si="33"/>
        <v>0.97140925168072523</v>
      </c>
    </row>
    <row r="256" spans="1:11" x14ac:dyDescent="0.15">
      <c r="A256" s="7">
        <v>39235.585324074076</v>
      </c>
      <c r="B256">
        <v>39.799999999999997</v>
      </c>
      <c r="C256" s="6">
        <f t="shared" si="27"/>
        <v>472.00000032316893</v>
      </c>
      <c r="D256" t="str">
        <f t="shared" si="28"/>
        <v/>
      </c>
      <c r="E256">
        <f t="shared" si="30"/>
        <v>39235.585324074076</v>
      </c>
      <c r="F256" s="4">
        <f t="shared" si="29"/>
        <v>1.7999999999999972</v>
      </c>
      <c r="G256" s="4">
        <f t="shared" si="31"/>
        <v>0.89999999999999858</v>
      </c>
      <c r="H256" s="5">
        <f t="shared" si="32"/>
        <v>1.8000004207715363</v>
      </c>
      <c r="I256" s="14">
        <f t="shared" si="34"/>
        <v>309.6196713893151</v>
      </c>
      <c r="J256" s="19">
        <f t="shared" si="35"/>
        <v>964035.02417132002</v>
      </c>
      <c r="K256" s="16">
        <f t="shared" si="33"/>
        <v>0.9717213399704866</v>
      </c>
    </row>
    <row r="257" spans="1:11" x14ac:dyDescent="0.15">
      <c r="A257" s="7">
        <v>39235.585347222222</v>
      </c>
      <c r="B257">
        <v>39.700000000000003</v>
      </c>
      <c r="C257" s="6">
        <f t="shared" si="27"/>
        <v>474.00000016205013</v>
      </c>
      <c r="D257" t="str">
        <f t="shared" si="28"/>
        <v/>
      </c>
      <c r="E257">
        <f t="shared" si="30"/>
        <v>39235.585347222222</v>
      </c>
      <c r="F257" s="4">
        <f t="shared" si="29"/>
        <v>1.7000000000000028</v>
      </c>
      <c r="G257" s="4">
        <f t="shared" si="31"/>
        <v>0.85000000000000142</v>
      </c>
      <c r="H257" s="5">
        <f t="shared" si="32"/>
        <v>1.7499998590210453</v>
      </c>
      <c r="I257" s="14">
        <f t="shared" si="34"/>
        <v>301.01903034511326</v>
      </c>
      <c r="J257" s="19">
        <f t="shared" si="35"/>
        <v>964336.04320166516</v>
      </c>
      <c r="K257" s="16">
        <f t="shared" si="33"/>
        <v>0.97202475904571684</v>
      </c>
    </row>
    <row r="258" spans="1:11" x14ac:dyDescent="0.15">
      <c r="A258" s="7">
        <v>39235.585370370369</v>
      </c>
      <c r="B258">
        <v>39.700000000000003</v>
      </c>
      <c r="C258" s="6">
        <f t="shared" si="27"/>
        <v>476.00000000093132</v>
      </c>
      <c r="D258" t="str">
        <f t="shared" si="28"/>
        <v/>
      </c>
      <c r="E258">
        <f t="shared" si="30"/>
        <v>39235.585370370369</v>
      </c>
      <c r="F258" s="4">
        <f t="shared" si="29"/>
        <v>1.7000000000000028</v>
      </c>
      <c r="G258" s="4">
        <f t="shared" si="31"/>
        <v>0.85000000000000142</v>
      </c>
      <c r="H258" s="5">
        <f t="shared" si="32"/>
        <v>1.6999998630490183</v>
      </c>
      <c r="I258" s="14">
        <f t="shared" si="34"/>
        <v>292.41848662096766</v>
      </c>
      <c r="J258" s="19">
        <f t="shared" si="35"/>
        <v>964628.46168828616</v>
      </c>
      <c r="K258" s="16">
        <f t="shared" si="33"/>
        <v>0.97231950900451181</v>
      </c>
    </row>
    <row r="259" spans="1:11" x14ac:dyDescent="0.15">
      <c r="A259" s="7">
        <v>39235.585393518515</v>
      </c>
      <c r="B259">
        <v>39.700000000000003</v>
      </c>
      <c r="C259" s="6">
        <f t="shared" si="27"/>
        <v>477.99999983981252</v>
      </c>
      <c r="D259" t="str">
        <f t="shared" si="28"/>
        <v/>
      </c>
      <c r="E259">
        <f t="shared" si="30"/>
        <v>39235.585393518515</v>
      </c>
      <c r="F259" s="4">
        <f t="shared" si="29"/>
        <v>1.7000000000000028</v>
      </c>
      <c r="G259" s="4">
        <f t="shared" si="31"/>
        <v>0.85000000000000142</v>
      </c>
      <c r="H259" s="5">
        <f t="shared" si="32"/>
        <v>1.6999998630490183</v>
      </c>
      <c r="I259" s="14">
        <f t="shared" si="34"/>
        <v>292.41848662096766</v>
      </c>
      <c r="J259" s="19">
        <f t="shared" si="35"/>
        <v>964920.88017490716</v>
      </c>
      <c r="K259" s="16">
        <f t="shared" si="33"/>
        <v>0.97261425896330689</v>
      </c>
    </row>
    <row r="260" spans="1:11" x14ac:dyDescent="0.15">
      <c r="A260" s="7">
        <v>39235.585416666669</v>
      </c>
      <c r="B260">
        <v>39.799999999999997</v>
      </c>
      <c r="C260" s="6">
        <f t="shared" si="27"/>
        <v>480.00000030733645</v>
      </c>
      <c r="D260" t="str">
        <f t="shared" si="28"/>
        <v/>
      </c>
      <c r="E260">
        <f t="shared" si="30"/>
        <v>39235.585416666669</v>
      </c>
      <c r="F260" s="4">
        <f t="shared" si="29"/>
        <v>1.7999999999999972</v>
      </c>
      <c r="G260" s="4">
        <f t="shared" si="31"/>
        <v>0.89999999999999858</v>
      </c>
      <c r="H260" s="5">
        <f t="shared" si="32"/>
        <v>1.7500004090834409</v>
      </c>
      <c r="I260" s="14">
        <f t="shared" si="34"/>
        <v>301.01912496183456</v>
      </c>
      <c r="J260" s="19">
        <f t="shared" si="35"/>
        <v>965221.89929986896</v>
      </c>
      <c r="K260" s="16">
        <f t="shared" si="33"/>
        <v>0.97291767813390817</v>
      </c>
    </row>
    <row r="261" spans="1:11" x14ac:dyDescent="0.15">
      <c r="A261" s="7">
        <v>39235.585439814815</v>
      </c>
      <c r="B261">
        <v>39.700000000000003</v>
      </c>
      <c r="C261" s="6">
        <f t="shared" si="27"/>
        <v>482.00000014621764</v>
      </c>
      <c r="D261" t="str">
        <f t="shared" si="28"/>
        <v/>
      </c>
      <c r="E261">
        <f t="shared" si="30"/>
        <v>39235.585439814815</v>
      </c>
      <c r="F261" s="4">
        <f t="shared" si="29"/>
        <v>1.7000000000000028</v>
      </c>
      <c r="G261" s="4">
        <f t="shared" si="31"/>
        <v>0.85000000000000142</v>
      </c>
      <c r="H261" s="5">
        <f t="shared" si="32"/>
        <v>1.7499998590210453</v>
      </c>
      <c r="I261" s="14">
        <f t="shared" si="34"/>
        <v>301.01903034511326</v>
      </c>
      <c r="J261" s="19">
        <f t="shared" si="35"/>
        <v>965522.9183302141</v>
      </c>
      <c r="K261" s="16">
        <f t="shared" si="33"/>
        <v>0.97322109720913841</v>
      </c>
    </row>
    <row r="262" spans="1:11" x14ac:dyDescent="0.15">
      <c r="A262" s="7">
        <v>39235.585462962961</v>
      </c>
      <c r="B262">
        <v>39.700000000000003</v>
      </c>
      <c r="C262" s="6">
        <f t="shared" si="27"/>
        <v>483.99999998509884</v>
      </c>
      <c r="D262" t="str">
        <f t="shared" si="28"/>
        <v/>
      </c>
      <c r="E262">
        <f t="shared" si="30"/>
        <v>39235.585462962961</v>
      </c>
      <c r="F262" s="4">
        <f t="shared" si="29"/>
        <v>1.7000000000000028</v>
      </c>
      <c r="G262" s="4">
        <f t="shared" si="31"/>
        <v>0.85000000000000142</v>
      </c>
      <c r="H262" s="5">
        <f t="shared" si="32"/>
        <v>1.6999998630490183</v>
      </c>
      <c r="I262" s="14">
        <f t="shared" si="34"/>
        <v>292.41848662096766</v>
      </c>
      <c r="J262" s="19">
        <f t="shared" si="35"/>
        <v>965815.3368168351</v>
      </c>
      <c r="K262" s="16">
        <f t="shared" si="33"/>
        <v>0.97351584716793349</v>
      </c>
    </row>
    <row r="263" spans="1:11" x14ac:dyDescent="0.15">
      <c r="A263" s="7">
        <v>39235.585486111115</v>
      </c>
      <c r="B263">
        <v>39.700000000000003</v>
      </c>
      <c r="C263" s="6">
        <f t="shared" si="27"/>
        <v>486.00000045262277</v>
      </c>
      <c r="D263" t="str">
        <f t="shared" si="28"/>
        <v/>
      </c>
      <c r="E263">
        <f t="shared" si="30"/>
        <v>39235.585486111115</v>
      </c>
      <c r="F263" s="4">
        <f t="shared" si="29"/>
        <v>1.7000000000000028</v>
      </c>
      <c r="G263" s="4">
        <f t="shared" si="31"/>
        <v>0.85000000000000142</v>
      </c>
      <c r="H263" s="5">
        <f t="shared" si="32"/>
        <v>1.7000003973953455</v>
      </c>
      <c r="I263" s="14">
        <f t="shared" si="34"/>
        <v>292.41857853435408</v>
      </c>
      <c r="J263" s="19">
        <f t="shared" si="35"/>
        <v>966107.75539536949</v>
      </c>
      <c r="K263" s="16">
        <f t="shared" si="33"/>
        <v>0.9738105972193748</v>
      </c>
    </row>
    <row r="264" spans="1:11" x14ac:dyDescent="0.15">
      <c r="A264" s="7">
        <v>39235.585509259261</v>
      </c>
      <c r="B264">
        <v>39.700000000000003</v>
      </c>
      <c r="C264" s="6">
        <f t="shared" si="27"/>
        <v>488.00000029150397</v>
      </c>
      <c r="D264" t="str">
        <f t="shared" si="28"/>
        <v/>
      </c>
      <c r="E264">
        <f t="shared" si="30"/>
        <v>39235.585509259261</v>
      </c>
      <c r="F264" s="4">
        <f t="shared" si="29"/>
        <v>1.7000000000000028</v>
      </c>
      <c r="G264" s="4">
        <f t="shared" si="31"/>
        <v>0.85000000000000142</v>
      </c>
      <c r="H264" s="5">
        <f t="shared" si="32"/>
        <v>1.6999998630490183</v>
      </c>
      <c r="I264" s="14">
        <f t="shared" si="34"/>
        <v>292.41848662096766</v>
      </c>
      <c r="J264" s="19">
        <f t="shared" si="35"/>
        <v>966400.17388199049</v>
      </c>
      <c r="K264" s="16">
        <f t="shared" si="33"/>
        <v>0.97410534717816977</v>
      </c>
    </row>
    <row r="265" spans="1:11" x14ac:dyDescent="0.15">
      <c r="A265" s="7">
        <v>39235.585532407407</v>
      </c>
      <c r="B265">
        <v>39.700000000000003</v>
      </c>
      <c r="C265" s="6">
        <f t="shared" si="27"/>
        <v>490.00000013038516</v>
      </c>
      <c r="D265" t="str">
        <f t="shared" si="28"/>
        <v/>
      </c>
      <c r="E265">
        <f t="shared" si="30"/>
        <v>39235.585532407407</v>
      </c>
      <c r="F265" s="4">
        <f t="shared" si="29"/>
        <v>1.7000000000000028</v>
      </c>
      <c r="G265" s="4">
        <f t="shared" si="31"/>
        <v>0.85000000000000142</v>
      </c>
      <c r="H265" s="5">
        <f t="shared" si="32"/>
        <v>1.6999998630490183</v>
      </c>
      <c r="I265" s="14">
        <f t="shared" si="34"/>
        <v>292.41848662096766</v>
      </c>
      <c r="J265" s="19">
        <f t="shared" si="35"/>
        <v>966692.59236861148</v>
      </c>
      <c r="K265" s="16">
        <f t="shared" si="33"/>
        <v>0.97440009713696485</v>
      </c>
    </row>
    <row r="266" spans="1:11" x14ac:dyDescent="0.15">
      <c r="A266" s="7">
        <v>39235.585555555554</v>
      </c>
      <c r="B266">
        <v>39.700000000000003</v>
      </c>
      <c r="C266" s="6">
        <f t="shared" si="27"/>
        <v>491.99999996926636</v>
      </c>
      <c r="D266" t="str">
        <f t="shared" si="28"/>
        <v/>
      </c>
      <c r="E266">
        <f t="shared" si="30"/>
        <v>39235.585555555554</v>
      </c>
      <c r="F266" s="4">
        <f t="shared" si="29"/>
        <v>1.7000000000000028</v>
      </c>
      <c r="G266" s="4">
        <f t="shared" si="31"/>
        <v>0.85000000000000142</v>
      </c>
      <c r="H266" s="5">
        <f t="shared" si="32"/>
        <v>1.6999998630490183</v>
      </c>
      <c r="I266" s="14">
        <f t="shared" si="34"/>
        <v>292.41848662096766</v>
      </c>
      <c r="J266" s="19">
        <f t="shared" si="35"/>
        <v>966985.01085523248</v>
      </c>
      <c r="K266" s="16">
        <f t="shared" si="33"/>
        <v>0.97469484709575993</v>
      </c>
    </row>
    <row r="267" spans="1:11" x14ac:dyDescent="0.15">
      <c r="A267" s="7">
        <v>39235.585578703707</v>
      </c>
      <c r="B267">
        <v>39.700000000000003</v>
      </c>
      <c r="C267" s="6">
        <f t="shared" si="27"/>
        <v>494.00000043679029</v>
      </c>
      <c r="D267" t="str">
        <f t="shared" si="28"/>
        <v/>
      </c>
      <c r="E267">
        <f t="shared" si="30"/>
        <v>39235.585578703707</v>
      </c>
      <c r="F267" s="4">
        <f t="shared" si="29"/>
        <v>1.7000000000000028</v>
      </c>
      <c r="G267" s="4">
        <f t="shared" si="31"/>
        <v>0.85000000000000142</v>
      </c>
      <c r="H267" s="5">
        <f t="shared" si="32"/>
        <v>1.7000003973953455</v>
      </c>
      <c r="I267" s="14">
        <f t="shared" si="34"/>
        <v>292.41857853435408</v>
      </c>
      <c r="J267" s="19">
        <f t="shared" si="35"/>
        <v>967277.42943376687</v>
      </c>
      <c r="K267" s="16">
        <f t="shared" si="33"/>
        <v>0.97498959714720124</v>
      </c>
    </row>
    <row r="268" spans="1:11" x14ac:dyDescent="0.15">
      <c r="A268" s="7">
        <v>39235.585601851853</v>
      </c>
      <c r="B268">
        <v>39.700000000000003</v>
      </c>
      <c r="C268" s="6">
        <f t="shared" si="27"/>
        <v>496.00000027567148</v>
      </c>
      <c r="D268" t="str">
        <f t="shared" si="28"/>
        <v/>
      </c>
      <c r="E268">
        <f t="shared" si="30"/>
        <v>39235.585601851853</v>
      </c>
      <c r="F268" s="4">
        <f t="shared" si="29"/>
        <v>1.7000000000000028</v>
      </c>
      <c r="G268" s="4">
        <f t="shared" si="31"/>
        <v>0.85000000000000142</v>
      </c>
      <c r="H268" s="5">
        <f t="shared" si="32"/>
        <v>1.6999998630490183</v>
      </c>
      <c r="I268" s="14">
        <f t="shared" si="34"/>
        <v>292.41848662096766</v>
      </c>
      <c r="J268" s="19">
        <f t="shared" si="35"/>
        <v>967569.84792038787</v>
      </c>
      <c r="K268" s="16">
        <f t="shared" si="33"/>
        <v>0.97528434710599632</v>
      </c>
    </row>
    <row r="269" spans="1:11" x14ac:dyDescent="0.15">
      <c r="A269" s="7">
        <v>39235.585625</v>
      </c>
      <c r="B269">
        <v>39.5</v>
      </c>
      <c r="C269" s="6">
        <f t="shared" si="27"/>
        <v>498.00000011455268</v>
      </c>
      <c r="D269" t="str">
        <f t="shared" si="28"/>
        <v/>
      </c>
      <c r="E269">
        <f t="shared" si="30"/>
        <v>39235.585625</v>
      </c>
      <c r="F269" s="4">
        <f t="shared" si="29"/>
        <v>1.5</v>
      </c>
      <c r="G269" s="4">
        <f t="shared" si="31"/>
        <v>0.75</v>
      </c>
      <c r="H269" s="5">
        <f t="shared" si="32"/>
        <v>1.599999871104957</v>
      </c>
      <c r="I269" s="14">
        <f t="shared" si="34"/>
        <v>275.21739917267524</v>
      </c>
      <c r="J269" s="19">
        <f t="shared" si="35"/>
        <v>967845.06531956058</v>
      </c>
      <c r="K269" s="16">
        <f t="shared" si="33"/>
        <v>0.97556175883192109</v>
      </c>
    </row>
    <row r="270" spans="1:11" x14ac:dyDescent="0.15">
      <c r="A270" s="7">
        <v>39235.585648148146</v>
      </c>
      <c r="B270">
        <v>39.700000000000003</v>
      </c>
      <c r="C270" s="6">
        <f t="shared" si="27"/>
        <v>499.99999995343387</v>
      </c>
      <c r="D270" t="str">
        <f t="shared" si="28"/>
        <v/>
      </c>
      <c r="E270">
        <f t="shared" si="30"/>
        <v>39235.585648148146</v>
      </c>
      <c r="F270" s="4">
        <f t="shared" si="29"/>
        <v>1.7000000000000028</v>
      </c>
      <c r="G270" s="4">
        <f t="shared" si="31"/>
        <v>0.85000000000000142</v>
      </c>
      <c r="H270" s="5">
        <f t="shared" si="32"/>
        <v>1.599999871104957</v>
      </c>
      <c r="I270" s="14">
        <f t="shared" si="34"/>
        <v>275.21739917267524</v>
      </c>
      <c r="J270" s="19">
        <f t="shared" si="35"/>
        <v>968120.2827187333</v>
      </c>
      <c r="K270" s="16">
        <f t="shared" si="33"/>
        <v>0.97583917055784586</v>
      </c>
    </row>
    <row r="271" spans="1:11" x14ac:dyDescent="0.15">
      <c r="A271" s="7">
        <v>39235.5856712963</v>
      </c>
      <c r="B271">
        <v>39.5</v>
      </c>
      <c r="C271" s="6">
        <f t="shared" si="27"/>
        <v>502.0000004209578</v>
      </c>
      <c r="D271" t="str">
        <f t="shared" si="28"/>
        <v/>
      </c>
      <c r="E271">
        <f t="shared" si="30"/>
        <v>39235.5856712963</v>
      </c>
      <c r="F271" s="4">
        <f t="shared" si="29"/>
        <v>1.5</v>
      </c>
      <c r="G271" s="4">
        <f t="shared" si="31"/>
        <v>0.75</v>
      </c>
      <c r="H271" s="5">
        <f t="shared" si="32"/>
        <v>1.6000003740191473</v>
      </c>
      <c r="I271" s="14">
        <f t="shared" si="34"/>
        <v>275.21748567939187</v>
      </c>
      <c r="J271" s="19">
        <f t="shared" si="35"/>
        <v>968395.50020441273</v>
      </c>
      <c r="K271" s="16">
        <f t="shared" si="33"/>
        <v>0.9761165823709671</v>
      </c>
    </row>
    <row r="272" spans="1:11" x14ac:dyDescent="0.15">
      <c r="A272" s="7">
        <v>39235.585694444446</v>
      </c>
      <c r="B272">
        <v>39.5</v>
      </c>
      <c r="C272" s="6">
        <f t="shared" si="27"/>
        <v>504.000000259839</v>
      </c>
      <c r="D272" t="str">
        <f t="shared" si="28"/>
        <v/>
      </c>
      <c r="E272">
        <f t="shared" si="30"/>
        <v>39235.585694444446</v>
      </c>
      <c r="F272" s="4">
        <f t="shared" si="29"/>
        <v>1.5</v>
      </c>
      <c r="G272" s="4">
        <f t="shared" si="31"/>
        <v>0.75</v>
      </c>
      <c r="H272" s="5">
        <f t="shared" si="32"/>
        <v>1.4999998791608959</v>
      </c>
      <c r="I272" s="14">
        <f t="shared" si="34"/>
        <v>258.01631172438283</v>
      </c>
      <c r="J272" s="19">
        <f t="shared" si="35"/>
        <v>968653.51651613717</v>
      </c>
      <c r="K272" s="16">
        <f t="shared" si="33"/>
        <v>0.97637665586402156</v>
      </c>
    </row>
    <row r="273" spans="1:11" x14ac:dyDescent="0.15">
      <c r="A273" s="7">
        <v>39235.585717592592</v>
      </c>
      <c r="B273">
        <v>39.5</v>
      </c>
      <c r="C273" s="6">
        <f t="shared" si="27"/>
        <v>506.00000009872019</v>
      </c>
      <c r="D273" t="str">
        <f t="shared" si="28"/>
        <v/>
      </c>
      <c r="E273">
        <f t="shared" si="30"/>
        <v>39235.585717592592</v>
      </c>
      <c r="F273" s="4">
        <f t="shared" si="29"/>
        <v>1.5</v>
      </c>
      <c r="G273" s="4">
        <f t="shared" si="31"/>
        <v>0.75</v>
      </c>
      <c r="H273" s="5">
        <f t="shared" si="32"/>
        <v>1.4999998791608959</v>
      </c>
      <c r="I273" s="14">
        <f t="shared" si="34"/>
        <v>258.01631172438283</v>
      </c>
      <c r="J273" s="19">
        <f t="shared" si="35"/>
        <v>968911.53282786161</v>
      </c>
      <c r="K273" s="16">
        <f t="shared" si="33"/>
        <v>0.97663672935707613</v>
      </c>
    </row>
    <row r="274" spans="1:11" x14ac:dyDescent="0.15">
      <c r="A274" s="7">
        <v>39235.585740740738</v>
      </c>
      <c r="B274">
        <v>39.4</v>
      </c>
      <c r="C274" s="6">
        <f t="shared" si="27"/>
        <v>507.99999993760139</v>
      </c>
      <c r="D274" t="str">
        <f t="shared" si="28"/>
        <v/>
      </c>
      <c r="E274">
        <f t="shared" si="30"/>
        <v>39235.585740740738</v>
      </c>
      <c r="F274" s="4">
        <f t="shared" si="29"/>
        <v>1.3999999999999986</v>
      </c>
      <c r="G274" s="4">
        <f t="shared" si="31"/>
        <v>0.69999999999999929</v>
      </c>
      <c r="H274" s="5">
        <f t="shared" si="32"/>
        <v>1.4499998831888654</v>
      </c>
      <c r="I274" s="14">
        <f t="shared" si="34"/>
        <v>249.4157680002366</v>
      </c>
      <c r="J274" s="19">
        <f t="shared" si="35"/>
        <v>969160.94859586179</v>
      </c>
      <c r="K274" s="16">
        <f t="shared" si="33"/>
        <v>0.97688813373369532</v>
      </c>
    </row>
    <row r="275" spans="1:11" x14ac:dyDescent="0.15">
      <c r="A275" s="7">
        <v>39235.585763888892</v>
      </c>
      <c r="B275">
        <v>39.4</v>
      </c>
      <c r="C275" s="6">
        <f t="shared" si="27"/>
        <v>510.00000040512532</v>
      </c>
      <c r="D275" t="str">
        <f t="shared" si="28"/>
        <v/>
      </c>
      <c r="E275">
        <f t="shared" si="30"/>
        <v>39235.585763888892</v>
      </c>
      <c r="F275" s="4">
        <f t="shared" si="29"/>
        <v>1.3999999999999986</v>
      </c>
      <c r="G275" s="4">
        <f t="shared" si="31"/>
        <v>0.69999999999999929</v>
      </c>
      <c r="H275" s="5">
        <f t="shared" si="32"/>
        <v>1.4000003272667514</v>
      </c>
      <c r="I275" s="14">
        <f t="shared" si="34"/>
        <v>240.81529996946745</v>
      </c>
      <c r="J275" s="19">
        <f t="shared" si="35"/>
        <v>969401.7638958313</v>
      </c>
      <c r="K275" s="16">
        <f t="shared" si="33"/>
        <v>0.97713086907017643</v>
      </c>
    </row>
    <row r="276" spans="1:11" x14ac:dyDescent="0.15">
      <c r="A276" s="7">
        <v>39235.585787037038</v>
      </c>
      <c r="B276">
        <v>39.5</v>
      </c>
      <c r="C276" s="6">
        <f t="shared" ref="C276:C295" si="36">(A276-$B$4)*24*60*60</f>
        <v>512.00000024400651</v>
      </c>
      <c r="D276" t="str">
        <f t="shared" ref="D276:D295" si="37">IF(F276=$B$8,A276,"")</f>
        <v/>
      </c>
      <c r="E276">
        <f t="shared" si="30"/>
        <v>39235.585787037038</v>
      </c>
      <c r="F276" s="4">
        <f t="shared" ref="F276:F295" si="38">IF((B276-$B$6)&gt;0,B276-$B$6,0)</f>
        <v>1.5</v>
      </c>
      <c r="G276" s="4">
        <f t="shared" si="31"/>
        <v>0.75</v>
      </c>
      <c r="H276" s="5">
        <f t="shared" si="32"/>
        <v>1.4499998831888654</v>
      </c>
      <c r="I276" s="14">
        <f t="shared" si="34"/>
        <v>249.4157680002366</v>
      </c>
      <c r="J276" s="19">
        <f t="shared" si="35"/>
        <v>969651.17966383148</v>
      </c>
      <c r="K276" s="16">
        <f t="shared" si="33"/>
        <v>0.97738227344679562</v>
      </c>
    </row>
    <row r="277" spans="1:11" x14ac:dyDescent="0.15">
      <c r="A277" s="7">
        <v>39235.585810185185</v>
      </c>
      <c r="B277">
        <v>39.4</v>
      </c>
      <c r="C277" s="6">
        <f t="shared" si="36"/>
        <v>514.00000008288771</v>
      </c>
      <c r="D277" t="str">
        <f t="shared" si="37"/>
        <v/>
      </c>
      <c r="E277">
        <f t="shared" ref="E277:E340" si="39">IF(B277-$B$6&gt;0,A277," ")</f>
        <v>39235.585810185185</v>
      </c>
      <c r="F277" s="4">
        <f t="shared" si="38"/>
        <v>1.3999999999999986</v>
      </c>
      <c r="G277" s="4">
        <f t="shared" ref="G277:G295" si="40">F277/2</f>
        <v>0.69999999999999929</v>
      </c>
      <c r="H277" s="5">
        <f t="shared" ref="H277:H295" si="41">AVERAGE(G276:G277)*(C277-C276)</f>
        <v>1.4499998831888654</v>
      </c>
      <c r="I277" s="14">
        <f t="shared" si="34"/>
        <v>249.4157680002366</v>
      </c>
      <c r="J277" s="19">
        <f t="shared" si="35"/>
        <v>969900.59543183167</v>
      </c>
      <c r="K277" s="16">
        <f t="shared" ref="K277:K295" si="42">J277/($B$12*1000)</f>
        <v>0.97763367782341493</v>
      </c>
    </row>
    <row r="278" spans="1:11" x14ac:dyDescent="0.15">
      <c r="A278" s="7">
        <v>39235.585833333331</v>
      </c>
      <c r="B278">
        <v>39.4</v>
      </c>
      <c r="C278" s="6">
        <f t="shared" si="36"/>
        <v>515.9999999217689</v>
      </c>
      <c r="D278" t="str">
        <f t="shared" si="37"/>
        <v/>
      </c>
      <c r="E278">
        <f t="shared" si="39"/>
        <v>39235.585833333331</v>
      </c>
      <c r="F278" s="4">
        <f t="shared" si="38"/>
        <v>1.3999999999999986</v>
      </c>
      <c r="G278" s="4">
        <f t="shared" si="40"/>
        <v>0.69999999999999929</v>
      </c>
      <c r="H278" s="5">
        <f t="shared" si="41"/>
        <v>1.3999998872168349</v>
      </c>
      <c r="I278" s="14">
        <f t="shared" ref="I278:I295" si="43">H278*$B$14</f>
        <v>240.81522427609039</v>
      </c>
      <c r="J278" s="19">
        <f t="shared" ref="J278:J295" si="44">J277+I278</f>
        <v>970141.41065610771</v>
      </c>
      <c r="K278" s="16">
        <f t="shared" si="42"/>
        <v>0.97787641308359896</v>
      </c>
    </row>
    <row r="279" spans="1:11" x14ac:dyDescent="0.15">
      <c r="A279" s="7">
        <v>39235.585856481484</v>
      </c>
      <c r="B279">
        <v>39.4</v>
      </c>
      <c r="C279" s="6">
        <f t="shared" si="36"/>
        <v>518.00000038929284</v>
      </c>
      <c r="D279" t="str">
        <f t="shared" si="37"/>
        <v/>
      </c>
      <c r="E279">
        <f t="shared" si="39"/>
        <v>39235.585856481484</v>
      </c>
      <c r="F279" s="4">
        <f t="shared" si="38"/>
        <v>1.3999999999999986</v>
      </c>
      <c r="G279" s="4">
        <f t="shared" si="40"/>
        <v>0.69999999999999929</v>
      </c>
      <c r="H279" s="5">
        <f t="shared" si="41"/>
        <v>1.4000003272667514</v>
      </c>
      <c r="I279" s="14">
        <f t="shared" si="43"/>
        <v>240.81529996946745</v>
      </c>
      <c r="J279" s="19">
        <f t="shared" si="44"/>
        <v>970382.22595607722</v>
      </c>
      <c r="K279" s="16">
        <f t="shared" si="42"/>
        <v>0.97811914842008008</v>
      </c>
    </row>
    <row r="280" spans="1:11" x14ac:dyDescent="0.15">
      <c r="A280" s="7">
        <v>39235.585879629631</v>
      </c>
      <c r="B280">
        <v>39.4</v>
      </c>
      <c r="C280" s="6">
        <f t="shared" si="36"/>
        <v>520.00000022817403</v>
      </c>
      <c r="D280" t="str">
        <f t="shared" si="37"/>
        <v/>
      </c>
      <c r="E280">
        <f t="shared" si="39"/>
        <v>39235.585879629631</v>
      </c>
      <c r="F280" s="4">
        <f t="shared" si="38"/>
        <v>1.3999999999999986</v>
      </c>
      <c r="G280" s="4">
        <f t="shared" si="40"/>
        <v>0.69999999999999929</v>
      </c>
      <c r="H280" s="5">
        <f t="shared" si="41"/>
        <v>1.3999998872168349</v>
      </c>
      <c r="I280" s="14">
        <f t="shared" si="43"/>
        <v>240.81522427609039</v>
      </c>
      <c r="J280" s="19">
        <f t="shared" si="44"/>
        <v>970623.04118035326</v>
      </c>
      <c r="K280" s="16">
        <f t="shared" si="42"/>
        <v>0.97836188368026411</v>
      </c>
    </row>
    <row r="281" spans="1:11" x14ac:dyDescent="0.15">
      <c r="A281" s="7">
        <v>39235.585902777777</v>
      </c>
      <c r="B281">
        <v>39.4</v>
      </c>
      <c r="C281" s="6">
        <f t="shared" si="36"/>
        <v>522.00000006705523</v>
      </c>
      <c r="D281" t="str">
        <f t="shared" si="37"/>
        <v/>
      </c>
      <c r="E281">
        <f t="shared" si="39"/>
        <v>39235.585902777777</v>
      </c>
      <c r="F281" s="4">
        <f t="shared" si="38"/>
        <v>1.3999999999999986</v>
      </c>
      <c r="G281" s="4">
        <f t="shared" si="40"/>
        <v>0.69999999999999929</v>
      </c>
      <c r="H281" s="5">
        <f t="shared" si="41"/>
        <v>1.3999998872168349</v>
      </c>
      <c r="I281" s="14">
        <f t="shared" si="43"/>
        <v>240.81522427609039</v>
      </c>
      <c r="J281" s="19">
        <f t="shared" si="44"/>
        <v>970863.8564046293</v>
      </c>
      <c r="K281" s="16">
        <f t="shared" si="42"/>
        <v>0.97860461894044826</v>
      </c>
    </row>
    <row r="282" spans="1:11" x14ac:dyDescent="0.15">
      <c r="A282" s="7">
        <v>39235.585925925923</v>
      </c>
      <c r="B282">
        <v>39.4</v>
      </c>
      <c r="C282" s="6">
        <f t="shared" si="36"/>
        <v>523.99999990593642</v>
      </c>
      <c r="D282" t="str">
        <f t="shared" si="37"/>
        <v/>
      </c>
      <c r="E282">
        <f t="shared" si="39"/>
        <v>39235.585925925923</v>
      </c>
      <c r="F282" s="4">
        <f t="shared" si="38"/>
        <v>1.3999999999999986</v>
      </c>
      <c r="G282" s="4">
        <f t="shared" si="40"/>
        <v>0.69999999999999929</v>
      </c>
      <c r="H282" s="5">
        <f t="shared" si="41"/>
        <v>1.3999998872168349</v>
      </c>
      <c r="I282" s="14">
        <f t="shared" si="43"/>
        <v>240.81522427609039</v>
      </c>
      <c r="J282" s="19">
        <f t="shared" si="44"/>
        <v>971104.67162890534</v>
      </c>
      <c r="K282" s="16">
        <f t="shared" si="42"/>
        <v>0.97884735420063229</v>
      </c>
    </row>
    <row r="283" spans="1:11" x14ac:dyDescent="0.15">
      <c r="A283" s="7">
        <v>39235.585949074077</v>
      </c>
      <c r="B283">
        <v>39.4</v>
      </c>
      <c r="C283" s="6">
        <f t="shared" si="36"/>
        <v>526.00000037346035</v>
      </c>
      <c r="D283" t="str">
        <f t="shared" si="37"/>
        <v/>
      </c>
      <c r="E283">
        <f t="shared" si="39"/>
        <v>39235.585949074077</v>
      </c>
      <c r="F283" s="4">
        <f t="shared" si="38"/>
        <v>1.3999999999999986</v>
      </c>
      <c r="G283" s="4">
        <f t="shared" si="40"/>
        <v>0.69999999999999929</v>
      </c>
      <c r="H283" s="5">
        <f t="shared" si="41"/>
        <v>1.4000003272667514</v>
      </c>
      <c r="I283" s="14">
        <f t="shared" si="43"/>
        <v>240.81529996946745</v>
      </c>
      <c r="J283" s="19">
        <f t="shared" si="44"/>
        <v>971345.48692887486</v>
      </c>
      <c r="K283" s="16">
        <f t="shared" si="42"/>
        <v>0.97909008953711341</v>
      </c>
    </row>
    <row r="284" spans="1:11" x14ac:dyDescent="0.15">
      <c r="A284" s="7">
        <v>39235.585972222223</v>
      </c>
      <c r="B284">
        <v>39.4</v>
      </c>
      <c r="C284" s="6">
        <f t="shared" si="36"/>
        <v>528.00000021234155</v>
      </c>
      <c r="D284" t="str">
        <f t="shared" si="37"/>
        <v/>
      </c>
      <c r="E284">
        <f t="shared" si="39"/>
        <v>39235.585972222223</v>
      </c>
      <c r="F284" s="4">
        <f t="shared" si="38"/>
        <v>1.3999999999999986</v>
      </c>
      <c r="G284" s="4">
        <f t="shared" si="40"/>
        <v>0.69999999999999929</v>
      </c>
      <c r="H284" s="5">
        <f t="shared" si="41"/>
        <v>1.3999998872168349</v>
      </c>
      <c r="I284" s="14">
        <f t="shared" si="43"/>
        <v>240.81522427609039</v>
      </c>
      <c r="J284" s="19">
        <f t="shared" si="44"/>
        <v>971586.3021531509</v>
      </c>
      <c r="K284" s="16">
        <f t="shared" si="42"/>
        <v>0.97933282479729755</v>
      </c>
    </row>
    <row r="285" spans="1:11" x14ac:dyDescent="0.15">
      <c r="A285" s="7">
        <v>39235.585995370369</v>
      </c>
      <c r="B285">
        <v>39.4</v>
      </c>
      <c r="C285" s="6">
        <f t="shared" si="36"/>
        <v>530.00000005122274</v>
      </c>
      <c r="D285" t="str">
        <f t="shared" si="37"/>
        <v/>
      </c>
      <c r="E285">
        <f t="shared" si="39"/>
        <v>39235.585995370369</v>
      </c>
      <c r="F285" s="4">
        <f t="shared" si="38"/>
        <v>1.3999999999999986</v>
      </c>
      <c r="G285" s="4">
        <f t="shared" si="40"/>
        <v>0.69999999999999929</v>
      </c>
      <c r="H285" s="5">
        <f t="shared" si="41"/>
        <v>1.3999998872168349</v>
      </c>
      <c r="I285" s="14">
        <f t="shared" si="43"/>
        <v>240.81522427609039</v>
      </c>
      <c r="J285" s="19">
        <f t="shared" si="44"/>
        <v>971827.11737742694</v>
      </c>
      <c r="K285" s="16">
        <f t="shared" si="42"/>
        <v>0.97957556005748159</v>
      </c>
    </row>
    <row r="286" spans="1:11" x14ac:dyDescent="0.15">
      <c r="A286" s="7">
        <v>39235.586018518516</v>
      </c>
      <c r="B286">
        <v>39.4</v>
      </c>
      <c r="C286" s="6">
        <f t="shared" si="36"/>
        <v>531.99999989010394</v>
      </c>
      <c r="D286" t="str">
        <f t="shared" si="37"/>
        <v/>
      </c>
      <c r="E286">
        <f t="shared" si="39"/>
        <v>39235.586018518516</v>
      </c>
      <c r="F286" s="4">
        <f t="shared" si="38"/>
        <v>1.3999999999999986</v>
      </c>
      <c r="G286" s="4">
        <f t="shared" si="40"/>
        <v>0.69999999999999929</v>
      </c>
      <c r="H286" s="5">
        <f t="shared" si="41"/>
        <v>1.3999998872168349</v>
      </c>
      <c r="I286" s="14">
        <f t="shared" si="43"/>
        <v>240.81522427609039</v>
      </c>
      <c r="J286" s="19">
        <f t="shared" si="44"/>
        <v>972067.93260170298</v>
      </c>
      <c r="K286" s="16">
        <f t="shared" si="42"/>
        <v>0.97981829531766573</v>
      </c>
    </row>
    <row r="287" spans="1:11" x14ac:dyDescent="0.15">
      <c r="A287" s="7">
        <v>39235.586041666669</v>
      </c>
      <c r="B287">
        <v>39.4</v>
      </c>
      <c r="C287" s="6">
        <f t="shared" si="36"/>
        <v>534.00000035762787</v>
      </c>
      <c r="D287" t="str">
        <f t="shared" si="37"/>
        <v/>
      </c>
      <c r="E287">
        <f t="shared" si="39"/>
        <v>39235.586041666669</v>
      </c>
      <c r="F287" s="4">
        <f t="shared" si="38"/>
        <v>1.3999999999999986</v>
      </c>
      <c r="G287" s="4">
        <f t="shared" si="40"/>
        <v>0.69999999999999929</v>
      </c>
      <c r="H287" s="5">
        <f t="shared" si="41"/>
        <v>1.4000003272667514</v>
      </c>
      <c r="I287" s="14">
        <f t="shared" si="43"/>
        <v>240.81529996946745</v>
      </c>
      <c r="J287" s="19">
        <f t="shared" si="44"/>
        <v>972308.7479016725</v>
      </c>
      <c r="K287" s="16">
        <f t="shared" si="42"/>
        <v>0.98006103065414685</v>
      </c>
    </row>
    <row r="288" spans="1:11" x14ac:dyDescent="0.15">
      <c r="A288" s="7">
        <v>39235.586064814815</v>
      </c>
      <c r="B288">
        <v>39.4</v>
      </c>
      <c r="C288" s="6">
        <f t="shared" si="36"/>
        <v>536.00000019650906</v>
      </c>
      <c r="D288" t="str">
        <f t="shared" si="37"/>
        <v/>
      </c>
      <c r="E288">
        <f t="shared" si="39"/>
        <v>39235.586064814815</v>
      </c>
      <c r="F288" s="4">
        <f t="shared" si="38"/>
        <v>1.3999999999999986</v>
      </c>
      <c r="G288" s="4">
        <f t="shared" si="40"/>
        <v>0.69999999999999929</v>
      </c>
      <c r="H288" s="5">
        <f t="shared" si="41"/>
        <v>1.3999998872168349</v>
      </c>
      <c r="I288" s="14">
        <f t="shared" si="43"/>
        <v>240.81522427609039</v>
      </c>
      <c r="J288" s="19">
        <f t="shared" si="44"/>
        <v>972549.56312594854</v>
      </c>
      <c r="K288" s="16">
        <f t="shared" si="42"/>
        <v>0.98030376591433088</v>
      </c>
    </row>
    <row r="289" spans="1:11" x14ac:dyDescent="0.15">
      <c r="A289" s="7">
        <v>39235.586087962962</v>
      </c>
      <c r="B289">
        <v>39.4</v>
      </c>
      <c r="C289" s="6">
        <f t="shared" si="36"/>
        <v>538.00000003539026</v>
      </c>
      <c r="D289" t="str">
        <f t="shared" si="37"/>
        <v/>
      </c>
      <c r="E289">
        <f t="shared" si="39"/>
        <v>39235.586087962962</v>
      </c>
      <c r="F289" s="4">
        <f t="shared" si="38"/>
        <v>1.3999999999999986</v>
      </c>
      <c r="G289" s="4">
        <f t="shared" si="40"/>
        <v>0.69999999999999929</v>
      </c>
      <c r="H289" s="5">
        <f t="shared" si="41"/>
        <v>1.3999998872168349</v>
      </c>
      <c r="I289" s="14">
        <f t="shared" si="43"/>
        <v>240.81522427609039</v>
      </c>
      <c r="J289" s="19">
        <f t="shared" si="44"/>
        <v>972790.37835022458</v>
      </c>
      <c r="K289" s="16">
        <f t="shared" si="42"/>
        <v>0.98054650117451503</v>
      </c>
    </row>
    <row r="290" spans="1:11" x14ac:dyDescent="0.15">
      <c r="A290" s="7">
        <v>39235.586111111108</v>
      </c>
      <c r="B290">
        <v>39.4</v>
      </c>
      <c r="C290" s="6">
        <f t="shared" si="36"/>
        <v>539.99999987427145</v>
      </c>
      <c r="D290" t="str">
        <f t="shared" si="37"/>
        <v/>
      </c>
      <c r="E290">
        <f t="shared" si="39"/>
        <v>39235.586111111108</v>
      </c>
      <c r="F290" s="4">
        <f t="shared" si="38"/>
        <v>1.3999999999999986</v>
      </c>
      <c r="G290" s="4">
        <f t="shared" si="40"/>
        <v>0.69999999999999929</v>
      </c>
      <c r="H290" s="5">
        <f t="shared" si="41"/>
        <v>1.3999998872168349</v>
      </c>
      <c r="I290" s="14">
        <f t="shared" si="43"/>
        <v>240.81522427609039</v>
      </c>
      <c r="J290" s="19">
        <f t="shared" si="44"/>
        <v>973031.19357450062</v>
      </c>
      <c r="K290" s="16">
        <f t="shared" si="42"/>
        <v>0.98078923643469906</v>
      </c>
    </row>
    <row r="291" spans="1:11" x14ac:dyDescent="0.15">
      <c r="A291" s="7">
        <v>39235.586134259262</v>
      </c>
      <c r="B291">
        <v>39.4</v>
      </c>
      <c r="C291" s="6">
        <f t="shared" si="36"/>
        <v>542.00000034179538</v>
      </c>
      <c r="D291" t="str">
        <f t="shared" si="37"/>
        <v/>
      </c>
      <c r="E291">
        <f t="shared" si="39"/>
        <v>39235.586134259262</v>
      </c>
      <c r="F291" s="4">
        <f t="shared" si="38"/>
        <v>1.3999999999999986</v>
      </c>
      <c r="G291" s="4">
        <f t="shared" si="40"/>
        <v>0.69999999999999929</v>
      </c>
      <c r="H291" s="5">
        <f t="shared" si="41"/>
        <v>1.4000003272667514</v>
      </c>
      <c r="I291" s="14">
        <f t="shared" si="43"/>
        <v>240.81529996946745</v>
      </c>
      <c r="J291" s="19">
        <f t="shared" si="44"/>
        <v>973272.00887447014</v>
      </c>
      <c r="K291" s="16">
        <f t="shared" si="42"/>
        <v>0.98103197177118018</v>
      </c>
    </row>
    <row r="292" spans="1:11" x14ac:dyDescent="0.15">
      <c r="A292" s="7">
        <v>39235.586157407408</v>
      </c>
      <c r="B292">
        <v>39.4</v>
      </c>
      <c r="C292" s="6">
        <f t="shared" si="36"/>
        <v>544.00000018067658</v>
      </c>
      <c r="D292" t="str">
        <f t="shared" si="37"/>
        <v/>
      </c>
      <c r="E292">
        <f t="shared" si="39"/>
        <v>39235.586157407408</v>
      </c>
      <c r="F292" s="4">
        <f t="shared" si="38"/>
        <v>1.3999999999999986</v>
      </c>
      <c r="G292" s="4">
        <f t="shared" si="40"/>
        <v>0.69999999999999929</v>
      </c>
      <c r="H292" s="5">
        <f t="shared" si="41"/>
        <v>1.3999998872168349</v>
      </c>
      <c r="I292" s="14">
        <f t="shared" si="43"/>
        <v>240.81522427609039</v>
      </c>
      <c r="J292" s="19">
        <f t="shared" si="44"/>
        <v>973512.82409874618</v>
      </c>
      <c r="K292" s="16">
        <f t="shared" si="42"/>
        <v>0.98127470703136421</v>
      </c>
    </row>
    <row r="293" spans="1:11" x14ac:dyDescent="0.15">
      <c r="A293" s="7">
        <v>39235.586180555554</v>
      </c>
      <c r="B293">
        <v>39.4</v>
      </c>
      <c r="C293" s="6">
        <f t="shared" si="36"/>
        <v>546.00000001955777</v>
      </c>
      <c r="D293" t="str">
        <f t="shared" si="37"/>
        <v/>
      </c>
      <c r="E293">
        <f t="shared" si="39"/>
        <v>39235.586180555554</v>
      </c>
      <c r="F293" s="4">
        <f t="shared" si="38"/>
        <v>1.3999999999999986</v>
      </c>
      <c r="G293" s="4">
        <f t="shared" si="40"/>
        <v>0.69999999999999929</v>
      </c>
      <c r="H293" s="5">
        <f t="shared" si="41"/>
        <v>1.3999998872168349</v>
      </c>
      <c r="I293" s="14">
        <f t="shared" si="43"/>
        <v>240.81522427609039</v>
      </c>
      <c r="J293" s="19">
        <f t="shared" si="44"/>
        <v>973753.63932302222</v>
      </c>
      <c r="K293" s="16">
        <f t="shared" si="42"/>
        <v>0.98151744229154836</v>
      </c>
    </row>
    <row r="294" spans="1:11" x14ac:dyDescent="0.15">
      <c r="A294" s="7">
        <v>39235.5862037037</v>
      </c>
      <c r="B294">
        <v>39.200000000000003</v>
      </c>
      <c r="C294" s="6">
        <f t="shared" si="36"/>
        <v>547.99999985843897</v>
      </c>
      <c r="D294" t="str">
        <f t="shared" si="37"/>
        <v/>
      </c>
      <c r="E294">
        <f t="shared" si="39"/>
        <v>39235.5862037037</v>
      </c>
      <c r="F294" s="4">
        <f t="shared" si="38"/>
        <v>1.2000000000000028</v>
      </c>
      <c r="G294" s="4">
        <f t="shared" si="40"/>
        <v>0.60000000000000142</v>
      </c>
      <c r="H294" s="5">
        <f t="shared" si="41"/>
        <v>1.2999998952727772</v>
      </c>
      <c r="I294" s="14">
        <f t="shared" si="43"/>
        <v>223.61413682779855</v>
      </c>
      <c r="J294" s="19">
        <f t="shared" si="44"/>
        <v>973977.25345984998</v>
      </c>
      <c r="K294" s="16">
        <f t="shared" si="42"/>
        <v>0.98174283931886219</v>
      </c>
    </row>
    <row r="295" spans="1:11" x14ac:dyDescent="0.15">
      <c r="A295" s="7">
        <v>39235.586226851854</v>
      </c>
      <c r="B295">
        <v>39.200000000000003</v>
      </c>
      <c r="C295" s="6">
        <f t="shared" si="36"/>
        <v>550.0000003259629</v>
      </c>
      <c r="D295" t="str">
        <f t="shared" si="37"/>
        <v/>
      </c>
      <c r="E295">
        <f t="shared" si="39"/>
        <v>39235.586226851854</v>
      </c>
      <c r="F295" s="4">
        <f t="shared" si="38"/>
        <v>1.2000000000000028</v>
      </c>
      <c r="G295" s="4">
        <f t="shared" si="40"/>
        <v>0.60000000000000142</v>
      </c>
      <c r="H295" s="5">
        <f t="shared" si="41"/>
        <v>1.2000002805143624</v>
      </c>
      <c r="I295" s="14">
        <f t="shared" si="43"/>
        <v>206.41311425954422</v>
      </c>
      <c r="J295" s="19">
        <f t="shared" si="44"/>
        <v>974183.66657410958</v>
      </c>
      <c r="K295" s="16">
        <f t="shared" si="42"/>
        <v>0.98195089817870307</v>
      </c>
    </row>
    <row r="296" spans="1:11" x14ac:dyDescent="0.15">
      <c r="A296" s="7">
        <v>39235.58625</v>
      </c>
      <c r="B296">
        <v>39.200000000000003</v>
      </c>
      <c r="C296" s="6">
        <f t="shared" ref="C296:C359" si="45">(A296-$B$4)*24*60*60</f>
        <v>552.0000001648441</v>
      </c>
      <c r="D296" t="str">
        <f t="shared" ref="D296:D359" si="46">IF(F296=$B$8,A296,"")</f>
        <v/>
      </c>
      <c r="E296">
        <f t="shared" si="39"/>
        <v>39235.58625</v>
      </c>
      <c r="F296" s="4">
        <f t="shared" ref="F296:F359" si="47">IF((B296-$B$6)&gt;0,B296-$B$6,0)</f>
        <v>1.2000000000000028</v>
      </c>
      <c r="G296" s="4">
        <f t="shared" ref="G296:G359" si="48">F296/2</f>
        <v>0.60000000000000142</v>
      </c>
      <c r="H296" s="5">
        <f t="shared" ref="H296:H359" si="49">AVERAGE(G295:G296)*(C296-C295)</f>
        <v>1.1999999033287196</v>
      </c>
      <c r="I296" s="14">
        <f t="shared" ref="I296:I359" si="50">H296*$B$14</f>
        <v>206.41304937950673</v>
      </c>
      <c r="J296" s="19">
        <f t="shared" ref="J296:J359" si="51">J295+I296</f>
        <v>974390.07962348906</v>
      </c>
      <c r="K296" s="16">
        <f t="shared" ref="K296:K359" si="52">J296/($B$12*1000)</f>
        <v>0.9821589569731467</v>
      </c>
    </row>
    <row r="297" spans="1:11" x14ac:dyDescent="0.15">
      <c r="A297" s="7">
        <v>39235.586273148147</v>
      </c>
      <c r="B297">
        <v>39.200000000000003</v>
      </c>
      <c r="C297" s="6">
        <f t="shared" si="45"/>
        <v>554.00000000372529</v>
      </c>
      <c r="D297" t="str">
        <f t="shared" si="46"/>
        <v/>
      </c>
      <c r="E297">
        <f t="shared" si="39"/>
        <v>39235.586273148147</v>
      </c>
      <c r="F297" s="4">
        <f t="shared" si="47"/>
        <v>1.2000000000000028</v>
      </c>
      <c r="G297" s="4">
        <f t="shared" si="48"/>
        <v>0.60000000000000142</v>
      </c>
      <c r="H297" s="5">
        <f t="shared" si="49"/>
        <v>1.1999999033287196</v>
      </c>
      <c r="I297" s="14">
        <f t="shared" si="50"/>
        <v>206.41304937950673</v>
      </c>
      <c r="J297" s="19">
        <f t="shared" si="51"/>
        <v>974596.49267286854</v>
      </c>
      <c r="K297" s="16">
        <f t="shared" si="52"/>
        <v>0.98236701576759022</v>
      </c>
    </row>
    <row r="298" spans="1:11" x14ac:dyDescent="0.15">
      <c r="A298" s="7">
        <v>39235.586296296293</v>
      </c>
      <c r="B298">
        <v>39.200000000000003</v>
      </c>
      <c r="C298" s="6">
        <f t="shared" si="45"/>
        <v>555.99999984260648</v>
      </c>
      <c r="D298" t="str">
        <f t="shared" si="46"/>
        <v/>
      </c>
      <c r="E298">
        <f t="shared" si="39"/>
        <v>39235.586296296293</v>
      </c>
      <c r="F298" s="4">
        <f t="shared" si="47"/>
        <v>1.2000000000000028</v>
      </c>
      <c r="G298" s="4">
        <f t="shared" si="48"/>
        <v>0.60000000000000142</v>
      </c>
      <c r="H298" s="5">
        <f t="shared" si="49"/>
        <v>1.1999999033287196</v>
      </c>
      <c r="I298" s="14">
        <f t="shared" si="50"/>
        <v>206.41304937950673</v>
      </c>
      <c r="J298" s="19">
        <f t="shared" si="51"/>
        <v>974802.90572224802</v>
      </c>
      <c r="K298" s="16">
        <f t="shared" si="52"/>
        <v>0.98257507456203375</v>
      </c>
    </row>
    <row r="299" spans="1:11" x14ac:dyDescent="0.15">
      <c r="A299" s="7">
        <v>39235.586319444446</v>
      </c>
      <c r="B299">
        <v>39.200000000000003</v>
      </c>
      <c r="C299" s="6">
        <f t="shared" si="45"/>
        <v>558.00000031013042</v>
      </c>
      <c r="D299" t="str">
        <f t="shared" si="46"/>
        <v/>
      </c>
      <c r="E299">
        <f t="shared" si="39"/>
        <v>39235.586319444446</v>
      </c>
      <c r="F299" s="4">
        <f t="shared" si="47"/>
        <v>1.2000000000000028</v>
      </c>
      <c r="G299" s="4">
        <f t="shared" si="48"/>
        <v>0.60000000000000142</v>
      </c>
      <c r="H299" s="5">
        <f t="shared" si="49"/>
        <v>1.2000002805143624</v>
      </c>
      <c r="I299" s="14">
        <f t="shared" si="50"/>
        <v>206.41311425954422</v>
      </c>
      <c r="J299" s="19">
        <f t="shared" si="51"/>
        <v>975009.31883650762</v>
      </c>
      <c r="K299" s="16">
        <f t="shared" si="52"/>
        <v>0.98278313342187462</v>
      </c>
    </row>
    <row r="300" spans="1:11" x14ac:dyDescent="0.15">
      <c r="A300" s="7">
        <v>39235.586342592593</v>
      </c>
      <c r="B300">
        <v>39.200000000000003</v>
      </c>
      <c r="C300" s="6">
        <f t="shared" si="45"/>
        <v>560.00000014901161</v>
      </c>
      <c r="D300" t="str">
        <f t="shared" si="46"/>
        <v/>
      </c>
      <c r="E300">
        <f t="shared" si="39"/>
        <v>39235.586342592593</v>
      </c>
      <c r="F300" s="4">
        <f t="shared" si="47"/>
        <v>1.2000000000000028</v>
      </c>
      <c r="G300" s="4">
        <f t="shared" si="48"/>
        <v>0.60000000000000142</v>
      </c>
      <c r="H300" s="5">
        <f t="shared" si="49"/>
        <v>1.1999999033287196</v>
      </c>
      <c r="I300" s="14">
        <f t="shared" si="50"/>
        <v>206.41304937950673</v>
      </c>
      <c r="J300" s="19">
        <f t="shared" si="51"/>
        <v>975215.7318858871</v>
      </c>
      <c r="K300" s="16">
        <f t="shared" si="52"/>
        <v>0.98299119221631814</v>
      </c>
    </row>
    <row r="301" spans="1:11" x14ac:dyDescent="0.15">
      <c r="A301" s="7">
        <v>39235.586365740739</v>
      </c>
      <c r="B301">
        <v>39.200000000000003</v>
      </c>
      <c r="C301" s="6">
        <f t="shared" si="45"/>
        <v>561.99999998789281</v>
      </c>
      <c r="D301" t="str">
        <f t="shared" si="46"/>
        <v/>
      </c>
      <c r="E301">
        <f t="shared" si="39"/>
        <v>39235.586365740739</v>
      </c>
      <c r="F301" s="4">
        <f t="shared" si="47"/>
        <v>1.2000000000000028</v>
      </c>
      <c r="G301" s="4">
        <f t="shared" si="48"/>
        <v>0.60000000000000142</v>
      </c>
      <c r="H301" s="5">
        <f t="shared" si="49"/>
        <v>1.1999999033287196</v>
      </c>
      <c r="I301" s="14">
        <f t="shared" si="50"/>
        <v>206.41304937950673</v>
      </c>
      <c r="J301" s="19">
        <f t="shared" si="51"/>
        <v>975422.14493526658</v>
      </c>
      <c r="K301" s="16">
        <f t="shared" si="52"/>
        <v>0.98319925101076167</v>
      </c>
    </row>
    <row r="302" spans="1:11" x14ac:dyDescent="0.15">
      <c r="A302" s="7">
        <v>39235.586388888885</v>
      </c>
      <c r="B302">
        <v>39.200000000000003</v>
      </c>
      <c r="C302" s="6">
        <f t="shared" si="45"/>
        <v>563.999999826774</v>
      </c>
      <c r="D302" t="str">
        <f t="shared" si="46"/>
        <v/>
      </c>
      <c r="E302">
        <f t="shared" si="39"/>
        <v>39235.586388888885</v>
      </c>
      <c r="F302" s="4">
        <f t="shared" si="47"/>
        <v>1.2000000000000028</v>
      </c>
      <c r="G302" s="4">
        <f t="shared" si="48"/>
        <v>0.60000000000000142</v>
      </c>
      <c r="H302" s="5">
        <f t="shared" si="49"/>
        <v>1.1999999033287196</v>
      </c>
      <c r="I302" s="14">
        <f t="shared" si="50"/>
        <v>206.41304937950673</v>
      </c>
      <c r="J302" s="19">
        <f t="shared" si="51"/>
        <v>975628.55798464606</v>
      </c>
      <c r="K302" s="16">
        <f t="shared" si="52"/>
        <v>0.98340730980520519</v>
      </c>
    </row>
    <row r="303" spans="1:11" x14ac:dyDescent="0.15">
      <c r="A303" s="7">
        <v>39235.586412037039</v>
      </c>
      <c r="B303">
        <v>39.1</v>
      </c>
      <c r="C303" s="6">
        <f t="shared" si="45"/>
        <v>566.00000029429793</v>
      </c>
      <c r="D303" t="str">
        <f t="shared" si="46"/>
        <v/>
      </c>
      <c r="E303">
        <f t="shared" si="39"/>
        <v>39235.586412037039</v>
      </c>
      <c r="F303" s="4">
        <f t="shared" si="47"/>
        <v>1.1000000000000014</v>
      </c>
      <c r="G303" s="4">
        <f t="shared" si="48"/>
        <v>0.55000000000000071</v>
      </c>
      <c r="H303" s="5">
        <f t="shared" si="49"/>
        <v>1.1500002688262634</v>
      </c>
      <c r="I303" s="14">
        <f t="shared" si="50"/>
        <v>197.81256783206311</v>
      </c>
      <c r="J303" s="19">
        <f t="shared" si="51"/>
        <v>975826.37055247813</v>
      </c>
      <c r="K303" s="16">
        <f t="shared" si="52"/>
        <v>0.98360669954588609</v>
      </c>
    </row>
    <row r="304" spans="1:11" x14ac:dyDescent="0.15">
      <c r="A304" s="7">
        <v>39235.586435185185</v>
      </c>
      <c r="B304">
        <v>39.1</v>
      </c>
      <c r="C304" s="6">
        <f t="shared" si="45"/>
        <v>568.00000013317913</v>
      </c>
      <c r="D304" t="str">
        <f t="shared" si="46"/>
        <v/>
      </c>
      <c r="E304">
        <f t="shared" si="39"/>
        <v>39235.586435185185</v>
      </c>
      <c r="F304" s="4">
        <f t="shared" si="47"/>
        <v>1.1000000000000014</v>
      </c>
      <c r="G304" s="4">
        <f t="shared" si="48"/>
        <v>0.55000000000000071</v>
      </c>
      <c r="H304" s="5">
        <f t="shared" si="49"/>
        <v>1.0999999113846584</v>
      </c>
      <c r="I304" s="14">
        <f t="shared" si="50"/>
        <v>189.21196193121429</v>
      </c>
      <c r="J304" s="19">
        <f t="shared" si="51"/>
        <v>976015.58251440933</v>
      </c>
      <c r="K304" s="16">
        <f t="shared" si="52"/>
        <v>0.9837974201074593</v>
      </c>
    </row>
    <row r="305" spans="1:11" x14ac:dyDescent="0.15">
      <c r="A305" s="7">
        <v>39235.586458333331</v>
      </c>
      <c r="B305">
        <v>39.1</v>
      </c>
      <c r="C305" s="6">
        <f t="shared" si="45"/>
        <v>569.99999997206032</v>
      </c>
      <c r="D305" t="str">
        <f t="shared" si="46"/>
        <v/>
      </c>
      <c r="E305">
        <f t="shared" si="39"/>
        <v>39235.586458333331</v>
      </c>
      <c r="F305" s="4">
        <f t="shared" si="47"/>
        <v>1.1000000000000014</v>
      </c>
      <c r="G305" s="4">
        <f t="shared" si="48"/>
        <v>0.55000000000000071</v>
      </c>
      <c r="H305" s="5">
        <f t="shared" si="49"/>
        <v>1.0999999113846584</v>
      </c>
      <c r="I305" s="14">
        <f t="shared" si="50"/>
        <v>189.21196193121429</v>
      </c>
      <c r="J305" s="19">
        <f t="shared" si="51"/>
        <v>976204.79447634052</v>
      </c>
      <c r="K305" s="16">
        <f t="shared" si="52"/>
        <v>0.98398814066903262</v>
      </c>
    </row>
    <row r="306" spans="1:11" x14ac:dyDescent="0.15">
      <c r="A306" s="7">
        <v>39235.586481481485</v>
      </c>
      <c r="B306">
        <v>39.1</v>
      </c>
      <c r="C306" s="6">
        <f t="shared" si="45"/>
        <v>572.00000043958426</v>
      </c>
      <c r="D306" t="str">
        <f t="shared" si="46"/>
        <v/>
      </c>
      <c r="E306">
        <f t="shared" si="39"/>
        <v>39235.586481481485</v>
      </c>
      <c r="F306" s="4">
        <f t="shared" si="47"/>
        <v>1.1000000000000014</v>
      </c>
      <c r="G306" s="4">
        <f t="shared" si="48"/>
        <v>0.55000000000000071</v>
      </c>
      <c r="H306" s="5">
        <f t="shared" si="49"/>
        <v>1.1000002571381642</v>
      </c>
      <c r="I306" s="14">
        <f t="shared" si="50"/>
        <v>189.21202140458198</v>
      </c>
      <c r="J306" s="19">
        <f t="shared" si="51"/>
        <v>976394.00649774505</v>
      </c>
      <c r="K306" s="16">
        <f t="shared" si="52"/>
        <v>0.98417886129055332</v>
      </c>
    </row>
    <row r="307" spans="1:11" x14ac:dyDescent="0.15">
      <c r="A307" s="7">
        <v>39235.586504629631</v>
      </c>
      <c r="B307">
        <v>39.200000000000003</v>
      </c>
      <c r="C307" s="6">
        <f t="shared" si="45"/>
        <v>574.00000027846545</v>
      </c>
      <c r="D307" t="str">
        <f t="shared" si="46"/>
        <v/>
      </c>
      <c r="E307">
        <f t="shared" si="39"/>
        <v>39235.586504629631</v>
      </c>
      <c r="F307" s="4">
        <f t="shared" si="47"/>
        <v>1.2000000000000028</v>
      </c>
      <c r="G307" s="4">
        <f t="shared" si="48"/>
        <v>0.60000000000000142</v>
      </c>
      <c r="H307" s="5">
        <f t="shared" si="49"/>
        <v>1.1499999073566891</v>
      </c>
      <c r="I307" s="14">
        <f t="shared" si="50"/>
        <v>197.81250565536052</v>
      </c>
      <c r="J307" s="19">
        <f t="shared" si="51"/>
        <v>976591.81900340039</v>
      </c>
      <c r="K307" s="16">
        <f t="shared" si="52"/>
        <v>0.98437825096856169</v>
      </c>
    </row>
    <row r="308" spans="1:11" x14ac:dyDescent="0.15">
      <c r="A308" s="7">
        <v>39235.586527777778</v>
      </c>
      <c r="B308">
        <v>39.1</v>
      </c>
      <c r="C308" s="6">
        <f t="shared" si="45"/>
        <v>576.00000011734664</v>
      </c>
      <c r="D308" t="str">
        <f t="shared" si="46"/>
        <v/>
      </c>
      <c r="E308">
        <f t="shared" si="39"/>
        <v>39235.586527777778</v>
      </c>
      <c r="F308" s="4">
        <f t="shared" si="47"/>
        <v>1.1000000000000014</v>
      </c>
      <c r="G308" s="4">
        <f t="shared" si="48"/>
        <v>0.55000000000000071</v>
      </c>
      <c r="H308" s="5">
        <f t="shared" si="49"/>
        <v>1.1499999073566891</v>
      </c>
      <c r="I308" s="14">
        <f t="shared" si="50"/>
        <v>197.81250565536052</v>
      </c>
      <c r="J308" s="19">
        <f t="shared" si="51"/>
        <v>976789.63150905573</v>
      </c>
      <c r="K308" s="16">
        <f t="shared" si="52"/>
        <v>0.98457764064657005</v>
      </c>
    </row>
    <row r="309" spans="1:11" x14ac:dyDescent="0.15">
      <c r="A309" s="7">
        <v>39235.586550925924</v>
      </c>
      <c r="B309">
        <v>39.200000000000003</v>
      </c>
      <c r="C309" s="6">
        <f t="shared" si="45"/>
        <v>577.99999995622784</v>
      </c>
      <c r="D309" t="str">
        <f t="shared" si="46"/>
        <v/>
      </c>
      <c r="E309">
        <f t="shared" si="39"/>
        <v>39235.586550925924</v>
      </c>
      <c r="F309" s="4">
        <f t="shared" si="47"/>
        <v>1.2000000000000028</v>
      </c>
      <c r="G309" s="4">
        <f t="shared" si="48"/>
        <v>0.60000000000000142</v>
      </c>
      <c r="H309" s="5">
        <f t="shared" si="49"/>
        <v>1.1499999073566891</v>
      </c>
      <c r="I309" s="14">
        <f t="shared" si="50"/>
        <v>197.81250565536052</v>
      </c>
      <c r="J309" s="19">
        <f t="shared" si="51"/>
        <v>976987.44401471107</v>
      </c>
      <c r="K309" s="16">
        <f t="shared" si="52"/>
        <v>0.98477703032457853</v>
      </c>
    </row>
    <row r="310" spans="1:11" x14ac:dyDescent="0.15">
      <c r="A310" s="7">
        <v>39235.586574074077</v>
      </c>
      <c r="B310">
        <v>39.1</v>
      </c>
      <c r="C310" s="6">
        <f t="shared" si="45"/>
        <v>580.00000042375177</v>
      </c>
      <c r="D310" t="str">
        <f t="shared" si="46"/>
        <v/>
      </c>
      <c r="E310">
        <f t="shared" si="39"/>
        <v>39235.586574074077</v>
      </c>
      <c r="F310" s="4">
        <f t="shared" si="47"/>
        <v>1.1000000000000014</v>
      </c>
      <c r="G310" s="4">
        <f t="shared" si="48"/>
        <v>0.55000000000000071</v>
      </c>
      <c r="H310" s="5">
        <f t="shared" si="49"/>
        <v>1.1500002688262634</v>
      </c>
      <c r="I310" s="14">
        <f t="shared" si="50"/>
        <v>197.81256783206311</v>
      </c>
      <c r="J310" s="19">
        <f t="shared" si="51"/>
        <v>977185.25658254314</v>
      </c>
      <c r="K310" s="16">
        <f t="shared" si="52"/>
        <v>0.98497642006525932</v>
      </c>
    </row>
    <row r="311" spans="1:11" x14ac:dyDescent="0.15">
      <c r="A311" s="7">
        <v>39235.586597222224</v>
      </c>
      <c r="B311">
        <v>39.1</v>
      </c>
      <c r="C311" s="6">
        <f t="shared" si="45"/>
        <v>582.00000026263297</v>
      </c>
      <c r="D311" t="str">
        <f t="shared" si="46"/>
        <v/>
      </c>
      <c r="E311">
        <f t="shared" si="39"/>
        <v>39235.586597222224</v>
      </c>
      <c r="F311" s="4">
        <f t="shared" si="47"/>
        <v>1.1000000000000014</v>
      </c>
      <c r="G311" s="4">
        <f t="shared" si="48"/>
        <v>0.55000000000000071</v>
      </c>
      <c r="H311" s="5">
        <f t="shared" si="49"/>
        <v>1.0999999113846584</v>
      </c>
      <c r="I311" s="14">
        <f t="shared" si="50"/>
        <v>189.21196193121429</v>
      </c>
      <c r="J311" s="19">
        <f t="shared" si="51"/>
        <v>977374.46854447434</v>
      </c>
      <c r="K311" s="16">
        <f t="shared" si="52"/>
        <v>0.98516714062683264</v>
      </c>
    </row>
    <row r="312" spans="1:11" x14ac:dyDescent="0.15">
      <c r="A312" s="7">
        <v>39235.58662037037</v>
      </c>
      <c r="B312">
        <v>39.1</v>
      </c>
      <c r="C312" s="6">
        <f t="shared" si="45"/>
        <v>584.00000010151416</v>
      </c>
      <c r="D312" t="str">
        <f t="shared" si="46"/>
        <v/>
      </c>
      <c r="E312">
        <f t="shared" si="39"/>
        <v>39235.58662037037</v>
      </c>
      <c r="F312" s="4">
        <f t="shared" si="47"/>
        <v>1.1000000000000014</v>
      </c>
      <c r="G312" s="4">
        <f t="shared" si="48"/>
        <v>0.55000000000000071</v>
      </c>
      <c r="H312" s="5">
        <f t="shared" si="49"/>
        <v>1.0999999113846584</v>
      </c>
      <c r="I312" s="14">
        <f t="shared" si="50"/>
        <v>189.21196193121429</v>
      </c>
      <c r="J312" s="19">
        <f t="shared" si="51"/>
        <v>977563.68050640554</v>
      </c>
      <c r="K312" s="16">
        <f t="shared" si="52"/>
        <v>0.98535786118840585</v>
      </c>
    </row>
    <row r="313" spans="1:11" x14ac:dyDescent="0.15">
      <c r="A313" s="7">
        <v>39235.586643518516</v>
      </c>
      <c r="B313">
        <v>39.1</v>
      </c>
      <c r="C313" s="6">
        <f t="shared" si="45"/>
        <v>585.99999994039536</v>
      </c>
      <c r="D313" t="str">
        <f t="shared" si="46"/>
        <v/>
      </c>
      <c r="E313">
        <f t="shared" si="39"/>
        <v>39235.586643518516</v>
      </c>
      <c r="F313" s="4">
        <f t="shared" si="47"/>
        <v>1.1000000000000014</v>
      </c>
      <c r="G313" s="4">
        <f t="shared" si="48"/>
        <v>0.55000000000000071</v>
      </c>
      <c r="H313" s="5">
        <f t="shared" si="49"/>
        <v>1.0999999113846584</v>
      </c>
      <c r="I313" s="14">
        <f t="shared" si="50"/>
        <v>189.21196193121429</v>
      </c>
      <c r="J313" s="19">
        <f t="shared" si="51"/>
        <v>977752.89246833674</v>
      </c>
      <c r="K313" s="16">
        <f t="shared" si="52"/>
        <v>0.98554858174997906</v>
      </c>
    </row>
    <row r="314" spans="1:11" x14ac:dyDescent="0.15">
      <c r="A314" s="7">
        <v>39235.58666666667</v>
      </c>
      <c r="B314">
        <v>38.9</v>
      </c>
      <c r="C314" s="6">
        <f t="shared" si="45"/>
        <v>588.00000040791929</v>
      </c>
      <c r="D314" t="str">
        <f t="shared" si="46"/>
        <v/>
      </c>
      <c r="E314">
        <f t="shared" si="39"/>
        <v>39235.58666666667</v>
      </c>
      <c r="F314" s="4">
        <f t="shared" si="47"/>
        <v>0.89999999999999858</v>
      </c>
      <c r="G314" s="4">
        <f t="shared" si="48"/>
        <v>0.44999999999999929</v>
      </c>
      <c r="H314" s="5">
        <f t="shared" si="49"/>
        <v>1.0000002337619662</v>
      </c>
      <c r="I314" s="14">
        <f t="shared" si="50"/>
        <v>172.01092854961976</v>
      </c>
      <c r="J314" s="19">
        <f t="shared" si="51"/>
        <v>977924.90339688631</v>
      </c>
      <c r="K314" s="16">
        <f t="shared" si="52"/>
        <v>0.98572196413317981</v>
      </c>
    </row>
    <row r="315" spans="1:11" x14ac:dyDescent="0.15">
      <c r="A315" s="7">
        <v>39235.586689814816</v>
      </c>
      <c r="B315">
        <v>39.1</v>
      </c>
      <c r="C315" s="6">
        <f t="shared" si="45"/>
        <v>590.00000024680048</v>
      </c>
      <c r="D315" t="str">
        <f t="shared" si="46"/>
        <v/>
      </c>
      <c r="E315">
        <f t="shared" si="39"/>
        <v>39235.586689814816</v>
      </c>
      <c r="F315" s="4">
        <f t="shared" si="47"/>
        <v>1.1000000000000014</v>
      </c>
      <c r="G315" s="4">
        <f t="shared" si="48"/>
        <v>0.55000000000000071</v>
      </c>
      <c r="H315" s="5">
        <f t="shared" si="49"/>
        <v>0.9999999194405973</v>
      </c>
      <c r="I315" s="14">
        <f t="shared" si="50"/>
        <v>172.01087448292188</v>
      </c>
      <c r="J315" s="19">
        <f t="shared" si="51"/>
        <v>978096.91427136923</v>
      </c>
      <c r="K315" s="16">
        <f t="shared" si="52"/>
        <v>0.9858953464618827</v>
      </c>
    </row>
    <row r="316" spans="1:11" x14ac:dyDescent="0.15">
      <c r="A316" s="7">
        <v>39235.586712962962</v>
      </c>
      <c r="B316">
        <v>39.1</v>
      </c>
      <c r="C316" s="6">
        <f t="shared" si="45"/>
        <v>592.00000008568168</v>
      </c>
      <c r="D316" t="str">
        <f t="shared" si="46"/>
        <v/>
      </c>
      <c r="E316">
        <f t="shared" si="39"/>
        <v>39235.586712962962</v>
      </c>
      <c r="F316" s="4">
        <f t="shared" si="47"/>
        <v>1.1000000000000014</v>
      </c>
      <c r="G316" s="4">
        <f t="shared" si="48"/>
        <v>0.55000000000000071</v>
      </c>
      <c r="H316" s="5">
        <f t="shared" si="49"/>
        <v>1.0999999113846584</v>
      </c>
      <c r="I316" s="14">
        <f t="shared" si="50"/>
        <v>189.21196193121429</v>
      </c>
      <c r="J316" s="19">
        <f t="shared" si="51"/>
        <v>978286.12623330043</v>
      </c>
      <c r="K316" s="16">
        <f t="shared" si="52"/>
        <v>0.98608606702345591</v>
      </c>
    </row>
    <row r="317" spans="1:11" x14ac:dyDescent="0.15">
      <c r="A317" s="7">
        <v>39235.586736111109</v>
      </c>
      <c r="B317">
        <v>38.9</v>
      </c>
      <c r="C317" s="6">
        <f t="shared" si="45"/>
        <v>593.99999992456287</v>
      </c>
      <c r="D317" t="str">
        <f t="shared" si="46"/>
        <v/>
      </c>
      <c r="E317">
        <f t="shared" si="39"/>
        <v>39235.586736111109</v>
      </c>
      <c r="F317" s="4">
        <f t="shared" si="47"/>
        <v>0.89999999999999858</v>
      </c>
      <c r="G317" s="4">
        <f t="shared" si="48"/>
        <v>0.44999999999999929</v>
      </c>
      <c r="H317" s="5">
        <f t="shared" si="49"/>
        <v>0.9999999194405973</v>
      </c>
      <c r="I317" s="14">
        <f t="shared" si="50"/>
        <v>172.01087448292188</v>
      </c>
      <c r="J317" s="19">
        <f t="shared" si="51"/>
        <v>978458.13710778335</v>
      </c>
      <c r="K317" s="16">
        <f t="shared" si="52"/>
        <v>0.98625944935215892</v>
      </c>
    </row>
    <row r="318" spans="1:11" x14ac:dyDescent="0.15">
      <c r="A318" s="7">
        <v>39235.586759259262</v>
      </c>
      <c r="B318">
        <v>39.1</v>
      </c>
      <c r="C318" s="6">
        <f t="shared" si="45"/>
        <v>596.0000003920868</v>
      </c>
      <c r="D318" t="str">
        <f t="shared" si="46"/>
        <v/>
      </c>
      <c r="E318">
        <f t="shared" si="39"/>
        <v>39235.586759259262</v>
      </c>
      <c r="F318" s="4">
        <f t="shared" si="47"/>
        <v>1.1000000000000014</v>
      </c>
      <c r="G318" s="4">
        <f t="shared" si="48"/>
        <v>0.55000000000000071</v>
      </c>
      <c r="H318" s="5">
        <f t="shared" si="49"/>
        <v>1.0000002337619662</v>
      </c>
      <c r="I318" s="14">
        <f t="shared" si="50"/>
        <v>172.01092854961976</v>
      </c>
      <c r="J318" s="19">
        <f t="shared" si="51"/>
        <v>978630.14803633292</v>
      </c>
      <c r="K318" s="16">
        <f t="shared" si="52"/>
        <v>0.98643283173535956</v>
      </c>
    </row>
    <row r="319" spans="1:11" x14ac:dyDescent="0.15">
      <c r="A319" s="7">
        <v>39235.586782407408</v>
      </c>
      <c r="B319">
        <v>39.1</v>
      </c>
      <c r="C319" s="6">
        <f t="shared" si="45"/>
        <v>598.000000230968</v>
      </c>
      <c r="D319" t="str">
        <f t="shared" si="46"/>
        <v/>
      </c>
      <c r="E319">
        <f t="shared" si="39"/>
        <v>39235.586782407408</v>
      </c>
      <c r="F319" s="4">
        <f t="shared" si="47"/>
        <v>1.1000000000000014</v>
      </c>
      <c r="G319" s="4">
        <f t="shared" si="48"/>
        <v>0.55000000000000071</v>
      </c>
      <c r="H319" s="5">
        <f t="shared" si="49"/>
        <v>1.0999999113846584</v>
      </c>
      <c r="I319" s="14">
        <f t="shared" si="50"/>
        <v>189.21196193121429</v>
      </c>
      <c r="J319" s="19">
        <f t="shared" si="51"/>
        <v>978819.35999826412</v>
      </c>
      <c r="K319" s="16">
        <f t="shared" si="52"/>
        <v>0.98662355229693288</v>
      </c>
    </row>
    <row r="320" spans="1:11" x14ac:dyDescent="0.15">
      <c r="A320" s="7">
        <v>39235.586805555555</v>
      </c>
      <c r="B320">
        <v>39.1</v>
      </c>
      <c r="C320" s="6">
        <f t="shared" si="45"/>
        <v>600.00000006984919</v>
      </c>
      <c r="D320" t="str">
        <f t="shared" si="46"/>
        <v/>
      </c>
      <c r="E320">
        <f t="shared" si="39"/>
        <v>39235.586805555555</v>
      </c>
      <c r="F320" s="4">
        <f t="shared" si="47"/>
        <v>1.1000000000000014</v>
      </c>
      <c r="G320" s="4">
        <f t="shared" si="48"/>
        <v>0.55000000000000071</v>
      </c>
      <c r="H320" s="5">
        <f t="shared" si="49"/>
        <v>1.0999999113846584</v>
      </c>
      <c r="I320" s="14">
        <f t="shared" si="50"/>
        <v>189.21196193121429</v>
      </c>
      <c r="J320" s="19">
        <f t="shared" si="51"/>
        <v>979008.57196019532</v>
      </c>
      <c r="K320" s="16">
        <f t="shared" si="52"/>
        <v>0.98681427285850609</v>
      </c>
    </row>
    <row r="321" spans="1:11" x14ac:dyDescent="0.15">
      <c r="A321" s="7">
        <v>39235.586828703701</v>
      </c>
      <c r="B321">
        <v>39</v>
      </c>
      <c r="C321" s="6">
        <f t="shared" si="45"/>
        <v>601.99999990873039</v>
      </c>
      <c r="D321" t="str">
        <f t="shared" si="46"/>
        <v/>
      </c>
      <c r="E321">
        <f t="shared" si="39"/>
        <v>39235.586828703701</v>
      </c>
      <c r="F321" s="4">
        <f t="shared" si="47"/>
        <v>1</v>
      </c>
      <c r="G321" s="4">
        <f t="shared" si="48"/>
        <v>0.5</v>
      </c>
      <c r="H321" s="5">
        <f t="shared" si="49"/>
        <v>1.0499999154126278</v>
      </c>
      <c r="I321" s="14">
        <f t="shared" si="50"/>
        <v>180.61141820706808</v>
      </c>
      <c r="J321" s="19">
        <f t="shared" si="51"/>
        <v>979189.18337840238</v>
      </c>
      <c r="K321" s="16">
        <f t="shared" si="52"/>
        <v>0.98699632430364426</v>
      </c>
    </row>
    <row r="322" spans="1:11" x14ac:dyDescent="0.15">
      <c r="A322" s="7">
        <v>39235.586851851855</v>
      </c>
      <c r="B322">
        <v>38.9</v>
      </c>
      <c r="C322" s="6">
        <f t="shared" si="45"/>
        <v>604.00000037625432</v>
      </c>
      <c r="D322" t="str">
        <f t="shared" si="46"/>
        <v/>
      </c>
      <c r="E322">
        <f t="shared" si="39"/>
        <v>39235.586851851855</v>
      </c>
      <c r="F322" s="4">
        <f t="shared" si="47"/>
        <v>0.89999999999999858</v>
      </c>
      <c r="G322" s="4">
        <f t="shared" si="48"/>
        <v>0.44999999999999929</v>
      </c>
      <c r="H322" s="5">
        <f t="shared" si="49"/>
        <v>0.95000022207386725</v>
      </c>
      <c r="I322" s="14">
        <f t="shared" si="50"/>
        <v>163.41038212213866</v>
      </c>
      <c r="J322" s="19">
        <f t="shared" si="51"/>
        <v>979352.59376052453</v>
      </c>
      <c r="K322" s="16">
        <f t="shared" si="52"/>
        <v>0.98716103756768492</v>
      </c>
    </row>
    <row r="323" spans="1:11" x14ac:dyDescent="0.15">
      <c r="A323" s="7">
        <v>39235.586875000001</v>
      </c>
      <c r="B323">
        <v>39.1</v>
      </c>
      <c r="C323" s="6">
        <f t="shared" si="45"/>
        <v>606.00000021513551</v>
      </c>
      <c r="D323" t="str">
        <f t="shared" si="46"/>
        <v/>
      </c>
      <c r="E323">
        <f t="shared" si="39"/>
        <v>39235.586875000001</v>
      </c>
      <c r="F323" s="4">
        <f t="shared" si="47"/>
        <v>1.1000000000000014</v>
      </c>
      <c r="G323" s="4">
        <f t="shared" si="48"/>
        <v>0.55000000000000071</v>
      </c>
      <c r="H323" s="5">
        <f t="shared" si="49"/>
        <v>0.9999999194405973</v>
      </c>
      <c r="I323" s="14">
        <f t="shared" si="50"/>
        <v>172.01087448292188</v>
      </c>
      <c r="J323" s="19">
        <f t="shared" si="51"/>
        <v>979524.60463500745</v>
      </c>
      <c r="K323" s="16">
        <f t="shared" si="52"/>
        <v>0.98733441989638793</v>
      </c>
    </row>
    <row r="324" spans="1:11" x14ac:dyDescent="0.15">
      <c r="A324" s="7">
        <v>39235.586898148147</v>
      </c>
      <c r="B324">
        <v>39.1</v>
      </c>
      <c r="C324" s="6">
        <f t="shared" si="45"/>
        <v>608.00000005401671</v>
      </c>
      <c r="D324" t="str">
        <f t="shared" si="46"/>
        <v/>
      </c>
      <c r="E324">
        <f t="shared" si="39"/>
        <v>39235.586898148147</v>
      </c>
      <c r="F324" s="4">
        <f t="shared" si="47"/>
        <v>1.1000000000000014</v>
      </c>
      <c r="G324" s="4">
        <f t="shared" si="48"/>
        <v>0.55000000000000071</v>
      </c>
      <c r="H324" s="5">
        <f t="shared" si="49"/>
        <v>1.0999999113846584</v>
      </c>
      <c r="I324" s="14">
        <f t="shared" si="50"/>
        <v>189.21196193121429</v>
      </c>
      <c r="J324" s="19">
        <f t="shared" si="51"/>
        <v>979713.81659693865</v>
      </c>
      <c r="K324" s="16">
        <f t="shared" si="52"/>
        <v>0.98752514045796114</v>
      </c>
    </row>
    <row r="325" spans="1:11" x14ac:dyDescent="0.15">
      <c r="A325" s="7">
        <v>39235.586921296293</v>
      </c>
      <c r="B325">
        <v>38.9</v>
      </c>
      <c r="C325" s="6">
        <f t="shared" si="45"/>
        <v>609.9999998928979</v>
      </c>
      <c r="D325" t="str">
        <f t="shared" si="46"/>
        <v/>
      </c>
      <c r="E325">
        <f t="shared" si="39"/>
        <v>39235.586921296293</v>
      </c>
      <c r="F325" s="4">
        <f t="shared" si="47"/>
        <v>0.89999999999999858</v>
      </c>
      <c r="G325" s="4">
        <f t="shared" si="48"/>
        <v>0.44999999999999929</v>
      </c>
      <c r="H325" s="5">
        <f t="shared" si="49"/>
        <v>0.9999999194405973</v>
      </c>
      <c r="I325" s="14">
        <f t="shared" si="50"/>
        <v>172.01087448292188</v>
      </c>
      <c r="J325" s="19">
        <f t="shared" si="51"/>
        <v>979885.82747142157</v>
      </c>
      <c r="K325" s="16">
        <f t="shared" si="52"/>
        <v>0.98769852278666403</v>
      </c>
    </row>
    <row r="326" spans="1:11" x14ac:dyDescent="0.15">
      <c r="A326" s="7">
        <v>39235.586944444447</v>
      </c>
      <c r="B326">
        <v>38.9</v>
      </c>
      <c r="C326" s="6">
        <f t="shared" si="45"/>
        <v>612.00000036042184</v>
      </c>
      <c r="D326" t="str">
        <f t="shared" si="46"/>
        <v/>
      </c>
      <c r="E326">
        <f t="shared" si="39"/>
        <v>39235.586944444447</v>
      </c>
      <c r="F326" s="4">
        <f t="shared" si="47"/>
        <v>0.89999999999999858</v>
      </c>
      <c r="G326" s="4">
        <f t="shared" si="48"/>
        <v>0.44999999999999929</v>
      </c>
      <c r="H326" s="5">
        <f t="shared" si="49"/>
        <v>0.90000021038576816</v>
      </c>
      <c r="I326" s="14">
        <f t="shared" si="50"/>
        <v>154.80983569465755</v>
      </c>
      <c r="J326" s="19">
        <f t="shared" si="51"/>
        <v>980040.63730711618</v>
      </c>
      <c r="K326" s="16">
        <f t="shared" si="52"/>
        <v>0.98785456693154472</v>
      </c>
    </row>
    <row r="327" spans="1:11" x14ac:dyDescent="0.15">
      <c r="A327" s="7">
        <v>39235.586967592593</v>
      </c>
      <c r="B327">
        <v>38.9</v>
      </c>
      <c r="C327" s="6">
        <f t="shared" si="45"/>
        <v>614.00000019930303</v>
      </c>
      <c r="D327" t="str">
        <f t="shared" si="46"/>
        <v/>
      </c>
      <c r="E327">
        <f t="shared" si="39"/>
        <v>39235.586967592593</v>
      </c>
      <c r="F327" s="4">
        <f t="shared" si="47"/>
        <v>0.89999999999999858</v>
      </c>
      <c r="G327" s="4">
        <f t="shared" si="48"/>
        <v>0.44999999999999929</v>
      </c>
      <c r="H327" s="5">
        <f t="shared" si="49"/>
        <v>0.89999992749653612</v>
      </c>
      <c r="I327" s="14">
        <f t="shared" si="50"/>
        <v>154.80978703462944</v>
      </c>
      <c r="J327" s="19">
        <f t="shared" si="51"/>
        <v>980195.44709415082</v>
      </c>
      <c r="K327" s="16">
        <f t="shared" si="52"/>
        <v>0.98801061102737742</v>
      </c>
    </row>
    <row r="328" spans="1:11" x14ac:dyDescent="0.15">
      <c r="A328" s="7">
        <v>39235.58699074074</v>
      </c>
      <c r="B328">
        <v>38.9</v>
      </c>
      <c r="C328" s="6">
        <f t="shared" si="45"/>
        <v>616.00000003818423</v>
      </c>
      <c r="D328" t="str">
        <f t="shared" si="46"/>
        <v/>
      </c>
      <c r="E328">
        <f t="shared" si="39"/>
        <v>39235.58699074074</v>
      </c>
      <c r="F328" s="4">
        <f t="shared" si="47"/>
        <v>0.89999999999999858</v>
      </c>
      <c r="G328" s="4">
        <f t="shared" si="48"/>
        <v>0.44999999999999929</v>
      </c>
      <c r="H328" s="5">
        <f t="shared" si="49"/>
        <v>0.89999992749653612</v>
      </c>
      <c r="I328" s="14">
        <f t="shared" si="50"/>
        <v>154.80978703462944</v>
      </c>
      <c r="J328" s="19">
        <f t="shared" si="51"/>
        <v>980350.25688118546</v>
      </c>
      <c r="K328" s="16">
        <f t="shared" si="52"/>
        <v>0.98816665512321</v>
      </c>
    </row>
    <row r="329" spans="1:11" x14ac:dyDescent="0.15">
      <c r="A329" s="7">
        <v>39235.587013888886</v>
      </c>
      <c r="B329">
        <v>38.9</v>
      </c>
      <c r="C329" s="6">
        <f t="shared" si="45"/>
        <v>617.99999987706542</v>
      </c>
      <c r="D329" t="str">
        <f t="shared" si="46"/>
        <v/>
      </c>
      <c r="E329">
        <f t="shared" si="39"/>
        <v>39235.587013888886</v>
      </c>
      <c r="F329" s="4">
        <f t="shared" si="47"/>
        <v>0.89999999999999858</v>
      </c>
      <c r="G329" s="4">
        <f t="shared" si="48"/>
        <v>0.44999999999999929</v>
      </c>
      <c r="H329" s="5">
        <f t="shared" si="49"/>
        <v>0.89999992749653612</v>
      </c>
      <c r="I329" s="14">
        <f t="shared" si="50"/>
        <v>154.80978703462944</v>
      </c>
      <c r="J329" s="19">
        <f t="shared" si="51"/>
        <v>980505.0666682201</v>
      </c>
      <c r="K329" s="16">
        <f t="shared" si="52"/>
        <v>0.9883226992190427</v>
      </c>
    </row>
    <row r="330" spans="1:11" x14ac:dyDescent="0.15">
      <c r="A330" s="7">
        <v>39235.587037037039</v>
      </c>
      <c r="B330">
        <v>38.9</v>
      </c>
      <c r="C330" s="6">
        <f t="shared" si="45"/>
        <v>620.00000034458935</v>
      </c>
      <c r="D330" t="str">
        <f t="shared" si="46"/>
        <v/>
      </c>
      <c r="E330">
        <f t="shared" si="39"/>
        <v>39235.587037037039</v>
      </c>
      <c r="F330" s="4">
        <f t="shared" si="47"/>
        <v>0.89999999999999858</v>
      </c>
      <c r="G330" s="4">
        <f t="shared" si="48"/>
        <v>0.44999999999999929</v>
      </c>
      <c r="H330" s="5">
        <f t="shared" si="49"/>
        <v>0.90000021038576816</v>
      </c>
      <c r="I330" s="14">
        <f t="shared" si="50"/>
        <v>154.80983569465755</v>
      </c>
      <c r="J330" s="19">
        <f t="shared" si="51"/>
        <v>980659.87650391471</v>
      </c>
      <c r="K330" s="16">
        <f t="shared" si="52"/>
        <v>0.98847874336392338</v>
      </c>
    </row>
    <row r="331" spans="1:11" x14ac:dyDescent="0.15">
      <c r="A331" s="7">
        <v>39235.587060185186</v>
      </c>
      <c r="B331">
        <v>38.9</v>
      </c>
      <c r="C331" s="6">
        <f t="shared" si="45"/>
        <v>622.00000018347055</v>
      </c>
      <c r="D331" t="str">
        <f t="shared" si="46"/>
        <v/>
      </c>
      <c r="E331">
        <f t="shared" si="39"/>
        <v>39235.587060185186</v>
      </c>
      <c r="F331" s="4">
        <f t="shared" si="47"/>
        <v>0.89999999999999858</v>
      </c>
      <c r="G331" s="4">
        <f t="shared" si="48"/>
        <v>0.44999999999999929</v>
      </c>
      <c r="H331" s="5">
        <f t="shared" si="49"/>
        <v>0.89999992749653612</v>
      </c>
      <c r="I331" s="14">
        <f t="shared" si="50"/>
        <v>154.80978703462944</v>
      </c>
      <c r="J331" s="19">
        <f t="shared" si="51"/>
        <v>980814.68629094935</v>
      </c>
      <c r="K331" s="16">
        <f t="shared" si="52"/>
        <v>0.98863478745975597</v>
      </c>
    </row>
    <row r="332" spans="1:11" x14ac:dyDescent="0.15">
      <c r="A332" s="7">
        <v>39235.587083333332</v>
      </c>
      <c r="B332">
        <v>38.9</v>
      </c>
      <c r="C332" s="6">
        <f t="shared" si="45"/>
        <v>624.00000002235174</v>
      </c>
      <c r="D332" t="str">
        <f t="shared" si="46"/>
        <v/>
      </c>
      <c r="E332">
        <f t="shared" si="39"/>
        <v>39235.587083333332</v>
      </c>
      <c r="F332" s="4">
        <f t="shared" si="47"/>
        <v>0.89999999999999858</v>
      </c>
      <c r="G332" s="4">
        <f t="shared" si="48"/>
        <v>0.44999999999999929</v>
      </c>
      <c r="H332" s="5">
        <f t="shared" si="49"/>
        <v>0.89999992749653612</v>
      </c>
      <c r="I332" s="14">
        <f t="shared" si="50"/>
        <v>154.80978703462944</v>
      </c>
      <c r="J332" s="19">
        <f t="shared" si="51"/>
        <v>980969.49607798399</v>
      </c>
      <c r="K332" s="16">
        <f t="shared" si="52"/>
        <v>0.98879083155558867</v>
      </c>
    </row>
    <row r="333" spans="1:11" x14ac:dyDescent="0.15">
      <c r="A333" s="7">
        <v>39235.587106481478</v>
      </c>
      <c r="B333">
        <v>38.9</v>
      </c>
      <c r="C333" s="6">
        <f t="shared" si="45"/>
        <v>625.99999986123294</v>
      </c>
      <c r="D333" t="str">
        <f t="shared" si="46"/>
        <v/>
      </c>
      <c r="E333">
        <f t="shared" si="39"/>
        <v>39235.587106481478</v>
      </c>
      <c r="F333" s="4">
        <f t="shared" si="47"/>
        <v>0.89999999999999858</v>
      </c>
      <c r="G333" s="4">
        <f t="shared" si="48"/>
        <v>0.44999999999999929</v>
      </c>
      <c r="H333" s="5">
        <f t="shared" si="49"/>
        <v>0.89999992749653612</v>
      </c>
      <c r="I333" s="14">
        <f t="shared" si="50"/>
        <v>154.80978703462944</v>
      </c>
      <c r="J333" s="19">
        <f t="shared" si="51"/>
        <v>981124.30586501863</v>
      </c>
      <c r="K333" s="16">
        <f t="shared" si="52"/>
        <v>0.98894687565142136</v>
      </c>
    </row>
    <row r="334" spans="1:11" x14ac:dyDescent="0.15">
      <c r="A334" s="7">
        <v>39235.587129629632</v>
      </c>
      <c r="B334">
        <v>38.9</v>
      </c>
      <c r="C334" s="6">
        <f t="shared" si="45"/>
        <v>628.00000032875687</v>
      </c>
      <c r="D334" t="str">
        <f t="shared" si="46"/>
        <v/>
      </c>
      <c r="E334">
        <f t="shared" si="39"/>
        <v>39235.587129629632</v>
      </c>
      <c r="F334" s="4">
        <f t="shared" si="47"/>
        <v>0.89999999999999858</v>
      </c>
      <c r="G334" s="4">
        <f t="shared" si="48"/>
        <v>0.44999999999999929</v>
      </c>
      <c r="H334" s="5">
        <f t="shared" si="49"/>
        <v>0.90000021038576816</v>
      </c>
      <c r="I334" s="14">
        <f t="shared" si="50"/>
        <v>154.80983569465755</v>
      </c>
      <c r="J334" s="19">
        <f t="shared" si="51"/>
        <v>981279.11570071324</v>
      </c>
      <c r="K334" s="16">
        <f t="shared" si="52"/>
        <v>0.98910291979630194</v>
      </c>
    </row>
    <row r="335" spans="1:11" x14ac:dyDescent="0.15">
      <c r="A335" s="7">
        <v>39235.587152777778</v>
      </c>
      <c r="B335">
        <v>38.9</v>
      </c>
      <c r="C335" s="6">
        <f t="shared" si="45"/>
        <v>630.00000016763806</v>
      </c>
      <c r="D335" t="str">
        <f t="shared" si="46"/>
        <v/>
      </c>
      <c r="E335">
        <f t="shared" si="39"/>
        <v>39235.587152777778</v>
      </c>
      <c r="F335" s="4">
        <f t="shared" si="47"/>
        <v>0.89999999999999858</v>
      </c>
      <c r="G335" s="4">
        <f t="shared" si="48"/>
        <v>0.44999999999999929</v>
      </c>
      <c r="H335" s="5">
        <f t="shared" si="49"/>
        <v>0.89999992749653612</v>
      </c>
      <c r="I335" s="14">
        <f t="shared" si="50"/>
        <v>154.80978703462944</v>
      </c>
      <c r="J335" s="19">
        <f t="shared" si="51"/>
        <v>981433.92548774788</v>
      </c>
      <c r="K335" s="16">
        <f t="shared" si="52"/>
        <v>0.98925896389213464</v>
      </c>
    </row>
    <row r="336" spans="1:11" x14ac:dyDescent="0.15">
      <c r="A336" s="7">
        <v>39235.587175925924</v>
      </c>
      <c r="B336">
        <v>38.9</v>
      </c>
      <c r="C336" s="6">
        <f t="shared" si="45"/>
        <v>632.00000000651926</v>
      </c>
      <c r="D336" t="str">
        <f t="shared" si="46"/>
        <v/>
      </c>
      <c r="E336">
        <f t="shared" si="39"/>
        <v>39235.587175925924</v>
      </c>
      <c r="F336" s="4">
        <f t="shared" si="47"/>
        <v>0.89999999999999858</v>
      </c>
      <c r="G336" s="4">
        <f t="shared" si="48"/>
        <v>0.44999999999999929</v>
      </c>
      <c r="H336" s="5">
        <f t="shared" si="49"/>
        <v>0.89999992749653612</v>
      </c>
      <c r="I336" s="14">
        <f t="shared" si="50"/>
        <v>154.80978703462944</v>
      </c>
      <c r="J336" s="19">
        <f t="shared" si="51"/>
        <v>981588.73527478252</v>
      </c>
      <c r="K336" s="16">
        <f t="shared" si="52"/>
        <v>0.98941500798796733</v>
      </c>
    </row>
    <row r="337" spans="1:11" x14ac:dyDescent="0.15">
      <c r="A337" s="7">
        <v>39235.587199074071</v>
      </c>
      <c r="B337">
        <v>38.9</v>
      </c>
      <c r="C337" s="6">
        <f t="shared" si="45"/>
        <v>633.99999984540045</v>
      </c>
      <c r="D337" t="str">
        <f t="shared" si="46"/>
        <v/>
      </c>
      <c r="E337">
        <f t="shared" si="39"/>
        <v>39235.587199074071</v>
      </c>
      <c r="F337" s="4">
        <f t="shared" si="47"/>
        <v>0.89999999999999858</v>
      </c>
      <c r="G337" s="4">
        <f t="shared" si="48"/>
        <v>0.44999999999999929</v>
      </c>
      <c r="H337" s="5">
        <f t="shared" si="49"/>
        <v>0.89999992749653612</v>
      </c>
      <c r="I337" s="14">
        <f t="shared" si="50"/>
        <v>154.80978703462944</v>
      </c>
      <c r="J337" s="19">
        <f t="shared" si="51"/>
        <v>981743.54506181716</v>
      </c>
      <c r="K337" s="16">
        <f t="shared" si="52"/>
        <v>0.98957105208380003</v>
      </c>
    </row>
    <row r="338" spans="1:11" x14ac:dyDescent="0.15">
      <c r="A338" s="7">
        <v>39235.587222222224</v>
      </c>
      <c r="B338">
        <v>38.9</v>
      </c>
      <c r="C338" s="6">
        <f t="shared" si="45"/>
        <v>636.00000031292439</v>
      </c>
      <c r="D338" t="str">
        <f t="shared" si="46"/>
        <v/>
      </c>
      <c r="E338">
        <f t="shared" si="39"/>
        <v>39235.587222222224</v>
      </c>
      <c r="F338" s="4">
        <f t="shared" si="47"/>
        <v>0.89999999999999858</v>
      </c>
      <c r="G338" s="4">
        <f t="shared" si="48"/>
        <v>0.44999999999999929</v>
      </c>
      <c r="H338" s="5">
        <f t="shared" si="49"/>
        <v>0.90000021038576816</v>
      </c>
      <c r="I338" s="14">
        <f t="shared" si="50"/>
        <v>154.80983569465755</v>
      </c>
      <c r="J338" s="19">
        <f t="shared" si="51"/>
        <v>981898.35489751177</v>
      </c>
      <c r="K338" s="16">
        <f t="shared" si="52"/>
        <v>0.9897270962286806</v>
      </c>
    </row>
    <row r="339" spans="1:11" x14ac:dyDescent="0.15">
      <c r="A339" s="7">
        <v>39235.587245370371</v>
      </c>
      <c r="B339">
        <v>38.9</v>
      </c>
      <c r="C339" s="6">
        <f t="shared" si="45"/>
        <v>638.00000015180558</v>
      </c>
      <c r="D339" t="str">
        <f t="shared" si="46"/>
        <v/>
      </c>
      <c r="E339">
        <f t="shared" si="39"/>
        <v>39235.587245370371</v>
      </c>
      <c r="F339" s="4">
        <f t="shared" si="47"/>
        <v>0.89999999999999858</v>
      </c>
      <c r="G339" s="4">
        <f t="shared" si="48"/>
        <v>0.44999999999999929</v>
      </c>
      <c r="H339" s="5">
        <f t="shared" si="49"/>
        <v>0.89999992749653612</v>
      </c>
      <c r="I339" s="14">
        <f t="shared" si="50"/>
        <v>154.80978703462944</v>
      </c>
      <c r="J339" s="19">
        <f t="shared" si="51"/>
        <v>982053.16468454641</v>
      </c>
      <c r="K339" s="16">
        <f t="shared" si="52"/>
        <v>0.9898831403245133</v>
      </c>
    </row>
    <row r="340" spans="1:11" x14ac:dyDescent="0.15">
      <c r="A340" s="7">
        <v>39235.587268518517</v>
      </c>
      <c r="B340">
        <v>38.9</v>
      </c>
      <c r="C340" s="6">
        <f t="shared" si="45"/>
        <v>639.99999999068677</v>
      </c>
      <c r="D340" t="str">
        <f t="shared" si="46"/>
        <v/>
      </c>
      <c r="E340">
        <f t="shared" si="39"/>
        <v>39235.587268518517</v>
      </c>
      <c r="F340" s="4">
        <f t="shared" si="47"/>
        <v>0.89999999999999858</v>
      </c>
      <c r="G340" s="4">
        <f t="shared" si="48"/>
        <v>0.44999999999999929</v>
      </c>
      <c r="H340" s="5">
        <f t="shared" si="49"/>
        <v>0.89999992749653612</v>
      </c>
      <c r="I340" s="14">
        <f t="shared" si="50"/>
        <v>154.80978703462944</v>
      </c>
      <c r="J340" s="19">
        <f t="shared" si="51"/>
        <v>982207.97447158105</v>
      </c>
      <c r="K340" s="16">
        <f t="shared" si="52"/>
        <v>0.990039184420346</v>
      </c>
    </row>
    <row r="341" spans="1:11" x14ac:dyDescent="0.15">
      <c r="A341" s="7">
        <v>39235.587291666663</v>
      </c>
      <c r="B341">
        <v>38.9</v>
      </c>
      <c r="C341" s="6">
        <f t="shared" si="45"/>
        <v>641.99999982956797</v>
      </c>
      <c r="D341" t="str">
        <f t="shared" si="46"/>
        <v/>
      </c>
      <c r="E341">
        <f t="shared" ref="E341:E404" si="53">IF(B341-$B$6&gt;0,A341," ")</f>
        <v>39235.587291666663</v>
      </c>
      <c r="F341" s="4">
        <f t="shared" si="47"/>
        <v>0.89999999999999858</v>
      </c>
      <c r="G341" s="4">
        <f t="shared" si="48"/>
        <v>0.44999999999999929</v>
      </c>
      <c r="H341" s="5">
        <f t="shared" si="49"/>
        <v>0.89999992749653612</v>
      </c>
      <c r="I341" s="14">
        <f t="shared" si="50"/>
        <v>154.80978703462944</v>
      </c>
      <c r="J341" s="19">
        <f t="shared" si="51"/>
        <v>982362.78425861569</v>
      </c>
      <c r="K341" s="16">
        <f t="shared" si="52"/>
        <v>0.99019522851617869</v>
      </c>
    </row>
    <row r="342" spans="1:11" x14ac:dyDescent="0.15">
      <c r="A342" s="7">
        <v>39235.587314814817</v>
      </c>
      <c r="B342">
        <v>38.9</v>
      </c>
      <c r="C342" s="6">
        <f t="shared" si="45"/>
        <v>644.0000002970919</v>
      </c>
      <c r="D342" t="str">
        <f t="shared" si="46"/>
        <v/>
      </c>
      <c r="E342">
        <f t="shared" si="53"/>
        <v>39235.587314814817</v>
      </c>
      <c r="F342" s="4">
        <f t="shared" si="47"/>
        <v>0.89999999999999858</v>
      </c>
      <c r="G342" s="4">
        <f t="shared" si="48"/>
        <v>0.44999999999999929</v>
      </c>
      <c r="H342" s="5">
        <f t="shared" si="49"/>
        <v>0.90000021038576816</v>
      </c>
      <c r="I342" s="14">
        <f t="shared" si="50"/>
        <v>154.80983569465755</v>
      </c>
      <c r="J342" s="19">
        <f t="shared" si="51"/>
        <v>982517.59409431031</v>
      </c>
      <c r="K342" s="16">
        <f t="shared" si="52"/>
        <v>0.99035127266105927</v>
      </c>
    </row>
    <row r="343" spans="1:11" x14ac:dyDescent="0.15">
      <c r="A343" s="7">
        <v>39235.587337962963</v>
      </c>
      <c r="B343">
        <v>38.9</v>
      </c>
      <c r="C343" s="6">
        <f t="shared" si="45"/>
        <v>646.0000001359731</v>
      </c>
      <c r="D343" t="str">
        <f t="shared" si="46"/>
        <v/>
      </c>
      <c r="E343">
        <f t="shared" si="53"/>
        <v>39235.587337962963</v>
      </c>
      <c r="F343" s="4">
        <f t="shared" si="47"/>
        <v>0.89999999999999858</v>
      </c>
      <c r="G343" s="4">
        <f t="shared" si="48"/>
        <v>0.44999999999999929</v>
      </c>
      <c r="H343" s="5">
        <f t="shared" si="49"/>
        <v>0.89999992749653612</v>
      </c>
      <c r="I343" s="14">
        <f t="shared" si="50"/>
        <v>154.80978703462944</v>
      </c>
      <c r="J343" s="19">
        <f t="shared" si="51"/>
        <v>982672.40388134494</v>
      </c>
      <c r="K343" s="16">
        <f t="shared" si="52"/>
        <v>0.99050731675689196</v>
      </c>
    </row>
    <row r="344" spans="1:11" x14ac:dyDescent="0.15">
      <c r="A344" s="7">
        <v>39235.587361111109</v>
      </c>
      <c r="B344">
        <v>38.9</v>
      </c>
      <c r="C344" s="6">
        <f t="shared" si="45"/>
        <v>647.99999997485429</v>
      </c>
      <c r="D344" t="str">
        <f t="shared" si="46"/>
        <v/>
      </c>
      <c r="E344">
        <f t="shared" si="53"/>
        <v>39235.587361111109</v>
      </c>
      <c r="F344" s="4">
        <f t="shared" si="47"/>
        <v>0.89999999999999858</v>
      </c>
      <c r="G344" s="4">
        <f t="shared" si="48"/>
        <v>0.44999999999999929</v>
      </c>
      <c r="H344" s="5">
        <f t="shared" si="49"/>
        <v>0.89999992749653612</v>
      </c>
      <c r="I344" s="14">
        <f t="shared" si="50"/>
        <v>154.80978703462944</v>
      </c>
      <c r="J344" s="19">
        <f t="shared" si="51"/>
        <v>982827.21366837958</v>
      </c>
      <c r="K344" s="16">
        <f t="shared" si="52"/>
        <v>0.99066336085272466</v>
      </c>
    </row>
    <row r="345" spans="1:11" x14ac:dyDescent="0.15">
      <c r="A345" s="7">
        <v>39235.587384259263</v>
      </c>
      <c r="B345">
        <v>38.9</v>
      </c>
      <c r="C345" s="6">
        <f t="shared" si="45"/>
        <v>650.00000044237822</v>
      </c>
      <c r="D345" t="str">
        <f t="shared" si="46"/>
        <v/>
      </c>
      <c r="E345">
        <f t="shared" si="53"/>
        <v>39235.587384259263</v>
      </c>
      <c r="F345" s="4">
        <f t="shared" si="47"/>
        <v>0.89999999999999858</v>
      </c>
      <c r="G345" s="4">
        <f t="shared" si="48"/>
        <v>0.44999999999999929</v>
      </c>
      <c r="H345" s="5">
        <f t="shared" si="49"/>
        <v>0.90000021038576816</v>
      </c>
      <c r="I345" s="14">
        <f t="shared" si="50"/>
        <v>154.80983569465755</v>
      </c>
      <c r="J345" s="19">
        <f t="shared" si="51"/>
        <v>982982.0235040742</v>
      </c>
      <c r="K345" s="16">
        <f t="shared" si="52"/>
        <v>0.99081940499760524</v>
      </c>
    </row>
    <row r="346" spans="1:11" x14ac:dyDescent="0.15">
      <c r="A346" s="7">
        <v>39235.587407407409</v>
      </c>
      <c r="B346">
        <v>38.9</v>
      </c>
      <c r="C346" s="6">
        <f t="shared" si="45"/>
        <v>652.00000028125942</v>
      </c>
      <c r="D346" t="str">
        <f t="shared" si="46"/>
        <v/>
      </c>
      <c r="E346">
        <f t="shared" si="53"/>
        <v>39235.587407407409</v>
      </c>
      <c r="F346" s="4">
        <f t="shared" si="47"/>
        <v>0.89999999999999858</v>
      </c>
      <c r="G346" s="4">
        <f t="shared" si="48"/>
        <v>0.44999999999999929</v>
      </c>
      <c r="H346" s="5">
        <f t="shared" si="49"/>
        <v>0.89999992749653612</v>
      </c>
      <c r="I346" s="14">
        <f t="shared" si="50"/>
        <v>154.80978703462944</v>
      </c>
      <c r="J346" s="19">
        <f t="shared" si="51"/>
        <v>983136.83329110884</v>
      </c>
      <c r="K346" s="16">
        <f t="shared" si="52"/>
        <v>0.99097544909343793</v>
      </c>
    </row>
    <row r="347" spans="1:11" x14ac:dyDescent="0.15">
      <c r="A347" s="7">
        <v>39235.587430555555</v>
      </c>
      <c r="B347">
        <v>38.9</v>
      </c>
      <c r="C347" s="6">
        <f t="shared" si="45"/>
        <v>654.00000012014061</v>
      </c>
      <c r="D347" t="str">
        <f t="shared" si="46"/>
        <v/>
      </c>
      <c r="E347">
        <f t="shared" si="53"/>
        <v>39235.587430555555</v>
      </c>
      <c r="F347" s="4">
        <f t="shared" si="47"/>
        <v>0.89999999999999858</v>
      </c>
      <c r="G347" s="4">
        <f t="shared" si="48"/>
        <v>0.44999999999999929</v>
      </c>
      <c r="H347" s="5">
        <f t="shared" si="49"/>
        <v>0.89999992749653612</v>
      </c>
      <c r="I347" s="14">
        <f t="shared" si="50"/>
        <v>154.80978703462944</v>
      </c>
      <c r="J347" s="19">
        <f t="shared" si="51"/>
        <v>983291.64307814348</v>
      </c>
      <c r="K347" s="16">
        <f t="shared" si="52"/>
        <v>0.99113149318927063</v>
      </c>
    </row>
    <row r="348" spans="1:11" x14ac:dyDescent="0.15">
      <c r="A348" s="7">
        <v>39235.587453703702</v>
      </c>
      <c r="B348">
        <v>38.9</v>
      </c>
      <c r="C348" s="6">
        <f t="shared" si="45"/>
        <v>655.99999995902181</v>
      </c>
      <c r="D348" t="str">
        <f t="shared" si="46"/>
        <v/>
      </c>
      <c r="E348">
        <f t="shared" si="53"/>
        <v>39235.587453703702</v>
      </c>
      <c r="F348" s="4">
        <f t="shared" si="47"/>
        <v>0.89999999999999858</v>
      </c>
      <c r="G348" s="4">
        <f t="shared" si="48"/>
        <v>0.44999999999999929</v>
      </c>
      <c r="H348" s="5">
        <f t="shared" si="49"/>
        <v>0.89999992749653612</v>
      </c>
      <c r="I348" s="14">
        <f t="shared" si="50"/>
        <v>154.80978703462944</v>
      </c>
      <c r="J348" s="19">
        <f t="shared" si="51"/>
        <v>983446.45286517811</v>
      </c>
      <c r="K348" s="16">
        <f t="shared" si="52"/>
        <v>0.99128753728510333</v>
      </c>
    </row>
    <row r="349" spans="1:11" x14ac:dyDescent="0.15">
      <c r="A349" s="7">
        <v>39235.587476851855</v>
      </c>
      <c r="B349">
        <v>38.9</v>
      </c>
      <c r="C349" s="6">
        <f t="shared" si="45"/>
        <v>658.00000042654574</v>
      </c>
      <c r="D349" t="str">
        <f t="shared" si="46"/>
        <v/>
      </c>
      <c r="E349">
        <f t="shared" si="53"/>
        <v>39235.587476851855</v>
      </c>
      <c r="F349" s="4">
        <f t="shared" si="47"/>
        <v>0.89999999999999858</v>
      </c>
      <c r="G349" s="4">
        <f t="shared" si="48"/>
        <v>0.44999999999999929</v>
      </c>
      <c r="H349" s="5">
        <f t="shared" si="49"/>
        <v>0.90000021038576816</v>
      </c>
      <c r="I349" s="14">
        <f t="shared" si="50"/>
        <v>154.80983569465755</v>
      </c>
      <c r="J349" s="19">
        <f t="shared" si="51"/>
        <v>983601.26270087273</v>
      </c>
      <c r="K349" s="16">
        <f t="shared" si="52"/>
        <v>0.9914435814299839</v>
      </c>
    </row>
    <row r="350" spans="1:11" x14ac:dyDescent="0.15">
      <c r="A350" s="7">
        <v>39235.587500000001</v>
      </c>
      <c r="B350">
        <v>38.9</v>
      </c>
      <c r="C350" s="6">
        <f t="shared" si="45"/>
        <v>660.00000026542693</v>
      </c>
      <c r="D350" t="str">
        <f t="shared" si="46"/>
        <v/>
      </c>
      <c r="E350">
        <f t="shared" si="53"/>
        <v>39235.587500000001</v>
      </c>
      <c r="F350" s="4">
        <f t="shared" si="47"/>
        <v>0.89999999999999858</v>
      </c>
      <c r="G350" s="4">
        <f t="shared" si="48"/>
        <v>0.44999999999999929</v>
      </c>
      <c r="H350" s="5">
        <f t="shared" si="49"/>
        <v>0.89999992749653612</v>
      </c>
      <c r="I350" s="14">
        <f t="shared" si="50"/>
        <v>154.80978703462944</v>
      </c>
      <c r="J350" s="19">
        <f t="shared" si="51"/>
        <v>983756.07248790737</v>
      </c>
      <c r="K350" s="16">
        <f t="shared" si="52"/>
        <v>0.9915996255258166</v>
      </c>
    </row>
    <row r="351" spans="1:11" x14ac:dyDescent="0.15">
      <c r="A351" s="7">
        <v>39235.587523148148</v>
      </c>
      <c r="B351">
        <v>38.9</v>
      </c>
      <c r="C351" s="6">
        <f t="shared" si="45"/>
        <v>662.00000010430813</v>
      </c>
      <c r="D351" t="str">
        <f t="shared" si="46"/>
        <v/>
      </c>
      <c r="E351">
        <f t="shared" si="53"/>
        <v>39235.587523148148</v>
      </c>
      <c r="F351" s="4">
        <f t="shared" si="47"/>
        <v>0.89999999999999858</v>
      </c>
      <c r="G351" s="4">
        <f t="shared" si="48"/>
        <v>0.44999999999999929</v>
      </c>
      <c r="H351" s="5">
        <f t="shared" si="49"/>
        <v>0.89999992749653612</v>
      </c>
      <c r="I351" s="14">
        <f t="shared" si="50"/>
        <v>154.80978703462944</v>
      </c>
      <c r="J351" s="19">
        <f t="shared" si="51"/>
        <v>983910.88227494201</v>
      </c>
      <c r="K351" s="16">
        <f t="shared" si="52"/>
        <v>0.99175566962164929</v>
      </c>
    </row>
    <row r="352" spans="1:11" x14ac:dyDescent="0.15">
      <c r="A352" s="7">
        <v>39235.587546296294</v>
      </c>
      <c r="B352">
        <v>38.9</v>
      </c>
      <c r="C352" s="6">
        <f t="shared" si="45"/>
        <v>663.99999994318932</v>
      </c>
      <c r="D352" t="str">
        <f t="shared" si="46"/>
        <v/>
      </c>
      <c r="E352">
        <f t="shared" si="53"/>
        <v>39235.587546296294</v>
      </c>
      <c r="F352" s="4">
        <f t="shared" si="47"/>
        <v>0.89999999999999858</v>
      </c>
      <c r="G352" s="4">
        <f t="shared" si="48"/>
        <v>0.44999999999999929</v>
      </c>
      <c r="H352" s="5">
        <f t="shared" si="49"/>
        <v>0.89999992749653612</v>
      </c>
      <c r="I352" s="14">
        <f t="shared" si="50"/>
        <v>154.80978703462944</v>
      </c>
      <c r="J352" s="19">
        <f t="shared" si="51"/>
        <v>984065.69206197665</v>
      </c>
      <c r="K352" s="16">
        <f t="shared" si="52"/>
        <v>0.99191171371748188</v>
      </c>
    </row>
    <row r="353" spans="1:11" x14ac:dyDescent="0.15">
      <c r="A353" s="7">
        <v>39235.587569444448</v>
      </c>
      <c r="B353">
        <v>38.799999999999997</v>
      </c>
      <c r="C353" s="6">
        <f t="shared" si="45"/>
        <v>666.00000041071326</v>
      </c>
      <c r="D353" t="str">
        <f t="shared" si="46"/>
        <v/>
      </c>
      <c r="E353">
        <f t="shared" si="53"/>
        <v>39235.587569444448</v>
      </c>
      <c r="F353" s="4">
        <f t="shared" si="47"/>
        <v>0.79999999999999716</v>
      </c>
      <c r="G353" s="4">
        <f t="shared" si="48"/>
        <v>0.39999999999999858</v>
      </c>
      <c r="H353" s="5">
        <f t="shared" si="49"/>
        <v>0.85000019869766918</v>
      </c>
      <c r="I353" s="14">
        <f t="shared" si="50"/>
        <v>146.20928926717644</v>
      </c>
      <c r="J353" s="19">
        <f t="shared" si="51"/>
        <v>984211.90135124384</v>
      </c>
      <c r="K353" s="16">
        <f t="shared" si="52"/>
        <v>0.99205908874320259</v>
      </c>
    </row>
    <row r="354" spans="1:11" x14ac:dyDescent="0.15">
      <c r="A354" s="7">
        <v>39235.587592592594</v>
      </c>
      <c r="B354">
        <v>38.9</v>
      </c>
      <c r="C354" s="6">
        <f t="shared" si="45"/>
        <v>668.00000024959445</v>
      </c>
      <c r="D354" t="str">
        <f t="shared" si="46"/>
        <v/>
      </c>
      <c r="E354">
        <f t="shared" si="53"/>
        <v>39235.587592592594</v>
      </c>
      <c r="F354" s="4">
        <f t="shared" si="47"/>
        <v>0.89999999999999858</v>
      </c>
      <c r="G354" s="4">
        <f t="shared" si="48"/>
        <v>0.44999999999999929</v>
      </c>
      <c r="H354" s="5">
        <f t="shared" si="49"/>
        <v>0.84999993152450559</v>
      </c>
      <c r="I354" s="14">
        <f t="shared" si="50"/>
        <v>146.20924331048323</v>
      </c>
      <c r="J354" s="19">
        <f t="shared" si="51"/>
        <v>984358.11059455434</v>
      </c>
      <c r="K354" s="16">
        <f t="shared" si="52"/>
        <v>0.99220646372260013</v>
      </c>
    </row>
    <row r="355" spans="1:11" x14ac:dyDescent="0.15">
      <c r="A355" s="7">
        <v>39235.58761574074</v>
      </c>
      <c r="B355">
        <v>38.9</v>
      </c>
      <c r="C355" s="6">
        <f t="shared" si="45"/>
        <v>670.00000008847564</v>
      </c>
      <c r="D355" t="str">
        <f t="shared" si="46"/>
        <v/>
      </c>
      <c r="E355">
        <f t="shared" si="53"/>
        <v>39235.58761574074</v>
      </c>
      <c r="F355" s="4">
        <f t="shared" si="47"/>
        <v>0.89999999999999858</v>
      </c>
      <c r="G355" s="4">
        <f t="shared" si="48"/>
        <v>0.44999999999999929</v>
      </c>
      <c r="H355" s="5">
        <f t="shared" si="49"/>
        <v>0.89999992749653612</v>
      </c>
      <c r="I355" s="14">
        <f t="shared" si="50"/>
        <v>154.80978703462944</v>
      </c>
      <c r="J355" s="19">
        <f t="shared" si="51"/>
        <v>984512.92038158898</v>
      </c>
      <c r="K355" s="16">
        <f t="shared" si="52"/>
        <v>0.99236250781843283</v>
      </c>
    </row>
    <row r="356" spans="1:11" x14ac:dyDescent="0.15">
      <c r="A356" s="7">
        <v>39235.587638888886</v>
      </c>
      <c r="B356">
        <v>38.9</v>
      </c>
      <c r="C356" s="6">
        <f t="shared" si="45"/>
        <v>671.99999992735684</v>
      </c>
      <c r="D356" t="str">
        <f t="shared" si="46"/>
        <v/>
      </c>
      <c r="E356">
        <f t="shared" si="53"/>
        <v>39235.587638888886</v>
      </c>
      <c r="F356" s="4">
        <f t="shared" si="47"/>
        <v>0.89999999999999858</v>
      </c>
      <c r="G356" s="4">
        <f t="shared" si="48"/>
        <v>0.44999999999999929</v>
      </c>
      <c r="H356" s="5">
        <f t="shared" si="49"/>
        <v>0.89999992749653612</v>
      </c>
      <c r="I356" s="14">
        <f t="shared" si="50"/>
        <v>154.80978703462944</v>
      </c>
      <c r="J356" s="19">
        <f t="shared" si="51"/>
        <v>984667.73016862362</v>
      </c>
      <c r="K356" s="16">
        <f t="shared" si="52"/>
        <v>0.99251855191426541</v>
      </c>
    </row>
    <row r="357" spans="1:11" x14ac:dyDescent="0.15">
      <c r="A357" s="7">
        <v>39235.58766203704</v>
      </c>
      <c r="B357">
        <v>38.799999999999997</v>
      </c>
      <c r="C357" s="6">
        <f t="shared" si="45"/>
        <v>674.00000039488077</v>
      </c>
      <c r="D357" t="str">
        <f t="shared" si="46"/>
        <v/>
      </c>
      <c r="E357">
        <f t="shared" si="53"/>
        <v>39235.58766203704</v>
      </c>
      <c r="F357" s="4">
        <f t="shared" si="47"/>
        <v>0.79999999999999716</v>
      </c>
      <c r="G357" s="4">
        <f t="shared" si="48"/>
        <v>0.39999999999999858</v>
      </c>
      <c r="H357" s="5">
        <f t="shared" si="49"/>
        <v>0.85000019869766918</v>
      </c>
      <c r="I357" s="14">
        <f t="shared" si="50"/>
        <v>146.20928926717644</v>
      </c>
      <c r="J357" s="19">
        <f t="shared" si="51"/>
        <v>984813.93945789081</v>
      </c>
      <c r="K357" s="16">
        <f t="shared" si="52"/>
        <v>0.99266592693998612</v>
      </c>
    </row>
    <row r="358" spans="1:11" x14ac:dyDescent="0.15">
      <c r="A358" s="7">
        <v>39235.587685185186</v>
      </c>
      <c r="B358">
        <v>38.799999999999997</v>
      </c>
      <c r="C358" s="6">
        <f t="shared" si="45"/>
        <v>676.00000023376197</v>
      </c>
      <c r="D358" t="str">
        <f t="shared" si="46"/>
        <v/>
      </c>
      <c r="E358">
        <f t="shared" si="53"/>
        <v>39235.587685185186</v>
      </c>
      <c r="F358" s="4">
        <f t="shared" si="47"/>
        <v>0.79999999999999716</v>
      </c>
      <c r="G358" s="4">
        <f t="shared" si="48"/>
        <v>0.39999999999999858</v>
      </c>
      <c r="H358" s="5">
        <f t="shared" si="49"/>
        <v>0.79999993555247495</v>
      </c>
      <c r="I358" s="14">
        <f t="shared" si="50"/>
        <v>137.608699586337</v>
      </c>
      <c r="J358" s="19">
        <f t="shared" si="51"/>
        <v>984951.54815747717</v>
      </c>
      <c r="K358" s="16">
        <f t="shared" si="52"/>
        <v>0.99280463280294851</v>
      </c>
    </row>
    <row r="359" spans="1:11" x14ac:dyDescent="0.15">
      <c r="A359" s="7">
        <v>39235.587708333333</v>
      </c>
      <c r="B359">
        <v>38.9</v>
      </c>
      <c r="C359" s="6">
        <f t="shared" si="45"/>
        <v>678.00000007264316</v>
      </c>
      <c r="D359" t="str">
        <f t="shared" si="46"/>
        <v/>
      </c>
      <c r="E359">
        <f t="shared" si="53"/>
        <v>39235.587708333333</v>
      </c>
      <c r="F359" s="4">
        <f t="shared" si="47"/>
        <v>0.89999999999999858</v>
      </c>
      <c r="G359" s="4">
        <f t="shared" si="48"/>
        <v>0.44999999999999929</v>
      </c>
      <c r="H359" s="5">
        <f t="shared" si="49"/>
        <v>0.84999993152450559</v>
      </c>
      <c r="I359" s="14">
        <f t="shared" si="50"/>
        <v>146.20924331048323</v>
      </c>
      <c r="J359" s="19">
        <f t="shared" si="51"/>
        <v>985097.75740078767</v>
      </c>
      <c r="K359" s="16">
        <f t="shared" si="52"/>
        <v>0.99295200778234605</v>
      </c>
    </row>
    <row r="360" spans="1:11" x14ac:dyDescent="0.15">
      <c r="A360" s="7">
        <v>39235.587731481479</v>
      </c>
      <c r="B360">
        <v>38.9</v>
      </c>
      <c r="C360" s="6">
        <f t="shared" ref="C360:C409" si="54">(A360-$B$4)*24*60*60</f>
        <v>679.99999991152436</v>
      </c>
      <c r="D360" t="str">
        <f t="shared" ref="D360:D409" si="55">IF(F360=$B$8,A360,"")</f>
        <v/>
      </c>
      <c r="E360">
        <f t="shared" si="53"/>
        <v>39235.587731481479</v>
      </c>
      <c r="F360" s="4">
        <f t="shared" ref="F360:F409" si="56">IF((B360-$B$6)&gt;0,B360-$B$6,0)</f>
        <v>0.89999999999999858</v>
      </c>
      <c r="G360" s="4">
        <f t="shared" ref="G360:G409" si="57">F360/2</f>
        <v>0.44999999999999929</v>
      </c>
      <c r="H360" s="5">
        <f t="shared" ref="H360:H409" si="58">AVERAGE(G359:G360)*(C360-C359)</f>
        <v>0.89999992749653612</v>
      </c>
      <c r="I360" s="14">
        <f t="shared" ref="I360:I409" si="59">H360*$B$14</f>
        <v>154.80978703462944</v>
      </c>
      <c r="J360" s="19">
        <f t="shared" ref="J360:J409" si="60">J359+I360</f>
        <v>985252.56718782231</v>
      </c>
      <c r="K360" s="16">
        <f t="shared" ref="K360:K409" si="61">J360/($B$12*1000)</f>
        <v>0.99310805187817874</v>
      </c>
    </row>
    <row r="361" spans="1:11" x14ac:dyDescent="0.15">
      <c r="A361" s="7">
        <v>39235.587754629632</v>
      </c>
      <c r="B361">
        <v>38.799999999999997</v>
      </c>
      <c r="C361" s="6">
        <f t="shared" si="54"/>
        <v>682.00000037904829</v>
      </c>
      <c r="D361" t="str">
        <f t="shared" si="55"/>
        <v/>
      </c>
      <c r="E361">
        <f t="shared" si="53"/>
        <v>39235.587754629632</v>
      </c>
      <c r="F361" s="4">
        <f t="shared" si="56"/>
        <v>0.79999999999999716</v>
      </c>
      <c r="G361" s="4">
        <f t="shared" si="57"/>
        <v>0.39999999999999858</v>
      </c>
      <c r="H361" s="5">
        <f t="shared" si="58"/>
        <v>0.85000019869766918</v>
      </c>
      <c r="I361" s="14">
        <f t="shared" si="59"/>
        <v>146.20928926717644</v>
      </c>
      <c r="J361" s="19">
        <f t="shared" si="60"/>
        <v>985398.7764770895</v>
      </c>
      <c r="K361" s="16">
        <f t="shared" si="61"/>
        <v>0.99325542690389934</v>
      </c>
    </row>
    <row r="362" spans="1:11" x14ac:dyDescent="0.15">
      <c r="A362" s="7">
        <v>39235.587777777779</v>
      </c>
      <c r="B362">
        <v>38.9</v>
      </c>
      <c r="C362" s="6">
        <f t="shared" si="54"/>
        <v>684.00000021792948</v>
      </c>
      <c r="D362" t="str">
        <f t="shared" si="55"/>
        <v/>
      </c>
      <c r="E362">
        <f t="shared" si="53"/>
        <v>39235.587777777779</v>
      </c>
      <c r="F362" s="4">
        <f t="shared" si="56"/>
        <v>0.89999999999999858</v>
      </c>
      <c r="G362" s="4">
        <f t="shared" si="57"/>
        <v>0.44999999999999929</v>
      </c>
      <c r="H362" s="5">
        <f t="shared" si="58"/>
        <v>0.84999993152450559</v>
      </c>
      <c r="I362" s="14">
        <f t="shared" si="59"/>
        <v>146.20924331048323</v>
      </c>
      <c r="J362" s="19">
        <f t="shared" si="60"/>
        <v>985544.9857204</v>
      </c>
      <c r="K362" s="16">
        <f t="shared" si="61"/>
        <v>0.99340280188329688</v>
      </c>
    </row>
    <row r="363" spans="1:11" x14ac:dyDescent="0.15">
      <c r="A363" s="7">
        <v>39235.587800925925</v>
      </c>
      <c r="B363">
        <v>38.9</v>
      </c>
      <c r="C363" s="6">
        <f t="shared" si="54"/>
        <v>686.00000005681068</v>
      </c>
      <c r="D363" t="str">
        <f t="shared" si="55"/>
        <v/>
      </c>
      <c r="E363">
        <f t="shared" si="53"/>
        <v>39235.587800925925</v>
      </c>
      <c r="F363" s="4">
        <f t="shared" si="56"/>
        <v>0.89999999999999858</v>
      </c>
      <c r="G363" s="4">
        <f t="shared" si="57"/>
        <v>0.44999999999999929</v>
      </c>
      <c r="H363" s="5">
        <f t="shared" si="58"/>
        <v>0.89999992749653612</v>
      </c>
      <c r="I363" s="14">
        <f t="shared" si="59"/>
        <v>154.80978703462944</v>
      </c>
      <c r="J363" s="19">
        <f t="shared" si="60"/>
        <v>985699.79550743464</v>
      </c>
      <c r="K363" s="16">
        <f t="shared" si="61"/>
        <v>0.99355884597912958</v>
      </c>
    </row>
    <row r="364" spans="1:11" x14ac:dyDescent="0.15">
      <c r="A364" s="7">
        <v>39235.587824074071</v>
      </c>
      <c r="B364">
        <v>38.9</v>
      </c>
      <c r="C364" s="6">
        <f t="shared" si="54"/>
        <v>687.99999989569187</v>
      </c>
      <c r="D364" t="str">
        <f t="shared" si="55"/>
        <v/>
      </c>
      <c r="E364">
        <f t="shared" si="53"/>
        <v>39235.587824074071</v>
      </c>
      <c r="F364" s="4">
        <f t="shared" si="56"/>
        <v>0.89999999999999858</v>
      </c>
      <c r="G364" s="4">
        <f t="shared" si="57"/>
        <v>0.44999999999999929</v>
      </c>
      <c r="H364" s="5">
        <f t="shared" si="58"/>
        <v>0.89999992749653612</v>
      </c>
      <c r="I364" s="14">
        <f t="shared" si="59"/>
        <v>154.80978703462944</v>
      </c>
      <c r="J364" s="19">
        <f t="shared" si="60"/>
        <v>985854.60529446928</v>
      </c>
      <c r="K364" s="16">
        <f t="shared" si="61"/>
        <v>0.99371489007496228</v>
      </c>
    </row>
    <row r="365" spans="1:11" x14ac:dyDescent="0.15">
      <c r="A365" s="7">
        <v>39235.587847222225</v>
      </c>
      <c r="B365">
        <v>38.799999999999997</v>
      </c>
      <c r="C365" s="6">
        <f t="shared" si="54"/>
        <v>690.0000003632158</v>
      </c>
      <c r="D365" t="str">
        <f t="shared" si="55"/>
        <v/>
      </c>
      <c r="E365">
        <f t="shared" si="53"/>
        <v>39235.587847222225</v>
      </c>
      <c r="F365" s="4">
        <f t="shared" si="56"/>
        <v>0.79999999999999716</v>
      </c>
      <c r="G365" s="4">
        <f t="shared" si="57"/>
        <v>0.39999999999999858</v>
      </c>
      <c r="H365" s="5">
        <f t="shared" si="58"/>
        <v>0.85000019869766918</v>
      </c>
      <c r="I365" s="14">
        <f t="shared" si="59"/>
        <v>146.20928926717644</v>
      </c>
      <c r="J365" s="19">
        <f t="shared" si="60"/>
        <v>986000.81458373647</v>
      </c>
      <c r="K365" s="16">
        <f t="shared" si="61"/>
        <v>0.99386226510068287</v>
      </c>
    </row>
    <row r="366" spans="1:11" x14ac:dyDescent="0.15">
      <c r="A366" s="7">
        <v>39235.587870370371</v>
      </c>
      <c r="B366">
        <v>38.9</v>
      </c>
      <c r="C366" s="6">
        <f t="shared" si="54"/>
        <v>692.000000202097</v>
      </c>
      <c r="D366" t="str">
        <f t="shared" si="55"/>
        <v/>
      </c>
      <c r="E366">
        <f t="shared" si="53"/>
        <v>39235.587870370371</v>
      </c>
      <c r="F366" s="4">
        <f t="shared" si="56"/>
        <v>0.89999999999999858</v>
      </c>
      <c r="G366" s="4">
        <f t="shared" si="57"/>
        <v>0.44999999999999929</v>
      </c>
      <c r="H366" s="5">
        <f t="shared" si="58"/>
        <v>0.84999993152450559</v>
      </c>
      <c r="I366" s="14">
        <f t="shared" si="59"/>
        <v>146.20924331048323</v>
      </c>
      <c r="J366" s="19">
        <f t="shared" si="60"/>
        <v>986147.02382704697</v>
      </c>
      <c r="K366" s="16">
        <f t="shared" si="61"/>
        <v>0.99400964008008041</v>
      </c>
    </row>
    <row r="367" spans="1:11" x14ac:dyDescent="0.15">
      <c r="A367" s="7">
        <v>39235.587893518517</v>
      </c>
      <c r="B367">
        <v>38.9</v>
      </c>
      <c r="C367" s="6">
        <f t="shared" si="54"/>
        <v>694.00000004097819</v>
      </c>
      <c r="D367" t="str">
        <f t="shared" si="55"/>
        <v/>
      </c>
      <c r="E367">
        <f t="shared" si="53"/>
        <v>39235.587893518517</v>
      </c>
      <c r="F367" s="4">
        <f t="shared" si="56"/>
        <v>0.89999999999999858</v>
      </c>
      <c r="G367" s="4">
        <f t="shared" si="57"/>
        <v>0.44999999999999929</v>
      </c>
      <c r="H367" s="5">
        <f t="shared" si="58"/>
        <v>0.89999992749653612</v>
      </c>
      <c r="I367" s="14">
        <f t="shared" si="59"/>
        <v>154.80978703462944</v>
      </c>
      <c r="J367" s="19">
        <f t="shared" si="60"/>
        <v>986301.83361408161</v>
      </c>
      <c r="K367" s="16">
        <f t="shared" si="61"/>
        <v>0.99416568417591311</v>
      </c>
    </row>
    <row r="368" spans="1:11" x14ac:dyDescent="0.15">
      <c r="A368" s="7">
        <v>39235.587916666664</v>
      </c>
      <c r="B368">
        <v>38.799999999999997</v>
      </c>
      <c r="C368" s="6">
        <f t="shared" si="54"/>
        <v>695.99999987985939</v>
      </c>
      <c r="D368" t="str">
        <f t="shared" si="55"/>
        <v/>
      </c>
      <c r="E368">
        <f t="shared" si="53"/>
        <v>39235.587916666664</v>
      </c>
      <c r="F368" s="4">
        <f t="shared" si="56"/>
        <v>0.79999999999999716</v>
      </c>
      <c r="G368" s="4">
        <f t="shared" si="57"/>
        <v>0.39999999999999858</v>
      </c>
      <c r="H368" s="5">
        <f t="shared" si="58"/>
        <v>0.84999993152450559</v>
      </c>
      <c r="I368" s="14">
        <f t="shared" si="59"/>
        <v>146.20924331048323</v>
      </c>
      <c r="J368" s="19">
        <f t="shared" si="60"/>
        <v>986448.04285739211</v>
      </c>
      <c r="K368" s="16">
        <f t="shared" si="61"/>
        <v>0.99431305915531065</v>
      </c>
    </row>
    <row r="369" spans="1:11" x14ac:dyDescent="0.15">
      <c r="A369" s="7">
        <v>39235.587939814817</v>
      </c>
      <c r="B369">
        <v>38.9</v>
      </c>
      <c r="C369" s="6">
        <f t="shared" si="54"/>
        <v>698.00000034738332</v>
      </c>
      <c r="D369" t="str">
        <f t="shared" si="55"/>
        <v/>
      </c>
      <c r="E369">
        <f t="shared" si="53"/>
        <v>39235.587939814817</v>
      </c>
      <c r="F369" s="4">
        <f t="shared" si="56"/>
        <v>0.89999999999999858</v>
      </c>
      <c r="G369" s="4">
        <f t="shared" si="57"/>
        <v>0.44999999999999929</v>
      </c>
      <c r="H369" s="5">
        <f t="shared" si="58"/>
        <v>0.85000019869766918</v>
      </c>
      <c r="I369" s="14">
        <f t="shared" si="59"/>
        <v>146.20928926717644</v>
      </c>
      <c r="J369" s="19">
        <f t="shared" si="60"/>
        <v>986594.2521466593</v>
      </c>
      <c r="K369" s="16">
        <f t="shared" si="61"/>
        <v>0.99446043418103125</v>
      </c>
    </row>
    <row r="370" spans="1:11" x14ac:dyDescent="0.15">
      <c r="A370" s="7">
        <v>39235.587962962964</v>
      </c>
      <c r="B370">
        <v>38.9</v>
      </c>
      <c r="C370" s="6">
        <f t="shared" si="54"/>
        <v>700.00000018626451</v>
      </c>
      <c r="D370" t="str">
        <f t="shared" si="55"/>
        <v/>
      </c>
      <c r="E370">
        <f t="shared" si="53"/>
        <v>39235.587962962964</v>
      </c>
      <c r="F370" s="4">
        <f t="shared" si="56"/>
        <v>0.89999999999999858</v>
      </c>
      <c r="G370" s="4">
        <f t="shared" si="57"/>
        <v>0.44999999999999929</v>
      </c>
      <c r="H370" s="5">
        <f t="shared" si="58"/>
        <v>0.89999992749653612</v>
      </c>
      <c r="I370" s="14">
        <f t="shared" si="59"/>
        <v>154.80978703462944</v>
      </c>
      <c r="J370" s="19">
        <f t="shared" si="60"/>
        <v>986749.06193369394</v>
      </c>
      <c r="K370" s="16">
        <f t="shared" si="61"/>
        <v>0.99461647827686395</v>
      </c>
    </row>
    <row r="371" spans="1:11" x14ac:dyDescent="0.15">
      <c r="A371" s="7">
        <v>39235.58798611111</v>
      </c>
      <c r="B371">
        <v>38.9</v>
      </c>
      <c r="C371" s="6">
        <f t="shared" si="54"/>
        <v>702.00000002514571</v>
      </c>
      <c r="D371" t="str">
        <f t="shared" si="55"/>
        <v/>
      </c>
      <c r="E371">
        <f t="shared" si="53"/>
        <v>39235.58798611111</v>
      </c>
      <c r="F371" s="4">
        <f t="shared" si="56"/>
        <v>0.89999999999999858</v>
      </c>
      <c r="G371" s="4">
        <f t="shared" si="57"/>
        <v>0.44999999999999929</v>
      </c>
      <c r="H371" s="5">
        <f t="shared" si="58"/>
        <v>0.89999992749653612</v>
      </c>
      <c r="I371" s="14">
        <f t="shared" si="59"/>
        <v>154.80978703462944</v>
      </c>
      <c r="J371" s="19">
        <f t="shared" si="60"/>
        <v>986903.87172072858</v>
      </c>
      <c r="K371" s="16">
        <f t="shared" si="61"/>
        <v>0.99477252237269664</v>
      </c>
    </row>
    <row r="372" spans="1:11" x14ac:dyDescent="0.15">
      <c r="A372" s="7">
        <v>39235.588009259256</v>
      </c>
      <c r="B372">
        <v>38.9</v>
      </c>
      <c r="C372" s="6">
        <f t="shared" si="54"/>
        <v>703.9999998640269</v>
      </c>
      <c r="D372" t="str">
        <f t="shared" si="55"/>
        <v/>
      </c>
      <c r="E372">
        <f t="shared" si="53"/>
        <v>39235.588009259256</v>
      </c>
      <c r="F372" s="4">
        <f t="shared" si="56"/>
        <v>0.89999999999999858</v>
      </c>
      <c r="G372" s="4">
        <f t="shared" si="57"/>
        <v>0.44999999999999929</v>
      </c>
      <c r="H372" s="5">
        <f t="shared" si="58"/>
        <v>0.89999992749653612</v>
      </c>
      <c r="I372" s="14">
        <f t="shared" si="59"/>
        <v>154.80978703462944</v>
      </c>
      <c r="J372" s="19">
        <f t="shared" si="60"/>
        <v>987058.68150776322</v>
      </c>
      <c r="K372" s="16">
        <f t="shared" si="61"/>
        <v>0.99492856646852934</v>
      </c>
    </row>
    <row r="373" spans="1:11" x14ac:dyDescent="0.15">
      <c r="A373" s="7">
        <v>39235.58803240741</v>
      </c>
      <c r="B373">
        <v>38.6</v>
      </c>
      <c r="C373" s="6">
        <f t="shared" si="54"/>
        <v>706.00000033155084</v>
      </c>
      <c r="D373" t="str">
        <f t="shared" si="55"/>
        <v/>
      </c>
      <c r="E373">
        <f t="shared" si="53"/>
        <v>39235.58803240741</v>
      </c>
      <c r="F373" s="4">
        <f t="shared" si="56"/>
        <v>0.60000000000000142</v>
      </c>
      <c r="G373" s="4">
        <f t="shared" si="57"/>
        <v>0.30000000000000071</v>
      </c>
      <c r="H373" s="5">
        <f t="shared" si="58"/>
        <v>0.75000017532147467</v>
      </c>
      <c r="I373" s="14">
        <f t="shared" si="59"/>
        <v>129.00819641221483</v>
      </c>
      <c r="J373" s="19">
        <f t="shared" si="60"/>
        <v>987187.68970417546</v>
      </c>
      <c r="K373" s="16">
        <f t="shared" si="61"/>
        <v>0.99505860325592987</v>
      </c>
    </row>
    <row r="374" spans="1:11" x14ac:dyDescent="0.15">
      <c r="A374" s="7">
        <v>39235.588055555556</v>
      </c>
      <c r="B374">
        <v>38.799999999999997</v>
      </c>
      <c r="C374" s="6">
        <f t="shared" si="54"/>
        <v>708.00000017043203</v>
      </c>
      <c r="D374" t="str">
        <f t="shared" si="55"/>
        <v/>
      </c>
      <c r="E374">
        <f t="shared" si="53"/>
        <v>39235.588055555556</v>
      </c>
      <c r="F374" s="4">
        <f t="shared" si="56"/>
        <v>0.79999999999999716</v>
      </c>
      <c r="G374" s="4">
        <f t="shared" si="57"/>
        <v>0.39999999999999858</v>
      </c>
      <c r="H374" s="5">
        <f t="shared" si="58"/>
        <v>0.69999994360841744</v>
      </c>
      <c r="I374" s="14">
        <f t="shared" si="59"/>
        <v>120.4076121380452</v>
      </c>
      <c r="J374" s="19">
        <f t="shared" si="60"/>
        <v>987308.09731631353</v>
      </c>
      <c r="K374" s="16">
        <f t="shared" si="61"/>
        <v>0.99517997088602195</v>
      </c>
    </row>
    <row r="375" spans="1:11" x14ac:dyDescent="0.15">
      <c r="A375" s="7">
        <v>39235.588078703702</v>
      </c>
      <c r="B375">
        <v>38.9</v>
      </c>
      <c r="C375" s="6">
        <f t="shared" si="54"/>
        <v>710.00000000931323</v>
      </c>
      <c r="D375" t="str">
        <f t="shared" si="55"/>
        <v/>
      </c>
      <c r="E375">
        <f t="shared" si="53"/>
        <v>39235.588078703702</v>
      </c>
      <c r="F375" s="4">
        <f t="shared" si="56"/>
        <v>0.89999999999999858</v>
      </c>
      <c r="G375" s="4">
        <f t="shared" si="57"/>
        <v>0.44999999999999929</v>
      </c>
      <c r="H375" s="5">
        <f t="shared" si="58"/>
        <v>0.84999993152450559</v>
      </c>
      <c r="I375" s="14">
        <f t="shared" si="59"/>
        <v>146.20924331048323</v>
      </c>
      <c r="J375" s="19">
        <f t="shared" si="60"/>
        <v>987454.30655962403</v>
      </c>
      <c r="K375" s="16">
        <f t="shared" si="61"/>
        <v>0.99532734586541949</v>
      </c>
    </row>
    <row r="376" spans="1:11" x14ac:dyDescent="0.15">
      <c r="A376" s="7">
        <v>39235.588101851848</v>
      </c>
      <c r="B376">
        <v>38.9</v>
      </c>
      <c r="C376" s="6">
        <f t="shared" si="54"/>
        <v>711.99999984819442</v>
      </c>
      <c r="D376" t="str">
        <f t="shared" si="55"/>
        <v/>
      </c>
      <c r="E376">
        <f t="shared" si="53"/>
        <v>39235.588101851848</v>
      </c>
      <c r="F376" s="4">
        <f t="shared" si="56"/>
        <v>0.89999999999999858</v>
      </c>
      <c r="G376" s="4">
        <f t="shared" si="57"/>
        <v>0.44999999999999929</v>
      </c>
      <c r="H376" s="5">
        <f t="shared" si="58"/>
        <v>0.89999992749653612</v>
      </c>
      <c r="I376" s="14">
        <f t="shared" si="59"/>
        <v>154.80978703462944</v>
      </c>
      <c r="J376" s="19">
        <f t="shared" si="60"/>
        <v>987609.11634665867</v>
      </c>
      <c r="K376" s="16">
        <f t="shared" si="61"/>
        <v>0.99548338996125219</v>
      </c>
    </row>
    <row r="377" spans="1:11" x14ac:dyDescent="0.15">
      <c r="A377" s="7">
        <v>39235.588125000002</v>
      </c>
      <c r="B377">
        <v>38.9</v>
      </c>
      <c r="C377" s="6">
        <f t="shared" si="54"/>
        <v>714.00000031571835</v>
      </c>
      <c r="D377" t="str">
        <f t="shared" si="55"/>
        <v/>
      </c>
      <c r="E377">
        <f t="shared" si="53"/>
        <v>39235.588125000002</v>
      </c>
      <c r="F377" s="4">
        <f t="shared" si="56"/>
        <v>0.89999999999999858</v>
      </c>
      <c r="G377" s="4">
        <f t="shared" si="57"/>
        <v>0.44999999999999929</v>
      </c>
      <c r="H377" s="5">
        <f t="shared" si="58"/>
        <v>0.90000021038576816</v>
      </c>
      <c r="I377" s="14">
        <f t="shared" si="59"/>
        <v>154.80983569465755</v>
      </c>
      <c r="J377" s="19">
        <f t="shared" si="60"/>
        <v>987763.92618235329</v>
      </c>
      <c r="K377" s="16">
        <f t="shared" si="61"/>
        <v>0.99563943410613276</v>
      </c>
    </row>
    <row r="378" spans="1:11" x14ac:dyDescent="0.15">
      <c r="A378" s="7">
        <v>39235.588148148148</v>
      </c>
      <c r="B378">
        <v>38.799999999999997</v>
      </c>
      <c r="C378" s="6">
        <f t="shared" si="54"/>
        <v>716.00000015459955</v>
      </c>
      <c r="D378" t="str">
        <f t="shared" si="55"/>
        <v/>
      </c>
      <c r="E378">
        <f t="shared" si="53"/>
        <v>39235.588148148148</v>
      </c>
      <c r="F378" s="4">
        <f t="shared" si="56"/>
        <v>0.79999999999999716</v>
      </c>
      <c r="G378" s="4">
        <f t="shared" si="57"/>
        <v>0.39999999999999858</v>
      </c>
      <c r="H378" s="5">
        <f t="shared" si="58"/>
        <v>0.84999993152450559</v>
      </c>
      <c r="I378" s="14">
        <f t="shared" si="59"/>
        <v>146.20924331048323</v>
      </c>
      <c r="J378" s="19">
        <f t="shared" si="60"/>
        <v>987910.13542566379</v>
      </c>
      <c r="K378" s="16">
        <f t="shared" si="61"/>
        <v>0.9957868090855303</v>
      </c>
    </row>
    <row r="379" spans="1:11" x14ac:dyDescent="0.15">
      <c r="A379" s="7">
        <v>39235.588171296295</v>
      </c>
      <c r="B379">
        <v>38.9</v>
      </c>
      <c r="C379" s="6">
        <f t="shared" si="54"/>
        <v>717.99999999348074</v>
      </c>
      <c r="D379" t="str">
        <f t="shared" si="55"/>
        <v/>
      </c>
      <c r="E379">
        <f t="shared" si="53"/>
        <v>39235.588171296295</v>
      </c>
      <c r="F379" s="4">
        <f t="shared" si="56"/>
        <v>0.89999999999999858</v>
      </c>
      <c r="G379" s="4">
        <f t="shared" si="57"/>
        <v>0.44999999999999929</v>
      </c>
      <c r="H379" s="5">
        <f t="shared" si="58"/>
        <v>0.84999993152450559</v>
      </c>
      <c r="I379" s="14">
        <f t="shared" si="59"/>
        <v>146.20924331048323</v>
      </c>
      <c r="J379" s="19">
        <f t="shared" si="60"/>
        <v>988056.34466897429</v>
      </c>
      <c r="K379" s="16">
        <f t="shared" si="61"/>
        <v>0.99593418406492784</v>
      </c>
    </row>
    <row r="380" spans="1:11" x14ac:dyDescent="0.15">
      <c r="A380" s="7">
        <v>39235.588194444441</v>
      </c>
      <c r="B380">
        <v>38.799999999999997</v>
      </c>
      <c r="C380" s="6">
        <f t="shared" si="54"/>
        <v>719.99999983236194</v>
      </c>
      <c r="D380" t="str">
        <f t="shared" si="55"/>
        <v/>
      </c>
      <c r="E380">
        <f t="shared" si="53"/>
        <v>39235.588194444441</v>
      </c>
      <c r="F380" s="4">
        <f t="shared" si="56"/>
        <v>0.79999999999999716</v>
      </c>
      <c r="G380" s="4">
        <f t="shared" si="57"/>
        <v>0.39999999999999858</v>
      </c>
      <c r="H380" s="5">
        <f t="shared" si="58"/>
        <v>0.84999993152450559</v>
      </c>
      <c r="I380" s="14">
        <f t="shared" si="59"/>
        <v>146.20924331048323</v>
      </c>
      <c r="J380" s="19">
        <f t="shared" si="60"/>
        <v>988202.55391228478</v>
      </c>
      <c r="K380" s="16">
        <f t="shared" si="61"/>
        <v>0.99608155904432538</v>
      </c>
    </row>
    <row r="381" spans="1:11" x14ac:dyDescent="0.15">
      <c r="A381" s="7">
        <v>39235.588217592594</v>
      </c>
      <c r="B381">
        <v>38.799999999999997</v>
      </c>
      <c r="C381" s="6">
        <f t="shared" si="54"/>
        <v>722.00000029988587</v>
      </c>
      <c r="D381" t="str">
        <f t="shared" si="55"/>
        <v/>
      </c>
      <c r="E381">
        <f t="shared" si="53"/>
        <v>39235.588217592594</v>
      </c>
      <c r="F381" s="4">
        <f t="shared" si="56"/>
        <v>0.79999999999999716</v>
      </c>
      <c r="G381" s="4">
        <f t="shared" si="57"/>
        <v>0.39999999999999858</v>
      </c>
      <c r="H381" s="5">
        <f t="shared" si="58"/>
        <v>0.8000001870095701</v>
      </c>
      <c r="I381" s="14">
        <f t="shared" si="59"/>
        <v>137.60874283969531</v>
      </c>
      <c r="J381" s="19">
        <f t="shared" si="60"/>
        <v>988340.16265512444</v>
      </c>
      <c r="K381" s="16">
        <f t="shared" si="61"/>
        <v>0.996220264950886</v>
      </c>
    </row>
    <row r="382" spans="1:11" x14ac:dyDescent="0.15">
      <c r="A382" s="7">
        <v>39235.588240740741</v>
      </c>
      <c r="B382">
        <v>38.6</v>
      </c>
      <c r="C382" s="6">
        <f t="shared" si="54"/>
        <v>724.00000013876706</v>
      </c>
      <c r="D382" t="str">
        <f t="shared" si="55"/>
        <v/>
      </c>
      <c r="E382">
        <f t="shared" si="53"/>
        <v>39235.588240740741</v>
      </c>
      <c r="F382" s="4">
        <f t="shared" si="56"/>
        <v>0.60000000000000142</v>
      </c>
      <c r="G382" s="4">
        <f t="shared" si="57"/>
        <v>0.30000000000000071</v>
      </c>
      <c r="H382" s="5">
        <f t="shared" si="58"/>
        <v>0.69999994360841744</v>
      </c>
      <c r="I382" s="14">
        <f t="shared" si="59"/>
        <v>120.4076121380452</v>
      </c>
      <c r="J382" s="19">
        <f t="shared" si="60"/>
        <v>988460.57026726252</v>
      </c>
      <c r="K382" s="16">
        <f t="shared" si="61"/>
        <v>0.99634163258097808</v>
      </c>
    </row>
    <row r="383" spans="1:11" x14ac:dyDescent="0.15">
      <c r="A383" s="7">
        <v>39235.588263888887</v>
      </c>
      <c r="B383">
        <v>38.799999999999997</v>
      </c>
      <c r="C383" s="6">
        <f t="shared" si="54"/>
        <v>725.99999997764826</v>
      </c>
      <c r="D383" t="str">
        <f t="shared" si="55"/>
        <v/>
      </c>
      <c r="E383">
        <f t="shared" si="53"/>
        <v>39235.588263888887</v>
      </c>
      <c r="F383" s="4">
        <f t="shared" si="56"/>
        <v>0.79999999999999716</v>
      </c>
      <c r="G383" s="4">
        <f t="shared" si="57"/>
        <v>0.39999999999999858</v>
      </c>
      <c r="H383" s="5">
        <f t="shared" si="58"/>
        <v>0.69999994360841744</v>
      </c>
      <c r="I383" s="14">
        <f t="shared" si="59"/>
        <v>120.4076121380452</v>
      </c>
      <c r="J383" s="19">
        <f t="shared" si="60"/>
        <v>988580.9778794006</v>
      </c>
      <c r="K383" s="16">
        <f t="shared" si="61"/>
        <v>0.99646300021107015</v>
      </c>
    </row>
    <row r="384" spans="1:11" x14ac:dyDescent="0.15">
      <c r="A384" s="7">
        <v>39235.588287037041</v>
      </c>
      <c r="B384">
        <v>38.799999999999997</v>
      </c>
      <c r="C384" s="6">
        <f t="shared" si="54"/>
        <v>728.00000044517219</v>
      </c>
      <c r="D384" t="str">
        <f t="shared" si="55"/>
        <v/>
      </c>
      <c r="E384">
        <f t="shared" si="53"/>
        <v>39235.588287037041</v>
      </c>
      <c r="F384" s="4">
        <f t="shared" si="56"/>
        <v>0.79999999999999716</v>
      </c>
      <c r="G384" s="4">
        <f t="shared" si="57"/>
        <v>0.39999999999999858</v>
      </c>
      <c r="H384" s="5">
        <f t="shared" si="58"/>
        <v>0.8000001870095701</v>
      </c>
      <c r="I384" s="14">
        <f t="shared" si="59"/>
        <v>137.60874283969531</v>
      </c>
      <c r="J384" s="19">
        <f t="shared" si="60"/>
        <v>988718.58662224025</v>
      </c>
      <c r="K384" s="16">
        <f t="shared" si="61"/>
        <v>0.99660170611763066</v>
      </c>
    </row>
    <row r="385" spans="1:11" x14ac:dyDescent="0.15">
      <c r="A385" s="7">
        <v>39235.588310185187</v>
      </c>
      <c r="B385">
        <v>38.9</v>
      </c>
      <c r="C385" s="6">
        <f t="shared" si="54"/>
        <v>730.00000028405339</v>
      </c>
      <c r="D385" t="str">
        <f t="shared" si="55"/>
        <v/>
      </c>
      <c r="E385">
        <f t="shared" si="53"/>
        <v>39235.588310185187</v>
      </c>
      <c r="F385" s="4">
        <f t="shared" si="56"/>
        <v>0.89999999999999858</v>
      </c>
      <c r="G385" s="4">
        <f t="shared" si="57"/>
        <v>0.44999999999999929</v>
      </c>
      <c r="H385" s="5">
        <f t="shared" si="58"/>
        <v>0.84999993152450559</v>
      </c>
      <c r="I385" s="14">
        <f t="shared" si="59"/>
        <v>146.20924331048323</v>
      </c>
      <c r="J385" s="19">
        <f t="shared" si="60"/>
        <v>988864.79586555075</v>
      </c>
      <c r="K385" s="16">
        <f t="shared" si="61"/>
        <v>0.9967490810970282</v>
      </c>
    </row>
    <row r="386" spans="1:11" x14ac:dyDescent="0.15">
      <c r="A386" s="7">
        <v>39235.588333333333</v>
      </c>
      <c r="B386">
        <v>38.9</v>
      </c>
      <c r="C386" s="6">
        <f t="shared" si="54"/>
        <v>732.00000012293458</v>
      </c>
      <c r="D386" t="str">
        <f t="shared" si="55"/>
        <v/>
      </c>
      <c r="E386">
        <f t="shared" si="53"/>
        <v>39235.588333333333</v>
      </c>
      <c r="F386" s="4">
        <f t="shared" si="56"/>
        <v>0.89999999999999858</v>
      </c>
      <c r="G386" s="4">
        <f t="shared" si="57"/>
        <v>0.44999999999999929</v>
      </c>
      <c r="H386" s="5">
        <f t="shared" si="58"/>
        <v>0.89999992749653612</v>
      </c>
      <c r="I386" s="14">
        <f t="shared" si="59"/>
        <v>154.80978703462944</v>
      </c>
      <c r="J386" s="19">
        <f t="shared" si="60"/>
        <v>989019.60565258539</v>
      </c>
      <c r="K386" s="16">
        <f t="shared" si="61"/>
        <v>0.9969051251928609</v>
      </c>
    </row>
    <row r="387" spans="1:11" x14ac:dyDescent="0.15">
      <c r="A387" s="7">
        <v>39235.588356481479</v>
      </c>
      <c r="B387">
        <v>38.6</v>
      </c>
      <c r="C387" s="6">
        <f t="shared" si="54"/>
        <v>733.99999996181577</v>
      </c>
      <c r="D387" t="str">
        <f t="shared" si="55"/>
        <v/>
      </c>
      <c r="E387">
        <f t="shared" si="53"/>
        <v>39235.588356481479</v>
      </c>
      <c r="F387" s="4">
        <f t="shared" si="56"/>
        <v>0.60000000000000142</v>
      </c>
      <c r="G387" s="4">
        <f t="shared" si="57"/>
        <v>0.30000000000000071</v>
      </c>
      <c r="H387" s="5">
        <f t="shared" si="58"/>
        <v>0.74999993958044797</v>
      </c>
      <c r="I387" s="14">
        <f t="shared" si="59"/>
        <v>129.00815586219142</v>
      </c>
      <c r="J387" s="19">
        <f t="shared" si="60"/>
        <v>989148.61380844761</v>
      </c>
      <c r="K387" s="16">
        <f t="shared" si="61"/>
        <v>0.99703516193938813</v>
      </c>
    </row>
    <row r="388" spans="1:11" x14ac:dyDescent="0.15">
      <c r="A388" s="7">
        <v>39235.588379629633</v>
      </c>
      <c r="B388">
        <v>38.6</v>
      </c>
      <c r="C388" s="6">
        <f t="shared" si="54"/>
        <v>736.00000042933971</v>
      </c>
      <c r="D388" t="str">
        <f t="shared" si="55"/>
        <v/>
      </c>
      <c r="E388">
        <f t="shared" si="53"/>
        <v>39235.588379629633</v>
      </c>
      <c r="F388" s="4">
        <f t="shared" si="56"/>
        <v>0.60000000000000142</v>
      </c>
      <c r="G388" s="4">
        <f t="shared" si="57"/>
        <v>0.30000000000000071</v>
      </c>
      <c r="H388" s="5">
        <f t="shared" si="58"/>
        <v>0.60000014025718118</v>
      </c>
      <c r="I388" s="14">
        <f t="shared" si="59"/>
        <v>103.20655712977211</v>
      </c>
      <c r="J388" s="19">
        <f t="shared" si="60"/>
        <v>989251.82036557735</v>
      </c>
      <c r="K388" s="16">
        <f t="shared" si="61"/>
        <v>0.99713919136930862</v>
      </c>
    </row>
    <row r="389" spans="1:11" x14ac:dyDescent="0.15">
      <c r="A389" s="7">
        <v>39235.588402777779</v>
      </c>
      <c r="B389">
        <v>38.799999999999997</v>
      </c>
      <c r="C389" s="6">
        <f t="shared" si="54"/>
        <v>738.0000002682209</v>
      </c>
      <c r="D389" t="str">
        <f t="shared" si="55"/>
        <v/>
      </c>
      <c r="E389">
        <f t="shared" si="53"/>
        <v>39235.588402777779</v>
      </c>
      <c r="F389" s="4">
        <f t="shared" si="56"/>
        <v>0.79999999999999716</v>
      </c>
      <c r="G389" s="4">
        <f t="shared" si="57"/>
        <v>0.39999999999999858</v>
      </c>
      <c r="H389" s="5">
        <f t="shared" si="58"/>
        <v>0.69999994360841744</v>
      </c>
      <c r="I389" s="14">
        <f t="shared" si="59"/>
        <v>120.4076121380452</v>
      </c>
      <c r="J389" s="19">
        <f t="shared" si="60"/>
        <v>989372.22797771543</v>
      </c>
      <c r="K389" s="16">
        <f t="shared" si="61"/>
        <v>0.99726055899940069</v>
      </c>
    </row>
    <row r="390" spans="1:11" x14ac:dyDescent="0.15">
      <c r="A390" s="7">
        <v>39235.588425925926</v>
      </c>
      <c r="B390">
        <v>38.9</v>
      </c>
      <c r="C390" s="6">
        <f t="shared" si="54"/>
        <v>740.0000001071021</v>
      </c>
      <c r="D390" t="str">
        <f t="shared" si="55"/>
        <v/>
      </c>
      <c r="E390">
        <f t="shared" si="53"/>
        <v>39235.588425925926</v>
      </c>
      <c r="F390" s="4">
        <f t="shared" si="56"/>
        <v>0.89999999999999858</v>
      </c>
      <c r="G390" s="4">
        <f t="shared" si="57"/>
        <v>0.44999999999999929</v>
      </c>
      <c r="H390" s="5">
        <f t="shared" si="58"/>
        <v>0.84999993152450559</v>
      </c>
      <c r="I390" s="14">
        <f t="shared" si="59"/>
        <v>146.20924331048323</v>
      </c>
      <c r="J390" s="19">
        <f t="shared" si="60"/>
        <v>989518.43722102593</v>
      </c>
      <c r="K390" s="16">
        <f t="shared" si="61"/>
        <v>0.99740793397879823</v>
      </c>
    </row>
    <row r="391" spans="1:11" x14ac:dyDescent="0.15">
      <c r="A391" s="7">
        <v>39235.588449074072</v>
      </c>
      <c r="B391">
        <v>38.799999999999997</v>
      </c>
      <c r="C391" s="6">
        <f t="shared" si="54"/>
        <v>741.99999994598329</v>
      </c>
      <c r="D391" t="str">
        <f t="shared" si="55"/>
        <v/>
      </c>
      <c r="E391">
        <f t="shared" si="53"/>
        <v>39235.588449074072</v>
      </c>
      <c r="F391" s="4">
        <f t="shared" si="56"/>
        <v>0.79999999999999716</v>
      </c>
      <c r="G391" s="4">
        <f t="shared" si="57"/>
        <v>0.39999999999999858</v>
      </c>
      <c r="H391" s="5">
        <f t="shared" si="58"/>
        <v>0.84999993152450559</v>
      </c>
      <c r="I391" s="14">
        <f t="shared" si="59"/>
        <v>146.20924331048323</v>
      </c>
      <c r="J391" s="19">
        <f t="shared" si="60"/>
        <v>989664.64646433643</v>
      </c>
      <c r="K391" s="16">
        <f t="shared" si="61"/>
        <v>0.99755530895819577</v>
      </c>
    </row>
    <row r="392" spans="1:11" x14ac:dyDescent="0.15">
      <c r="A392" s="7">
        <v>39235.588472222225</v>
      </c>
      <c r="B392">
        <v>38.799999999999997</v>
      </c>
      <c r="C392" s="6">
        <f t="shared" si="54"/>
        <v>744.00000041350722</v>
      </c>
      <c r="D392" t="str">
        <f t="shared" si="55"/>
        <v/>
      </c>
      <c r="E392">
        <f t="shared" si="53"/>
        <v>39235.588472222225</v>
      </c>
      <c r="F392" s="4">
        <f t="shared" si="56"/>
        <v>0.79999999999999716</v>
      </c>
      <c r="G392" s="4">
        <f t="shared" si="57"/>
        <v>0.39999999999999858</v>
      </c>
      <c r="H392" s="5">
        <f t="shared" si="58"/>
        <v>0.8000001870095701</v>
      </c>
      <c r="I392" s="14">
        <f t="shared" si="59"/>
        <v>137.60874283969531</v>
      </c>
      <c r="J392" s="19">
        <f t="shared" si="60"/>
        <v>989802.25520717609</v>
      </c>
      <c r="K392" s="16">
        <f t="shared" si="61"/>
        <v>0.99769401486475628</v>
      </c>
    </row>
    <row r="393" spans="1:11" x14ac:dyDescent="0.15">
      <c r="A393" s="7">
        <v>39235.588495370372</v>
      </c>
      <c r="B393">
        <v>38.799999999999997</v>
      </c>
      <c r="C393" s="6">
        <f t="shared" si="54"/>
        <v>746.00000025238842</v>
      </c>
      <c r="D393" t="str">
        <f t="shared" si="55"/>
        <v/>
      </c>
      <c r="E393">
        <f t="shared" si="53"/>
        <v>39235.588495370372</v>
      </c>
      <c r="F393" s="4">
        <f t="shared" si="56"/>
        <v>0.79999999999999716</v>
      </c>
      <c r="G393" s="4">
        <f t="shared" si="57"/>
        <v>0.39999999999999858</v>
      </c>
      <c r="H393" s="5">
        <f t="shared" si="58"/>
        <v>0.79999993555247495</v>
      </c>
      <c r="I393" s="14">
        <f t="shared" si="59"/>
        <v>137.608699586337</v>
      </c>
      <c r="J393" s="19">
        <f t="shared" si="60"/>
        <v>989939.86390676245</v>
      </c>
      <c r="K393" s="16">
        <f t="shared" si="61"/>
        <v>0.99783272072771867</v>
      </c>
    </row>
    <row r="394" spans="1:11" x14ac:dyDescent="0.15">
      <c r="A394" s="7">
        <v>39235.588518518518</v>
      </c>
      <c r="B394">
        <v>38.9</v>
      </c>
      <c r="C394" s="6">
        <f t="shared" si="54"/>
        <v>748.00000009126961</v>
      </c>
      <c r="D394" t="str">
        <f t="shared" si="55"/>
        <v/>
      </c>
      <c r="E394">
        <f t="shared" si="53"/>
        <v>39235.588518518518</v>
      </c>
      <c r="F394" s="4">
        <f t="shared" si="56"/>
        <v>0.89999999999999858</v>
      </c>
      <c r="G394" s="4">
        <f t="shared" si="57"/>
        <v>0.44999999999999929</v>
      </c>
      <c r="H394" s="5">
        <f t="shared" si="58"/>
        <v>0.84999993152450559</v>
      </c>
      <c r="I394" s="14">
        <f t="shared" si="59"/>
        <v>146.20924331048323</v>
      </c>
      <c r="J394" s="19">
        <f t="shared" si="60"/>
        <v>990086.07315007295</v>
      </c>
      <c r="K394" s="16">
        <f t="shared" si="61"/>
        <v>0.99798009570711621</v>
      </c>
    </row>
    <row r="395" spans="1:11" x14ac:dyDescent="0.15">
      <c r="A395" s="7">
        <v>39235.588541666664</v>
      </c>
      <c r="B395">
        <v>38.799999999999997</v>
      </c>
      <c r="C395" s="6">
        <f t="shared" si="54"/>
        <v>749.99999993015081</v>
      </c>
      <c r="D395" t="str">
        <f t="shared" si="55"/>
        <v/>
      </c>
      <c r="E395">
        <f t="shared" si="53"/>
        <v>39235.588541666664</v>
      </c>
      <c r="F395" s="4">
        <f t="shared" si="56"/>
        <v>0.79999999999999716</v>
      </c>
      <c r="G395" s="4">
        <f t="shared" si="57"/>
        <v>0.39999999999999858</v>
      </c>
      <c r="H395" s="5">
        <f t="shared" si="58"/>
        <v>0.84999993152450559</v>
      </c>
      <c r="I395" s="14">
        <f t="shared" si="59"/>
        <v>146.20924331048323</v>
      </c>
      <c r="J395" s="19">
        <f t="shared" si="60"/>
        <v>990232.28239338344</v>
      </c>
      <c r="K395" s="16">
        <f t="shared" si="61"/>
        <v>0.99812747068651375</v>
      </c>
    </row>
    <row r="396" spans="1:11" x14ac:dyDescent="0.15">
      <c r="A396" s="7">
        <v>39235.588564814818</v>
      </c>
      <c r="B396">
        <v>38.799999999999997</v>
      </c>
      <c r="C396" s="6">
        <f t="shared" si="54"/>
        <v>752.00000039767474</v>
      </c>
      <c r="D396" t="str">
        <f t="shared" si="55"/>
        <v/>
      </c>
      <c r="E396">
        <f t="shared" si="53"/>
        <v>39235.588564814818</v>
      </c>
      <c r="F396" s="4">
        <f t="shared" si="56"/>
        <v>0.79999999999999716</v>
      </c>
      <c r="G396" s="4">
        <f t="shared" si="57"/>
        <v>0.39999999999999858</v>
      </c>
      <c r="H396" s="5">
        <f t="shared" si="58"/>
        <v>0.8000001870095701</v>
      </c>
      <c r="I396" s="14">
        <f t="shared" si="59"/>
        <v>137.60874283969531</v>
      </c>
      <c r="J396" s="19">
        <f t="shared" si="60"/>
        <v>990369.8911362231</v>
      </c>
      <c r="K396" s="16">
        <f t="shared" si="61"/>
        <v>0.99826617659307437</v>
      </c>
    </row>
    <row r="397" spans="1:11" x14ac:dyDescent="0.15">
      <c r="A397" s="7">
        <v>39235.588587962964</v>
      </c>
      <c r="B397">
        <v>38.799999999999997</v>
      </c>
      <c r="C397" s="6">
        <f t="shared" si="54"/>
        <v>754.00000023655593</v>
      </c>
      <c r="D397" t="str">
        <f t="shared" si="55"/>
        <v/>
      </c>
      <c r="E397">
        <f t="shared" si="53"/>
        <v>39235.588587962964</v>
      </c>
      <c r="F397" s="4">
        <f t="shared" si="56"/>
        <v>0.79999999999999716</v>
      </c>
      <c r="G397" s="4">
        <f t="shared" si="57"/>
        <v>0.39999999999999858</v>
      </c>
      <c r="H397" s="5">
        <f t="shared" si="58"/>
        <v>0.79999993555247495</v>
      </c>
      <c r="I397" s="14">
        <f t="shared" si="59"/>
        <v>137.608699586337</v>
      </c>
      <c r="J397" s="19">
        <f t="shared" si="60"/>
        <v>990507.49983580946</v>
      </c>
      <c r="K397" s="16">
        <f t="shared" si="61"/>
        <v>0.99840488245603676</v>
      </c>
    </row>
    <row r="398" spans="1:11" x14ac:dyDescent="0.15">
      <c r="A398" s="7">
        <v>39235.58861111111</v>
      </c>
      <c r="B398">
        <v>38.799999999999997</v>
      </c>
      <c r="C398" s="6">
        <f t="shared" si="54"/>
        <v>756.00000007543713</v>
      </c>
      <c r="D398" t="str">
        <f t="shared" si="55"/>
        <v/>
      </c>
      <c r="E398">
        <f t="shared" si="53"/>
        <v>39235.58861111111</v>
      </c>
      <c r="F398" s="4">
        <f t="shared" si="56"/>
        <v>0.79999999999999716</v>
      </c>
      <c r="G398" s="4">
        <f t="shared" si="57"/>
        <v>0.39999999999999858</v>
      </c>
      <c r="H398" s="5">
        <f t="shared" si="58"/>
        <v>0.79999993555247495</v>
      </c>
      <c r="I398" s="14">
        <f t="shared" si="59"/>
        <v>137.608699586337</v>
      </c>
      <c r="J398" s="19">
        <f t="shared" si="60"/>
        <v>990645.10853539582</v>
      </c>
      <c r="K398" s="16">
        <f t="shared" si="61"/>
        <v>0.99854358831899914</v>
      </c>
    </row>
    <row r="399" spans="1:11" x14ac:dyDescent="0.15">
      <c r="A399" s="7">
        <v>39235.588634259257</v>
      </c>
      <c r="B399">
        <v>38.799999999999997</v>
      </c>
      <c r="C399" s="6">
        <f t="shared" si="54"/>
        <v>757.99999991431832</v>
      </c>
      <c r="D399" t="str">
        <f t="shared" si="55"/>
        <v/>
      </c>
      <c r="E399">
        <f t="shared" si="53"/>
        <v>39235.588634259257</v>
      </c>
      <c r="F399" s="4">
        <f t="shared" si="56"/>
        <v>0.79999999999999716</v>
      </c>
      <c r="G399" s="4">
        <f t="shared" si="57"/>
        <v>0.39999999999999858</v>
      </c>
      <c r="H399" s="5">
        <f t="shared" si="58"/>
        <v>0.79999993555247495</v>
      </c>
      <c r="I399" s="14">
        <f t="shared" si="59"/>
        <v>137.608699586337</v>
      </c>
      <c r="J399" s="19">
        <f t="shared" si="60"/>
        <v>990782.71723498218</v>
      </c>
      <c r="K399" s="16">
        <f t="shared" si="61"/>
        <v>0.99868229418196153</v>
      </c>
    </row>
    <row r="400" spans="1:11" x14ac:dyDescent="0.15">
      <c r="A400" s="7">
        <v>39235.58865740741</v>
      </c>
      <c r="B400">
        <v>38.799999999999997</v>
      </c>
      <c r="C400" s="6">
        <f t="shared" si="54"/>
        <v>760.00000038184226</v>
      </c>
      <c r="D400" t="str">
        <f t="shared" si="55"/>
        <v/>
      </c>
      <c r="E400">
        <f t="shared" si="53"/>
        <v>39235.58865740741</v>
      </c>
      <c r="F400" s="4">
        <f t="shared" si="56"/>
        <v>0.79999999999999716</v>
      </c>
      <c r="G400" s="4">
        <f t="shared" si="57"/>
        <v>0.39999999999999858</v>
      </c>
      <c r="H400" s="5">
        <f t="shared" si="58"/>
        <v>0.8000001870095701</v>
      </c>
      <c r="I400" s="14">
        <f t="shared" si="59"/>
        <v>137.60874283969531</v>
      </c>
      <c r="J400" s="19">
        <f t="shared" si="60"/>
        <v>990920.32597782183</v>
      </c>
      <c r="K400" s="16">
        <f t="shared" si="61"/>
        <v>0.99882100008852204</v>
      </c>
    </row>
    <row r="401" spans="1:11" x14ac:dyDescent="0.15">
      <c r="A401" s="7">
        <v>39235.588680555556</v>
      </c>
      <c r="B401">
        <v>38.799999999999997</v>
      </c>
      <c r="C401" s="6">
        <f t="shared" si="54"/>
        <v>762.00000022072345</v>
      </c>
      <c r="D401" t="str">
        <f t="shared" si="55"/>
        <v/>
      </c>
      <c r="E401">
        <f t="shared" si="53"/>
        <v>39235.588680555556</v>
      </c>
      <c r="F401" s="4">
        <f t="shared" si="56"/>
        <v>0.79999999999999716</v>
      </c>
      <c r="G401" s="4">
        <f t="shared" si="57"/>
        <v>0.39999999999999858</v>
      </c>
      <c r="H401" s="5">
        <f t="shared" si="58"/>
        <v>0.79999993555247495</v>
      </c>
      <c r="I401" s="14">
        <f t="shared" si="59"/>
        <v>137.608699586337</v>
      </c>
      <c r="J401" s="19">
        <f t="shared" si="60"/>
        <v>991057.93467740819</v>
      </c>
      <c r="K401" s="16">
        <f t="shared" si="61"/>
        <v>0.99895970595148442</v>
      </c>
    </row>
    <row r="402" spans="1:11" x14ac:dyDescent="0.15">
      <c r="A402" s="7">
        <v>39235.588703703703</v>
      </c>
      <c r="B402">
        <v>38.9</v>
      </c>
      <c r="C402" s="6">
        <f t="shared" si="54"/>
        <v>764.00000005960464</v>
      </c>
      <c r="D402" t="str">
        <f t="shared" si="55"/>
        <v/>
      </c>
      <c r="E402">
        <f t="shared" si="53"/>
        <v>39235.588703703703</v>
      </c>
      <c r="F402" s="4">
        <f t="shared" si="56"/>
        <v>0.89999999999999858</v>
      </c>
      <c r="G402" s="4">
        <f t="shared" si="57"/>
        <v>0.44999999999999929</v>
      </c>
      <c r="H402" s="5">
        <f t="shared" si="58"/>
        <v>0.84999993152450559</v>
      </c>
      <c r="I402" s="14">
        <f t="shared" si="59"/>
        <v>146.20924331048323</v>
      </c>
      <c r="J402" s="19">
        <f t="shared" si="60"/>
        <v>991204.14392071869</v>
      </c>
      <c r="K402" s="16">
        <f t="shared" si="61"/>
        <v>0.99910708093088196</v>
      </c>
    </row>
    <row r="403" spans="1:11" x14ac:dyDescent="0.15">
      <c r="A403" s="7">
        <v>39235.588726851849</v>
      </c>
      <c r="B403">
        <v>38.6</v>
      </c>
      <c r="C403" s="6">
        <f t="shared" si="54"/>
        <v>765.99999989848584</v>
      </c>
      <c r="D403" t="str">
        <f t="shared" si="55"/>
        <v/>
      </c>
      <c r="E403">
        <f t="shared" si="53"/>
        <v>39235.588726851849</v>
      </c>
      <c r="F403" s="4">
        <f t="shared" si="56"/>
        <v>0.60000000000000142</v>
      </c>
      <c r="G403" s="4">
        <f t="shared" si="57"/>
        <v>0.30000000000000071</v>
      </c>
      <c r="H403" s="5">
        <f t="shared" si="58"/>
        <v>0.74999993958044797</v>
      </c>
      <c r="I403" s="14">
        <f t="shared" si="59"/>
        <v>129.00815586219142</v>
      </c>
      <c r="J403" s="19">
        <f t="shared" si="60"/>
        <v>991333.15207658091</v>
      </c>
      <c r="K403" s="16">
        <f t="shared" si="61"/>
        <v>0.99923711767740919</v>
      </c>
    </row>
    <row r="404" spans="1:11" x14ac:dyDescent="0.15">
      <c r="A404" s="7">
        <v>39235.588750000003</v>
      </c>
      <c r="B404">
        <v>38.799999999999997</v>
      </c>
      <c r="C404" s="6">
        <f t="shared" si="54"/>
        <v>768.00000036600977</v>
      </c>
      <c r="D404" t="str">
        <f t="shared" si="55"/>
        <v/>
      </c>
      <c r="E404">
        <f t="shared" si="53"/>
        <v>39235.588750000003</v>
      </c>
      <c r="F404" s="4">
        <f t="shared" si="56"/>
        <v>0.79999999999999716</v>
      </c>
      <c r="G404" s="4">
        <f t="shared" si="57"/>
        <v>0.39999999999999858</v>
      </c>
      <c r="H404" s="5">
        <f t="shared" si="58"/>
        <v>0.70000016363337569</v>
      </c>
      <c r="I404" s="14">
        <f t="shared" si="59"/>
        <v>120.40764998473372</v>
      </c>
      <c r="J404" s="19">
        <f t="shared" si="60"/>
        <v>991453.55972656561</v>
      </c>
      <c r="K404" s="16">
        <f t="shared" si="61"/>
        <v>0.99935848534564975</v>
      </c>
    </row>
    <row r="405" spans="1:11" x14ac:dyDescent="0.15">
      <c r="A405" s="7">
        <v>39235.588773148149</v>
      </c>
      <c r="B405">
        <v>38.799999999999997</v>
      </c>
      <c r="C405" s="6">
        <f t="shared" si="54"/>
        <v>770.00000020489097</v>
      </c>
      <c r="D405" t="str">
        <f t="shared" si="55"/>
        <v/>
      </c>
      <c r="E405">
        <f>IF(B405-$B$6&gt;0,A405," ")</f>
        <v>39235.588773148149</v>
      </c>
      <c r="F405" s="4">
        <f t="shared" si="56"/>
        <v>0.79999999999999716</v>
      </c>
      <c r="G405" s="4">
        <f t="shared" si="57"/>
        <v>0.39999999999999858</v>
      </c>
      <c r="H405" s="5">
        <f t="shared" si="58"/>
        <v>0.79999993555247495</v>
      </c>
      <c r="I405" s="14">
        <f t="shared" si="59"/>
        <v>137.608699586337</v>
      </c>
      <c r="J405" s="19">
        <f t="shared" si="60"/>
        <v>991591.16842615197</v>
      </c>
      <c r="K405" s="16">
        <f t="shared" si="61"/>
        <v>0.99949719120861213</v>
      </c>
    </row>
    <row r="406" spans="1:11" x14ac:dyDescent="0.15">
      <c r="A406" s="7">
        <v>39235.588796296295</v>
      </c>
      <c r="B406">
        <v>38.799999999999997</v>
      </c>
      <c r="C406" s="6">
        <f t="shared" si="54"/>
        <v>772.00000004377216</v>
      </c>
      <c r="D406" t="str">
        <f t="shared" si="55"/>
        <v/>
      </c>
      <c r="E406">
        <f>IF(B406-$B$6&gt;0,A406," ")</f>
        <v>39235.588796296295</v>
      </c>
      <c r="F406" s="4">
        <f t="shared" si="56"/>
        <v>0.79999999999999716</v>
      </c>
      <c r="G406" s="4">
        <f t="shared" si="57"/>
        <v>0.39999999999999858</v>
      </c>
      <c r="H406" s="5">
        <f t="shared" si="58"/>
        <v>0.79999993555247495</v>
      </c>
      <c r="I406" s="14">
        <f t="shared" si="59"/>
        <v>137.608699586337</v>
      </c>
      <c r="J406" s="19">
        <f t="shared" si="60"/>
        <v>991728.77712573833</v>
      </c>
      <c r="K406" s="16">
        <f t="shared" si="61"/>
        <v>0.99963589707157452</v>
      </c>
    </row>
    <row r="407" spans="1:11" x14ac:dyDescent="0.15">
      <c r="A407" s="7">
        <v>39235.588819444441</v>
      </c>
      <c r="B407">
        <v>38.799999999999997</v>
      </c>
      <c r="C407" s="6">
        <f t="shared" si="54"/>
        <v>773.99999988265336</v>
      </c>
      <c r="D407" t="str">
        <f t="shared" si="55"/>
        <v/>
      </c>
      <c r="E407">
        <f>IF(B407-$B$6&gt;0,A407," ")</f>
        <v>39235.588819444441</v>
      </c>
      <c r="F407" s="4">
        <f t="shared" si="56"/>
        <v>0.79999999999999716</v>
      </c>
      <c r="G407" s="4">
        <f t="shared" si="57"/>
        <v>0.39999999999999858</v>
      </c>
      <c r="H407" s="5">
        <f t="shared" si="58"/>
        <v>0.79999993555247495</v>
      </c>
      <c r="I407" s="14">
        <f t="shared" si="59"/>
        <v>137.608699586337</v>
      </c>
      <c r="J407" s="19">
        <f t="shared" si="60"/>
        <v>991866.38582532469</v>
      </c>
      <c r="K407" s="16">
        <f t="shared" si="61"/>
        <v>0.9997746029345369</v>
      </c>
    </row>
    <row r="408" spans="1:11" x14ac:dyDescent="0.15">
      <c r="A408" s="7">
        <v>39235.588842592595</v>
      </c>
      <c r="B408">
        <v>38.6</v>
      </c>
      <c r="C408" s="6">
        <f t="shared" si="54"/>
        <v>776.00000035017729</v>
      </c>
      <c r="D408" t="str">
        <f t="shared" si="55"/>
        <v/>
      </c>
      <c r="E408">
        <f>IF(B408-$B$6&gt;0,A408," ")</f>
        <v>39235.588842592595</v>
      </c>
      <c r="F408" s="4">
        <f t="shared" si="56"/>
        <v>0.60000000000000142</v>
      </c>
      <c r="G408" s="4">
        <f t="shared" si="57"/>
        <v>0.30000000000000071</v>
      </c>
      <c r="H408" s="5">
        <f t="shared" si="58"/>
        <v>0.70000016363337569</v>
      </c>
      <c r="I408" s="14">
        <f t="shared" si="59"/>
        <v>120.40764998473372</v>
      </c>
      <c r="J408" s="19">
        <f t="shared" si="60"/>
        <v>991986.79347530939</v>
      </c>
      <c r="K408" s="16">
        <f t="shared" si="61"/>
        <v>0.99989597060277735</v>
      </c>
    </row>
    <row r="409" spans="1:11" x14ac:dyDescent="0.15">
      <c r="A409" s="7">
        <v>39235.588865740741</v>
      </c>
      <c r="B409">
        <v>38.6</v>
      </c>
      <c r="C409" s="6">
        <f t="shared" si="54"/>
        <v>778.00000018905848</v>
      </c>
      <c r="D409" t="str">
        <f t="shared" si="55"/>
        <v/>
      </c>
      <c r="E409">
        <f>IF(B409-$B$6&gt;0,A409," ")</f>
        <v>39235.588865740741</v>
      </c>
      <c r="F409" s="4">
        <f t="shared" si="56"/>
        <v>0.60000000000000142</v>
      </c>
      <c r="G409" s="4">
        <f t="shared" si="57"/>
        <v>0.30000000000000071</v>
      </c>
      <c r="H409" s="5">
        <f t="shared" si="58"/>
        <v>0.59999995166435982</v>
      </c>
      <c r="I409" s="14">
        <f t="shared" si="59"/>
        <v>103.20652468975337</v>
      </c>
      <c r="J409" s="19">
        <f t="shared" si="60"/>
        <v>992089.99999999919</v>
      </c>
      <c r="K409" s="16">
        <f t="shared" si="61"/>
        <v>0.99999999999999922</v>
      </c>
    </row>
    <row r="410" spans="1:11" x14ac:dyDescent="0.15">
      <c r="A410" s="7"/>
    </row>
    <row r="411" spans="1:11" x14ac:dyDescent="0.15">
      <c r="A411" s="7"/>
    </row>
    <row r="412" spans="1:11" x14ac:dyDescent="0.15">
      <c r="A412" s="7"/>
    </row>
    <row r="413" spans="1:11" x14ac:dyDescent="0.15">
      <c r="A413" s="7"/>
    </row>
    <row r="414" spans="1:11" x14ac:dyDescent="0.15">
      <c r="A414" s="7"/>
    </row>
    <row r="415" spans="1:11" x14ac:dyDescent="0.15">
      <c r="A415" s="7"/>
    </row>
    <row r="416" spans="1:11" x14ac:dyDescent="0.15">
      <c r="A416" s="7"/>
    </row>
    <row r="417" spans="1:1" x14ac:dyDescent="0.15">
      <c r="A417" s="7"/>
    </row>
    <row r="418" spans="1:1" x14ac:dyDescent="0.15">
      <c r="A418" s="7"/>
    </row>
    <row r="419" spans="1:1" x14ac:dyDescent="0.15">
      <c r="A419" s="7"/>
    </row>
    <row r="420" spans="1:1" x14ac:dyDescent="0.15">
      <c r="A420" s="7"/>
    </row>
    <row r="421" spans="1:1" x14ac:dyDescent="0.15">
      <c r="A421" s="7"/>
    </row>
    <row r="422" spans="1:1" x14ac:dyDescent="0.15">
      <c r="A422" s="7"/>
    </row>
    <row r="423" spans="1:1" x14ac:dyDescent="0.15">
      <c r="A423" s="7"/>
    </row>
    <row r="424" spans="1:1" x14ac:dyDescent="0.15">
      <c r="A424" s="7"/>
    </row>
    <row r="425" spans="1:1" x14ac:dyDescent="0.15">
      <c r="A425" s="7"/>
    </row>
    <row r="426" spans="1:1" x14ac:dyDescent="0.15">
      <c r="A426" s="7"/>
    </row>
    <row r="427" spans="1:1" x14ac:dyDescent="0.15">
      <c r="A427" s="7"/>
    </row>
    <row r="428" spans="1:1" x14ac:dyDescent="0.15">
      <c r="A428" s="7"/>
    </row>
    <row r="429" spans="1:1" x14ac:dyDescent="0.15">
      <c r="A429" s="7"/>
    </row>
    <row r="430" spans="1:1" x14ac:dyDescent="0.15">
      <c r="A430" s="7"/>
    </row>
    <row r="431" spans="1:1" x14ac:dyDescent="0.15">
      <c r="A431" s="7"/>
    </row>
    <row r="432" spans="1:1" x14ac:dyDescent="0.15">
      <c r="A432" s="7"/>
    </row>
    <row r="433" spans="1:1" x14ac:dyDescent="0.15">
      <c r="A433" s="7"/>
    </row>
    <row r="434" spans="1:1" x14ac:dyDescent="0.15">
      <c r="A434" s="7"/>
    </row>
    <row r="435" spans="1:1" x14ac:dyDescent="0.15">
      <c r="A435" s="7"/>
    </row>
    <row r="436" spans="1:1" x14ac:dyDescent="0.15">
      <c r="A436" s="7"/>
    </row>
    <row r="437" spans="1:1" x14ac:dyDescent="0.15">
      <c r="A437" s="7"/>
    </row>
    <row r="438" spans="1:1" x14ac:dyDescent="0.15">
      <c r="A438" s="7"/>
    </row>
    <row r="439" spans="1:1" x14ac:dyDescent="0.15">
      <c r="A439" s="7"/>
    </row>
    <row r="440" spans="1:1" x14ac:dyDescent="0.15">
      <c r="A440" s="7"/>
    </row>
    <row r="441" spans="1:1" x14ac:dyDescent="0.15">
      <c r="A441" s="7"/>
    </row>
    <row r="442" spans="1:1" x14ac:dyDescent="0.15">
      <c r="A442" s="7"/>
    </row>
    <row r="443" spans="1:1" x14ac:dyDescent="0.15">
      <c r="A443" s="7"/>
    </row>
    <row r="444" spans="1:1" x14ac:dyDescent="0.15">
      <c r="A444" s="7"/>
    </row>
    <row r="445" spans="1:1" x14ac:dyDescent="0.15">
      <c r="A445" s="7"/>
    </row>
    <row r="446" spans="1:1" x14ac:dyDescent="0.15">
      <c r="A446" s="7"/>
    </row>
    <row r="447" spans="1:1" x14ac:dyDescent="0.15">
      <c r="A447" s="7"/>
    </row>
    <row r="448" spans="1:1" x14ac:dyDescent="0.15">
      <c r="A448" s="7"/>
    </row>
    <row r="449" spans="1:1" x14ac:dyDescent="0.15">
      <c r="A449" s="7"/>
    </row>
    <row r="450" spans="1:1" x14ac:dyDescent="0.15">
      <c r="A450" s="7"/>
    </row>
    <row r="451" spans="1:1" x14ac:dyDescent="0.15">
      <c r="A451" s="7"/>
    </row>
    <row r="452" spans="1:1" x14ac:dyDescent="0.15">
      <c r="A452" s="7"/>
    </row>
    <row r="453" spans="1:1" x14ac:dyDescent="0.15">
      <c r="A453" s="7"/>
    </row>
    <row r="454" spans="1:1" x14ac:dyDescent="0.15">
      <c r="A454" s="7"/>
    </row>
    <row r="455" spans="1:1" x14ac:dyDescent="0.15">
      <c r="A455" s="7"/>
    </row>
    <row r="456" spans="1:1" x14ac:dyDescent="0.15">
      <c r="A456" s="7"/>
    </row>
    <row r="457" spans="1:1" x14ac:dyDescent="0.15">
      <c r="A457" s="7"/>
    </row>
    <row r="458" spans="1:1" x14ac:dyDescent="0.15">
      <c r="A458" s="7"/>
    </row>
    <row r="459" spans="1:1" x14ac:dyDescent="0.15">
      <c r="A459" s="7"/>
    </row>
    <row r="460" spans="1:1" x14ac:dyDescent="0.15">
      <c r="A460" s="7"/>
    </row>
    <row r="461" spans="1:1" x14ac:dyDescent="0.15">
      <c r="A461" s="7"/>
    </row>
    <row r="462" spans="1:1" x14ac:dyDescent="0.15">
      <c r="A462" s="7"/>
    </row>
    <row r="463" spans="1:1" x14ac:dyDescent="0.15">
      <c r="A463" s="7"/>
    </row>
    <row r="464" spans="1:1" x14ac:dyDescent="0.15">
      <c r="A464" s="7"/>
    </row>
    <row r="465" spans="1:1" x14ac:dyDescent="0.15">
      <c r="A465" s="7"/>
    </row>
    <row r="466" spans="1:1" x14ac:dyDescent="0.15">
      <c r="A466" s="7"/>
    </row>
    <row r="467" spans="1:1" x14ac:dyDescent="0.15">
      <c r="A467" s="7"/>
    </row>
    <row r="468" spans="1:1" x14ac:dyDescent="0.15">
      <c r="A468" s="7"/>
    </row>
    <row r="469" spans="1:1" x14ac:dyDescent="0.15">
      <c r="A469" s="7"/>
    </row>
    <row r="470" spans="1:1" x14ac:dyDescent="0.15">
      <c r="A470" s="7"/>
    </row>
    <row r="471" spans="1:1" x14ac:dyDescent="0.15">
      <c r="A471" s="7"/>
    </row>
    <row r="472" spans="1:1" x14ac:dyDescent="0.15">
      <c r="A472" s="7"/>
    </row>
    <row r="473" spans="1:1" x14ac:dyDescent="0.15">
      <c r="A473" s="7"/>
    </row>
    <row r="474" spans="1:1" x14ac:dyDescent="0.15">
      <c r="A474" s="7"/>
    </row>
    <row r="475" spans="1:1" x14ac:dyDescent="0.15">
      <c r="A475" s="7"/>
    </row>
    <row r="476" spans="1:1" x14ac:dyDescent="0.15">
      <c r="A476" s="7"/>
    </row>
    <row r="477" spans="1:1" x14ac:dyDescent="0.15">
      <c r="A477" s="7"/>
    </row>
    <row r="478" spans="1:1" x14ac:dyDescent="0.15">
      <c r="A478" s="7"/>
    </row>
    <row r="479" spans="1:1" x14ac:dyDescent="0.15">
      <c r="A479" s="7"/>
    </row>
    <row r="480" spans="1:1" x14ac:dyDescent="0.15">
      <c r="A480" s="7"/>
    </row>
    <row r="481" spans="1:1" x14ac:dyDescent="0.15">
      <c r="A481" s="7"/>
    </row>
    <row r="482" spans="1:1" x14ac:dyDescent="0.15">
      <c r="A482" s="7"/>
    </row>
    <row r="483" spans="1:1" x14ac:dyDescent="0.15">
      <c r="A483" s="7"/>
    </row>
    <row r="484" spans="1:1" x14ac:dyDescent="0.15">
      <c r="A484" s="7"/>
    </row>
    <row r="485" spans="1:1" x14ac:dyDescent="0.15">
      <c r="A485" s="7"/>
    </row>
    <row r="486" spans="1:1" x14ac:dyDescent="0.15">
      <c r="A486" s="7"/>
    </row>
    <row r="487" spans="1:1" x14ac:dyDescent="0.15">
      <c r="A487" s="7"/>
    </row>
    <row r="488" spans="1:1" x14ac:dyDescent="0.15">
      <c r="A488" s="7"/>
    </row>
    <row r="489" spans="1:1" x14ac:dyDescent="0.15">
      <c r="A489" s="7"/>
    </row>
    <row r="490" spans="1:1" x14ac:dyDescent="0.15">
      <c r="A490" s="7"/>
    </row>
    <row r="491" spans="1:1" x14ac:dyDescent="0.15">
      <c r="A491" s="7"/>
    </row>
    <row r="492" spans="1:1" x14ac:dyDescent="0.15">
      <c r="A492" s="7"/>
    </row>
    <row r="493" spans="1:1" x14ac:dyDescent="0.15">
      <c r="A493" s="7"/>
    </row>
    <row r="494" spans="1:1" x14ac:dyDescent="0.15">
      <c r="A494" s="7"/>
    </row>
    <row r="495" spans="1:1" x14ac:dyDescent="0.15">
      <c r="A495" s="7"/>
    </row>
    <row r="496" spans="1:1" x14ac:dyDescent="0.15">
      <c r="A496" s="7"/>
    </row>
    <row r="497" spans="1:1" x14ac:dyDescent="0.15">
      <c r="A497" s="7"/>
    </row>
    <row r="498" spans="1:1" x14ac:dyDescent="0.15">
      <c r="A498" s="7"/>
    </row>
    <row r="499" spans="1:1" x14ac:dyDescent="0.15">
      <c r="A499" s="7"/>
    </row>
    <row r="500" spans="1:1" x14ac:dyDescent="0.15">
      <c r="A500" s="7"/>
    </row>
    <row r="501" spans="1:1" x14ac:dyDescent="0.15">
      <c r="A501" s="7"/>
    </row>
    <row r="502" spans="1:1" x14ac:dyDescent="0.15">
      <c r="A502" s="7"/>
    </row>
    <row r="503" spans="1:1" x14ac:dyDescent="0.15">
      <c r="A503" s="7"/>
    </row>
    <row r="504" spans="1:1" x14ac:dyDescent="0.15">
      <c r="A504" s="7"/>
    </row>
    <row r="505" spans="1:1" x14ac:dyDescent="0.15">
      <c r="A505" s="7"/>
    </row>
    <row r="506" spans="1:1" x14ac:dyDescent="0.15">
      <c r="A506" s="7"/>
    </row>
    <row r="507" spans="1:1" x14ac:dyDescent="0.15">
      <c r="A507" s="7"/>
    </row>
    <row r="508" spans="1:1" x14ac:dyDescent="0.15">
      <c r="A508" s="7"/>
    </row>
    <row r="509" spans="1:1" x14ac:dyDescent="0.15">
      <c r="A509" s="7"/>
    </row>
    <row r="510" spans="1:1" x14ac:dyDescent="0.15">
      <c r="A510" s="7"/>
    </row>
    <row r="511" spans="1:1" x14ac:dyDescent="0.15">
      <c r="A511" s="7"/>
    </row>
    <row r="512" spans="1:1" x14ac:dyDescent="0.15">
      <c r="A512" s="7"/>
    </row>
    <row r="513" spans="1:1" x14ac:dyDescent="0.15">
      <c r="A513" s="7"/>
    </row>
    <row r="514" spans="1:1" x14ac:dyDescent="0.15">
      <c r="A514" s="7"/>
    </row>
    <row r="515" spans="1:1" x14ac:dyDescent="0.15">
      <c r="A515" s="7"/>
    </row>
    <row r="516" spans="1:1" x14ac:dyDescent="0.15">
      <c r="A516" s="7"/>
    </row>
    <row r="517" spans="1:1" x14ac:dyDescent="0.15">
      <c r="A517" s="7"/>
    </row>
    <row r="518" spans="1:1" x14ac:dyDescent="0.15">
      <c r="A518" s="7"/>
    </row>
    <row r="519" spans="1:1" x14ac:dyDescent="0.15">
      <c r="A519" s="7"/>
    </row>
    <row r="520" spans="1:1" x14ac:dyDescent="0.15">
      <c r="A520" s="7"/>
    </row>
    <row r="521" spans="1:1" x14ac:dyDescent="0.15">
      <c r="A521" s="7"/>
    </row>
    <row r="522" spans="1:1" x14ac:dyDescent="0.15">
      <c r="A522" s="7"/>
    </row>
    <row r="523" spans="1:1" x14ac:dyDescent="0.15">
      <c r="A523" s="7"/>
    </row>
    <row r="524" spans="1:1" x14ac:dyDescent="0.15">
      <c r="A524" s="7"/>
    </row>
    <row r="525" spans="1:1" x14ac:dyDescent="0.15">
      <c r="A525" s="7"/>
    </row>
    <row r="526" spans="1:1" x14ac:dyDescent="0.15">
      <c r="A526" s="7"/>
    </row>
    <row r="527" spans="1:1" x14ac:dyDescent="0.15">
      <c r="A527" s="7"/>
    </row>
    <row r="528" spans="1:1" x14ac:dyDescent="0.15">
      <c r="A528" s="7"/>
    </row>
    <row r="529" spans="1:1" x14ac:dyDescent="0.15">
      <c r="A529" s="7"/>
    </row>
    <row r="530" spans="1:1" x14ac:dyDescent="0.15">
      <c r="A530" s="7"/>
    </row>
    <row r="531" spans="1:1" x14ac:dyDescent="0.15">
      <c r="A531" s="7"/>
    </row>
    <row r="532" spans="1:1" x14ac:dyDescent="0.15">
      <c r="A532" s="7"/>
    </row>
    <row r="533" spans="1:1" x14ac:dyDescent="0.15">
      <c r="A533" s="7"/>
    </row>
    <row r="534" spans="1:1" x14ac:dyDescent="0.15">
      <c r="A534" s="7"/>
    </row>
    <row r="535" spans="1:1" x14ac:dyDescent="0.15">
      <c r="A535" s="7"/>
    </row>
    <row r="536" spans="1:1" x14ac:dyDescent="0.15">
      <c r="A536" s="7"/>
    </row>
    <row r="537" spans="1:1" x14ac:dyDescent="0.15">
      <c r="A537" s="7"/>
    </row>
    <row r="538" spans="1:1" x14ac:dyDescent="0.15">
      <c r="A538" s="7"/>
    </row>
    <row r="539" spans="1:1" x14ac:dyDescent="0.15">
      <c r="A539" s="7"/>
    </row>
    <row r="540" spans="1:1" x14ac:dyDescent="0.15">
      <c r="A540" s="7"/>
    </row>
    <row r="541" spans="1:1" x14ac:dyDescent="0.15">
      <c r="A541" s="7"/>
    </row>
    <row r="542" spans="1:1" x14ac:dyDescent="0.15">
      <c r="A542" s="7"/>
    </row>
    <row r="543" spans="1:1" x14ac:dyDescent="0.15">
      <c r="A543" s="7"/>
    </row>
    <row r="544" spans="1:1" x14ac:dyDescent="0.15">
      <c r="A544" s="7"/>
    </row>
    <row r="545" spans="1:1" x14ac:dyDescent="0.15">
      <c r="A545" s="7"/>
    </row>
    <row r="546" spans="1:1" x14ac:dyDescent="0.15">
      <c r="A546" s="7"/>
    </row>
    <row r="547" spans="1:1" x14ac:dyDescent="0.15">
      <c r="A547" s="7"/>
    </row>
    <row r="548" spans="1:1" x14ac:dyDescent="0.15">
      <c r="A548" s="7"/>
    </row>
    <row r="549" spans="1:1" x14ac:dyDescent="0.15">
      <c r="A549" s="7"/>
    </row>
    <row r="550" spans="1:1" x14ac:dyDescent="0.15">
      <c r="A550" s="7"/>
    </row>
    <row r="551" spans="1:1" x14ac:dyDescent="0.15">
      <c r="A551" s="7"/>
    </row>
    <row r="552" spans="1:1" x14ac:dyDescent="0.15">
      <c r="A552" s="7"/>
    </row>
    <row r="553" spans="1:1" x14ac:dyDescent="0.15">
      <c r="A553" s="7"/>
    </row>
    <row r="554" spans="1:1" x14ac:dyDescent="0.15">
      <c r="A554" s="7"/>
    </row>
    <row r="555" spans="1:1" x14ac:dyDescent="0.15">
      <c r="A555" s="7"/>
    </row>
    <row r="556" spans="1:1" x14ac:dyDescent="0.15">
      <c r="A556" s="7"/>
    </row>
    <row r="557" spans="1:1" x14ac:dyDescent="0.15">
      <c r="A557" s="7"/>
    </row>
    <row r="558" spans="1:1" x14ac:dyDescent="0.15">
      <c r="A558" s="7"/>
    </row>
    <row r="559" spans="1:1" x14ac:dyDescent="0.15">
      <c r="A559" s="7"/>
    </row>
    <row r="560" spans="1:1" x14ac:dyDescent="0.15">
      <c r="A560" s="7"/>
    </row>
    <row r="561" spans="1:1" x14ac:dyDescent="0.15">
      <c r="A561" s="7"/>
    </row>
    <row r="562" spans="1:1" x14ac:dyDescent="0.15">
      <c r="A562" s="7"/>
    </row>
    <row r="563" spans="1:1" x14ac:dyDescent="0.15">
      <c r="A563" s="7"/>
    </row>
    <row r="564" spans="1:1" x14ac:dyDescent="0.15">
      <c r="A564" s="7"/>
    </row>
    <row r="565" spans="1:1" x14ac:dyDescent="0.15">
      <c r="A565" s="7"/>
    </row>
    <row r="566" spans="1:1" x14ac:dyDescent="0.15">
      <c r="A566" s="7"/>
    </row>
    <row r="567" spans="1:1" x14ac:dyDescent="0.15">
      <c r="A567" s="7"/>
    </row>
    <row r="568" spans="1:1" x14ac:dyDescent="0.15">
      <c r="A568" s="7"/>
    </row>
    <row r="569" spans="1:1" x14ac:dyDescent="0.15">
      <c r="A569" s="7"/>
    </row>
    <row r="570" spans="1:1" x14ac:dyDescent="0.15">
      <c r="A570" s="7"/>
    </row>
    <row r="571" spans="1:1" x14ac:dyDescent="0.15">
      <c r="A571" s="7"/>
    </row>
    <row r="572" spans="1:1" x14ac:dyDescent="0.15">
      <c r="A572" s="7"/>
    </row>
    <row r="573" spans="1:1" x14ac:dyDescent="0.15">
      <c r="A573" s="7"/>
    </row>
    <row r="574" spans="1:1" x14ac:dyDescent="0.15">
      <c r="A574" s="7"/>
    </row>
    <row r="575" spans="1:1" x14ac:dyDescent="0.15">
      <c r="A575" s="7"/>
    </row>
    <row r="576" spans="1:1" x14ac:dyDescent="0.15">
      <c r="A576" s="7"/>
    </row>
    <row r="577" spans="1:1" x14ac:dyDescent="0.15">
      <c r="A577" s="7"/>
    </row>
    <row r="578" spans="1:1" x14ac:dyDescent="0.15">
      <c r="A578" s="7"/>
    </row>
    <row r="579" spans="1:1" x14ac:dyDescent="0.15">
      <c r="A579" s="7"/>
    </row>
    <row r="580" spans="1:1" x14ac:dyDescent="0.15">
      <c r="A580" s="7"/>
    </row>
    <row r="581" spans="1:1" x14ac:dyDescent="0.15">
      <c r="A581" s="7"/>
    </row>
    <row r="582" spans="1:1" x14ac:dyDescent="0.15">
      <c r="A582" s="7"/>
    </row>
    <row r="583" spans="1:1" x14ac:dyDescent="0.15">
      <c r="A583" s="7"/>
    </row>
    <row r="584" spans="1:1" x14ac:dyDescent="0.15">
      <c r="A584" s="7"/>
    </row>
    <row r="585" spans="1:1" x14ac:dyDescent="0.15">
      <c r="A585" s="7"/>
    </row>
    <row r="586" spans="1:1" x14ac:dyDescent="0.15">
      <c r="A586" s="7"/>
    </row>
    <row r="587" spans="1:1" x14ac:dyDescent="0.15">
      <c r="A587" s="7"/>
    </row>
    <row r="588" spans="1:1" x14ac:dyDescent="0.15">
      <c r="A588" s="7"/>
    </row>
    <row r="589" spans="1:1" x14ac:dyDescent="0.15">
      <c r="A589" s="7"/>
    </row>
    <row r="590" spans="1:1" x14ac:dyDescent="0.15">
      <c r="A590" s="7"/>
    </row>
    <row r="591" spans="1:1" x14ac:dyDescent="0.15">
      <c r="A591" s="7"/>
    </row>
    <row r="592" spans="1:1" x14ac:dyDescent="0.15">
      <c r="A592" s="7"/>
    </row>
    <row r="593" spans="1:1" x14ac:dyDescent="0.15">
      <c r="A593" s="7"/>
    </row>
    <row r="594" spans="1:1" x14ac:dyDescent="0.15">
      <c r="A594" s="7"/>
    </row>
    <row r="595" spans="1:1" x14ac:dyDescent="0.15">
      <c r="A595" s="7"/>
    </row>
    <row r="596" spans="1:1" x14ac:dyDescent="0.15">
      <c r="A596" s="7"/>
    </row>
    <row r="597" spans="1:1" x14ac:dyDescent="0.15">
      <c r="A597" s="7"/>
    </row>
    <row r="598" spans="1:1" x14ac:dyDescent="0.15">
      <c r="A598" s="7"/>
    </row>
    <row r="599" spans="1:1" x14ac:dyDescent="0.15">
      <c r="A599" s="7"/>
    </row>
    <row r="600" spans="1:1" x14ac:dyDescent="0.15">
      <c r="A600" s="7"/>
    </row>
    <row r="601" spans="1:1" x14ac:dyDescent="0.15">
      <c r="A601" s="7"/>
    </row>
    <row r="602" spans="1:1" x14ac:dyDescent="0.15">
      <c r="A602" s="7"/>
    </row>
    <row r="603" spans="1:1" x14ac:dyDescent="0.15">
      <c r="A603" s="7"/>
    </row>
    <row r="604" spans="1:1" x14ac:dyDescent="0.15">
      <c r="A604" s="7"/>
    </row>
    <row r="605" spans="1:1" x14ac:dyDescent="0.15">
      <c r="A605" s="7"/>
    </row>
    <row r="606" spans="1:1" x14ac:dyDescent="0.15">
      <c r="A606" s="7"/>
    </row>
    <row r="607" spans="1:1" x14ac:dyDescent="0.15">
      <c r="A607" s="7"/>
    </row>
    <row r="608" spans="1:1" x14ac:dyDescent="0.15">
      <c r="A608" s="7"/>
    </row>
    <row r="609" spans="1:1" x14ac:dyDescent="0.15">
      <c r="A609" s="7"/>
    </row>
    <row r="610" spans="1:1" x14ac:dyDescent="0.15">
      <c r="A610" s="7"/>
    </row>
    <row r="611" spans="1:1" x14ac:dyDescent="0.15">
      <c r="A611" s="7"/>
    </row>
    <row r="612" spans="1:1" x14ac:dyDescent="0.15">
      <c r="A612" s="7"/>
    </row>
    <row r="613" spans="1:1" x14ac:dyDescent="0.15">
      <c r="A613" s="7"/>
    </row>
    <row r="614" spans="1:1" x14ac:dyDescent="0.15">
      <c r="A614" s="7"/>
    </row>
    <row r="615" spans="1:1" x14ac:dyDescent="0.15">
      <c r="A615" s="7"/>
    </row>
    <row r="616" spans="1:1" x14ac:dyDescent="0.15">
      <c r="A616" s="7"/>
    </row>
    <row r="617" spans="1:1" x14ac:dyDescent="0.15">
      <c r="A617" s="7"/>
    </row>
    <row r="618" spans="1:1" x14ac:dyDescent="0.15">
      <c r="A618" s="7"/>
    </row>
    <row r="619" spans="1:1" x14ac:dyDescent="0.15">
      <c r="A619" s="7"/>
    </row>
    <row r="620" spans="1:1" x14ac:dyDescent="0.15">
      <c r="A620" s="7"/>
    </row>
    <row r="621" spans="1:1" x14ac:dyDescent="0.15">
      <c r="A621" s="7"/>
    </row>
    <row r="622" spans="1:1" x14ac:dyDescent="0.15">
      <c r="A622" s="7"/>
    </row>
    <row r="623" spans="1:1" x14ac:dyDescent="0.15">
      <c r="A623" s="7"/>
    </row>
    <row r="624" spans="1:1" x14ac:dyDescent="0.15">
      <c r="A624" s="7"/>
    </row>
    <row r="625" spans="1:1" x14ac:dyDescent="0.15">
      <c r="A625" s="7"/>
    </row>
    <row r="626" spans="1:1" x14ac:dyDescent="0.15">
      <c r="A626" s="7"/>
    </row>
    <row r="627" spans="1:1" x14ac:dyDescent="0.15">
      <c r="A627" s="7"/>
    </row>
    <row r="628" spans="1:1" x14ac:dyDescent="0.15">
      <c r="A628" s="7"/>
    </row>
    <row r="629" spans="1:1" x14ac:dyDescent="0.15">
      <c r="A629" s="7"/>
    </row>
    <row r="630" spans="1:1" x14ac:dyDescent="0.15">
      <c r="A630" s="7"/>
    </row>
    <row r="631" spans="1:1" x14ac:dyDescent="0.15">
      <c r="A631" s="7"/>
    </row>
    <row r="632" spans="1:1" x14ac:dyDescent="0.15">
      <c r="A632" s="7"/>
    </row>
    <row r="633" spans="1:1" x14ac:dyDescent="0.15">
      <c r="A633" s="7"/>
    </row>
    <row r="634" spans="1:1" x14ac:dyDescent="0.15">
      <c r="A634" s="7"/>
    </row>
    <row r="635" spans="1:1" x14ac:dyDescent="0.15">
      <c r="A635" s="7"/>
    </row>
    <row r="636" spans="1:1" x14ac:dyDescent="0.15">
      <c r="A636" s="7"/>
    </row>
    <row r="637" spans="1:1" x14ac:dyDescent="0.15">
      <c r="A637" s="7"/>
    </row>
    <row r="638" spans="1:1" x14ac:dyDescent="0.15">
      <c r="A638" s="7"/>
    </row>
    <row r="639" spans="1:1" x14ac:dyDescent="0.15">
      <c r="A639" s="7"/>
    </row>
    <row r="640" spans="1:1" x14ac:dyDescent="0.15">
      <c r="A640" s="7"/>
    </row>
    <row r="641" spans="1:1" x14ac:dyDescent="0.15">
      <c r="A641" s="7"/>
    </row>
    <row r="642" spans="1:1" x14ac:dyDescent="0.15">
      <c r="A642" s="7"/>
    </row>
    <row r="643" spans="1:1" x14ac:dyDescent="0.15">
      <c r="A643" s="7"/>
    </row>
    <row r="644" spans="1:1" x14ac:dyDescent="0.15">
      <c r="A644" s="7"/>
    </row>
    <row r="645" spans="1:1" x14ac:dyDescent="0.15">
      <c r="A645" s="7"/>
    </row>
    <row r="646" spans="1:1" x14ac:dyDescent="0.15">
      <c r="A646" s="7"/>
    </row>
    <row r="647" spans="1:1" x14ac:dyDescent="0.15">
      <c r="A647" s="7"/>
    </row>
    <row r="648" spans="1:1" x14ac:dyDescent="0.15">
      <c r="A648" s="7"/>
    </row>
    <row r="649" spans="1:1" x14ac:dyDescent="0.15">
      <c r="A649" s="7"/>
    </row>
    <row r="650" spans="1:1" x14ac:dyDescent="0.15">
      <c r="A650" s="7"/>
    </row>
    <row r="651" spans="1:1" x14ac:dyDescent="0.15">
      <c r="A651" s="7"/>
    </row>
    <row r="652" spans="1:1" x14ac:dyDescent="0.15">
      <c r="A652" s="7"/>
    </row>
    <row r="653" spans="1:1" x14ac:dyDescent="0.15">
      <c r="A653" s="7"/>
    </row>
    <row r="654" spans="1:1" x14ac:dyDescent="0.15">
      <c r="A654" s="7"/>
    </row>
    <row r="655" spans="1:1" x14ac:dyDescent="0.15">
      <c r="A655" s="7"/>
    </row>
    <row r="656" spans="1:1" x14ac:dyDescent="0.15">
      <c r="A656" s="7"/>
    </row>
    <row r="657" spans="1:1" x14ac:dyDescent="0.15">
      <c r="A657" s="7"/>
    </row>
    <row r="658" spans="1:1" x14ac:dyDescent="0.15">
      <c r="A658" s="7"/>
    </row>
    <row r="659" spans="1:1" x14ac:dyDescent="0.15">
      <c r="A659" s="7"/>
    </row>
    <row r="660" spans="1:1" x14ac:dyDescent="0.15">
      <c r="A660" s="7"/>
    </row>
    <row r="661" spans="1:1" x14ac:dyDescent="0.15">
      <c r="A661" s="7"/>
    </row>
    <row r="662" spans="1:1" x14ac:dyDescent="0.15">
      <c r="A662" s="7"/>
    </row>
    <row r="663" spans="1:1" x14ac:dyDescent="0.15">
      <c r="A663" s="7"/>
    </row>
    <row r="664" spans="1:1" x14ac:dyDescent="0.15">
      <c r="A664" s="7"/>
    </row>
    <row r="665" spans="1:1" x14ac:dyDescent="0.15">
      <c r="A665" s="7"/>
    </row>
    <row r="666" spans="1:1" x14ac:dyDescent="0.15">
      <c r="A666" s="7"/>
    </row>
    <row r="667" spans="1:1" x14ac:dyDescent="0.15">
      <c r="A667" s="7"/>
    </row>
    <row r="668" spans="1:1" x14ac:dyDescent="0.15">
      <c r="A668" s="7"/>
    </row>
    <row r="669" spans="1:1" x14ac:dyDescent="0.15">
      <c r="A669" s="7"/>
    </row>
    <row r="670" spans="1:1" x14ac:dyDescent="0.15">
      <c r="A670" s="7"/>
    </row>
    <row r="671" spans="1:1" x14ac:dyDescent="0.15">
      <c r="A671" s="7"/>
    </row>
    <row r="672" spans="1:1" x14ac:dyDescent="0.15">
      <c r="A672" s="7"/>
    </row>
    <row r="673" spans="1:1" x14ac:dyDescent="0.15">
      <c r="A673" s="7"/>
    </row>
    <row r="674" spans="1:1" x14ac:dyDescent="0.15">
      <c r="A674" s="7"/>
    </row>
    <row r="675" spans="1:1" x14ac:dyDescent="0.15">
      <c r="A675" s="7"/>
    </row>
    <row r="676" spans="1:1" x14ac:dyDescent="0.15">
      <c r="A676" s="7"/>
    </row>
    <row r="677" spans="1:1" x14ac:dyDescent="0.15">
      <c r="A677" s="7"/>
    </row>
    <row r="678" spans="1:1" x14ac:dyDescent="0.15">
      <c r="A678" s="7"/>
    </row>
    <row r="679" spans="1:1" x14ac:dyDescent="0.15">
      <c r="A679" s="7"/>
    </row>
    <row r="680" spans="1:1" x14ac:dyDescent="0.15">
      <c r="A680" s="7"/>
    </row>
    <row r="681" spans="1:1" x14ac:dyDescent="0.15">
      <c r="A681" s="7"/>
    </row>
    <row r="682" spans="1:1" x14ac:dyDescent="0.15">
      <c r="A682" s="7"/>
    </row>
    <row r="683" spans="1:1" x14ac:dyDescent="0.15">
      <c r="A683" s="7"/>
    </row>
    <row r="684" spans="1:1" x14ac:dyDescent="0.15">
      <c r="A684" s="7"/>
    </row>
    <row r="685" spans="1:1" x14ac:dyDescent="0.15">
      <c r="A685" s="7"/>
    </row>
    <row r="686" spans="1:1" x14ac:dyDescent="0.15">
      <c r="A686" s="7"/>
    </row>
    <row r="687" spans="1:1" x14ac:dyDescent="0.15">
      <c r="A687" s="7"/>
    </row>
    <row r="688" spans="1:1" x14ac:dyDescent="0.15">
      <c r="A688" s="7"/>
    </row>
    <row r="689" spans="1:1" x14ac:dyDescent="0.15">
      <c r="A689" s="7"/>
    </row>
    <row r="690" spans="1:1" x14ac:dyDescent="0.15">
      <c r="A690" s="7"/>
    </row>
    <row r="691" spans="1:1" x14ac:dyDescent="0.15">
      <c r="A691" s="7"/>
    </row>
    <row r="692" spans="1:1" x14ac:dyDescent="0.15">
      <c r="A692" s="7"/>
    </row>
    <row r="693" spans="1:1" x14ac:dyDescent="0.15">
      <c r="A693" s="7"/>
    </row>
    <row r="694" spans="1:1" x14ac:dyDescent="0.15">
      <c r="A694" s="7"/>
    </row>
    <row r="695" spans="1:1" x14ac:dyDescent="0.15">
      <c r="A695" s="7"/>
    </row>
    <row r="696" spans="1:1" x14ac:dyDescent="0.15">
      <c r="A696" s="7"/>
    </row>
    <row r="697" spans="1:1" x14ac:dyDescent="0.15">
      <c r="A697" s="7"/>
    </row>
    <row r="698" spans="1:1" x14ac:dyDescent="0.15">
      <c r="A698" s="7"/>
    </row>
    <row r="699" spans="1:1" x14ac:dyDescent="0.15">
      <c r="A699" s="7"/>
    </row>
    <row r="700" spans="1:1" x14ac:dyDescent="0.15">
      <c r="A700" s="7"/>
    </row>
    <row r="701" spans="1:1" x14ac:dyDescent="0.15">
      <c r="A701" s="7"/>
    </row>
    <row r="702" spans="1:1" x14ac:dyDescent="0.15">
      <c r="A702" s="7"/>
    </row>
    <row r="703" spans="1:1" x14ac:dyDescent="0.15">
      <c r="A703" s="7"/>
    </row>
    <row r="704" spans="1:1" x14ac:dyDescent="0.15">
      <c r="A704" s="7"/>
    </row>
    <row r="705" spans="1:1" x14ac:dyDescent="0.15">
      <c r="A705" s="7"/>
    </row>
    <row r="706" spans="1:1" x14ac:dyDescent="0.15">
      <c r="A706" s="7"/>
    </row>
    <row r="707" spans="1:1" x14ac:dyDescent="0.15">
      <c r="A707" s="7"/>
    </row>
    <row r="708" spans="1:1" x14ac:dyDescent="0.15">
      <c r="A708" s="7"/>
    </row>
    <row r="709" spans="1:1" x14ac:dyDescent="0.15">
      <c r="A709" s="7"/>
    </row>
    <row r="710" spans="1:1" x14ac:dyDescent="0.15">
      <c r="A710" s="7"/>
    </row>
    <row r="711" spans="1:1" x14ac:dyDescent="0.15">
      <c r="A711" s="7"/>
    </row>
    <row r="712" spans="1:1" x14ac:dyDescent="0.15">
      <c r="A712" s="7"/>
    </row>
    <row r="713" spans="1:1" x14ac:dyDescent="0.15">
      <c r="A713" s="7"/>
    </row>
    <row r="714" spans="1:1" x14ac:dyDescent="0.15">
      <c r="A714" s="7"/>
    </row>
    <row r="715" spans="1:1" x14ac:dyDescent="0.15">
      <c r="A715" s="7"/>
    </row>
    <row r="716" spans="1:1" x14ac:dyDescent="0.15">
      <c r="A716" s="7"/>
    </row>
    <row r="717" spans="1:1" x14ac:dyDescent="0.15">
      <c r="A717" s="7"/>
    </row>
    <row r="718" spans="1:1" x14ac:dyDescent="0.15">
      <c r="A718" s="7"/>
    </row>
    <row r="719" spans="1:1" x14ac:dyDescent="0.15">
      <c r="A719" s="7"/>
    </row>
    <row r="720" spans="1:1" x14ac:dyDescent="0.15">
      <c r="A720" s="7"/>
    </row>
    <row r="721" spans="1:1" x14ac:dyDescent="0.15">
      <c r="A721" s="7"/>
    </row>
    <row r="722" spans="1:1" x14ac:dyDescent="0.15">
      <c r="A722" s="7"/>
    </row>
    <row r="723" spans="1:1" x14ac:dyDescent="0.15">
      <c r="A723" s="7"/>
    </row>
    <row r="724" spans="1:1" x14ac:dyDescent="0.15">
      <c r="A724" s="7"/>
    </row>
    <row r="725" spans="1:1" x14ac:dyDescent="0.15">
      <c r="A725" s="7"/>
    </row>
    <row r="726" spans="1:1" x14ac:dyDescent="0.15">
      <c r="A726" s="7"/>
    </row>
    <row r="727" spans="1:1" x14ac:dyDescent="0.15">
      <c r="A727" s="7"/>
    </row>
    <row r="728" spans="1:1" x14ac:dyDescent="0.15">
      <c r="A728" s="7"/>
    </row>
    <row r="729" spans="1:1" x14ac:dyDescent="0.15">
      <c r="A729" s="7"/>
    </row>
    <row r="730" spans="1:1" x14ac:dyDescent="0.15">
      <c r="A730" s="7"/>
    </row>
    <row r="731" spans="1:1" x14ac:dyDescent="0.15">
      <c r="A731" s="7"/>
    </row>
    <row r="732" spans="1:1" x14ac:dyDescent="0.15">
      <c r="A732" s="7"/>
    </row>
    <row r="733" spans="1:1" x14ac:dyDescent="0.15">
      <c r="A733" s="7"/>
    </row>
    <row r="734" spans="1:1" x14ac:dyDescent="0.15">
      <c r="A734" s="7"/>
    </row>
    <row r="735" spans="1:1" x14ac:dyDescent="0.15">
      <c r="A735" s="7"/>
    </row>
    <row r="736" spans="1:1" x14ac:dyDescent="0.15">
      <c r="A736" s="7"/>
    </row>
    <row r="737" spans="1:1" x14ac:dyDescent="0.15">
      <c r="A737" s="7"/>
    </row>
    <row r="738" spans="1:1" x14ac:dyDescent="0.15">
      <c r="A738" s="7"/>
    </row>
    <row r="739" spans="1:1" x14ac:dyDescent="0.15">
      <c r="A739" s="7"/>
    </row>
    <row r="740" spans="1:1" x14ac:dyDescent="0.15">
      <c r="A740" s="7"/>
    </row>
    <row r="741" spans="1:1" x14ac:dyDescent="0.15">
      <c r="A741" s="7"/>
    </row>
    <row r="742" spans="1:1" x14ac:dyDescent="0.15">
      <c r="A742" s="7"/>
    </row>
    <row r="743" spans="1:1" x14ac:dyDescent="0.15">
      <c r="A743" s="7"/>
    </row>
    <row r="744" spans="1:1" x14ac:dyDescent="0.15">
      <c r="A744" s="7"/>
    </row>
    <row r="745" spans="1:1" x14ac:dyDescent="0.15">
      <c r="A745" s="7"/>
    </row>
    <row r="746" spans="1:1" x14ac:dyDescent="0.15">
      <c r="A746" s="7"/>
    </row>
    <row r="747" spans="1:1" x14ac:dyDescent="0.15">
      <c r="A747" s="7"/>
    </row>
    <row r="748" spans="1:1" x14ac:dyDescent="0.15">
      <c r="A748" s="7"/>
    </row>
    <row r="749" spans="1:1" x14ac:dyDescent="0.15">
      <c r="A749" s="7"/>
    </row>
    <row r="750" spans="1:1" x14ac:dyDescent="0.15">
      <c r="A750" s="7"/>
    </row>
    <row r="751" spans="1:1" x14ac:dyDescent="0.15">
      <c r="A751" s="7"/>
    </row>
    <row r="752" spans="1:1" x14ac:dyDescent="0.15">
      <c r="A752" s="7"/>
    </row>
    <row r="753" spans="1:1" x14ac:dyDescent="0.15">
      <c r="A753" s="7"/>
    </row>
    <row r="754" spans="1:1" x14ac:dyDescent="0.15">
      <c r="A754" s="7"/>
    </row>
    <row r="755" spans="1:1" x14ac:dyDescent="0.15">
      <c r="A755" s="7"/>
    </row>
    <row r="756" spans="1:1" x14ac:dyDescent="0.15">
      <c r="A756" s="7"/>
    </row>
    <row r="757" spans="1:1" x14ac:dyDescent="0.15">
      <c r="A757" s="7"/>
    </row>
    <row r="758" spans="1:1" x14ac:dyDescent="0.15">
      <c r="A758" s="7"/>
    </row>
    <row r="759" spans="1:1" x14ac:dyDescent="0.15">
      <c r="A759" s="7"/>
    </row>
    <row r="760" spans="1:1" x14ac:dyDescent="0.15">
      <c r="A760" s="7"/>
    </row>
    <row r="761" spans="1:1" x14ac:dyDescent="0.15">
      <c r="A761" s="7"/>
    </row>
    <row r="762" spans="1:1" x14ac:dyDescent="0.15">
      <c r="A762" s="7"/>
    </row>
    <row r="763" spans="1:1" x14ac:dyDescent="0.15">
      <c r="A763" s="7"/>
    </row>
    <row r="764" spans="1:1" x14ac:dyDescent="0.15">
      <c r="A764" s="7"/>
    </row>
    <row r="765" spans="1:1" x14ac:dyDescent="0.15">
      <c r="A765" s="7"/>
    </row>
    <row r="766" spans="1:1" x14ac:dyDescent="0.15">
      <c r="A766" s="7"/>
    </row>
    <row r="767" spans="1:1" x14ac:dyDescent="0.15">
      <c r="A767" s="7"/>
    </row>
    <row r="768" spans="1:1" x14ac:dyDescent="0.15">
      <c r="A768" s="7"/>
    </row>
    <row r="769" spans="1:1" x14ac:dyDescent="0.15">
      <c r="A769" s="7"/>
    </row>
    <row r="770" spans="1:1" x14ac:dyDescent="0.15">
      <c r="A770" s="7"/>
    </row>
    <row r="771" spans="1:1" x14ac:dyDescent="0.15">
      <c r="A771" s="7"/>
    </row>
    <row r="772" spans="1:1" x14ac:dyDescent="0.15">
      <c r="A772" s="7"/>
    </row>
    <row r="773" spans="1:1" x14ac:dyDescent="0.15">
      <c r="A773" s="7"/>
    </row>
    <row r="774" spans="1:1" x14ac:dyDescent="0.15">
      <c r="A774" s="7"/>
    </row>
    <row r="775" spans="1:1" x14ac:dyDescent="0.15">
      <c r="A775" s="7"/>
    </row>
    <row r="776" spans="1:1" x14ac:dyDescent="0.15">
      <c r="A776" s="7"/>
    </row>
    <row r="777" spans="1:1" x14ac:dyDescent="0.15">
      <c r="A777" s="7"/>
    </row>
    <row r="778" spans="1:1" x14ac:dyDescent="0.15">
      <c r="A778" s="7"/>
    </row>
    <row r="779" spans="1:1" x14ac:dyDescent="0.15">
      <c r="A779" s="7"/>
    </row>
    <row r="780" spans="1:1" x14ac:dyDescent="0.15">
      <c r="A780" s="7"/>
    </row>
    <row r="781" spans="1:1" x14ac:dyDescent="0.15">
      <c r="A781" s="7"/>
    </row>
    <row r="782" spans="1:1" x14ac:dyDescent="0.15">
      <c r="A782" s="7"/>
    </row>
    <row r="783" spans="1:1" x14ac:dyDescent="0.15">
      <c r="A783" s="7"/>
    </row>
    <row r="784" spans="1:1" x14ac:dyDescent="0.15">
      <c r="A784" s="7"/>
    </row>
    <row r="785" spans="1:1" x14ac:dyDescent="0.15">
      <c r="A785" s="7"/>
    </row>
    <row r="786" spans="1:1" x14ac:dyDescent="0.15">
      <c r="A786" s="7"/>
    </row>
    <row r="787" spans="1:1" x14ac:dyDescent="0.15">
      <c r="A787" s="7"/>
    </row>
    <row r="788" spans="1:1" x14ac:dyDescent="0.15">
      <c r="A788" s="7"/>
    </row>
    <row r="789" spans="1:1" x14ac:dyDescent="0.15">
      <c r="A789" s="7"/>
    </row>
    <row r="790" spans="1:1" x14ac:dyDescent="0.15">
      <c r="A790" s="7"/>
    </row>
    <row r="791" spans="1:1" x14ac:dyDescent="0.15">
      <c r="A791" s="7"/>
    </row>
    <row r="792" spans="1:1" x14ac:dyDescent="0.15">
      <c r="A792" s="7"/>
    </row>
    <row r="793" spans="1:1" x14ac:dyDescent="0.15">
      <c r="A793" s="7"/>
    </row>
    <row r="794" spans="1:1" x14ac:dyDescent="0.15">
      <c r="A794" s="7"/>
    </row>
    <row r="795" spans="1:1" x14ac:dyDescent="0.15">
      <c r="A795" s="7"/>
    </row>
    <row r="796" spans="1:1" x14ac:dyDescent="0.15">
      <c r="A796" s="7"/>
    </row>
    <row r="797" spans="1:1" x14ac:dyDescent="0.15">
      <c r="A797" s="7"/>
    </row>
    <row r="798" spans="1:1" x14ac:dyDescent="0.15">
      <c r="A798" s="7"/>
    </row>
    <row r="799" spans="1:1" x14ac:dyDescent="0.15">
      <c r="A799" s="7"/>
    </row>
    <row r="800" spans="1:1" x14ac:dyDescent="0.15">
      <c r="A800" s="7"/>
    </row>
    <row r="801" spans="1:1" x14ac:dyDescent="0.15">
      <c r="A801" s="7"/>
    </row>
    <row r="802" spans="1:1" x14ac:dyDescent="0.15">
      <c r="A802" s="7"/>
    </row>
    <row r="803" spans="1:1" x14ac:dyDescent="0.15">
      <c r="A803" s="7"/>
    </row>
    <row r="804" spans="1:1" x14ac:dyDescent="0.15">
      <c r="A804" s="7"/>
    </row>
    <row r="805" spans="1:1" x14ac:dyDescent="0.15">
      <c r="A805" s="7"/>
    </row>
    <row r="806" spans="1:1" x14ac:dyDescent="0.15">
      <c r="A806" s="7"/>
    </row>
    <row r="807" spans="1:1" x14ac:dyDescent="0.15">
      <c r="A807" s="7"/>
    </row>
    <row r="808" spans="1:1" x14ac:dyDescent="0.15">
      <c r="A808" s="7"/>
    </row>
    <row r="809" spans="1:1" x14ac:dyDescent="0.15">
      <c r="A809" s="7"/>
    </row>
    <row r="810" spans="1:1" x14ac:dyDescent="0.15">
      <c r="A810" s="7"/>
    </row>
    <row r="811" spans="1:1" x14ac:dyDescent="0.15">
      <c r="A811" s="7"/>
    </row>
    <row r="812" spans="1:1" x14ac:dyDescent="0.15">
      <c r="A812" s="7"/>
    </row>
    <row r="813" spans="1:1" x14ac:dyDescent="0.15">
      <c r="A813" s="7"/>
    </row>
    <row r="814" spans="1:1" x14ac:dyDescent="0.15">
      <c r="A814" s="7"/>
    </row>
    <row r="815" spans="1:1" x14ac:dyDescent="0.15">
      <c r="A815" s="7"/>
    </row>
    <row r="816" spans="1:1" x14ac:dyDescent="0.15">
      <c r="A816" s="7"/>
    </row>
    <row r="817" spans="1:1" x14ac:dyDescent="0.15">
      <c r="A817" s="7"/>
    </row>
    <row r="818" spans="1:1" x14ac:dyDescent="0.15">
      <c r="A818" s="7"/>
    </row>
    <row r="819" spans="1:1" x14ac:dyDescent="0.15">
      <c r="A819" s="7"/>
    </row>
    <row r="820" spans="1:1" x14ac:dyDescent="0.15">
      <c r="A820" s="7"/>
    </row>
    <row r="821" spans="1:1" x14ac:dyDescent="0.15">
      <c r="A821" s="7"/>
    </row>
    <row r="822" spans="1:1" x14ac:dyDescent="0.15">
      <c r="A822" s="7"/>
    </row>
    <row r="823" spans="1:1" x14ac:dyDescent="0.15">
      <c r="A823" s="7"/>
    </row>
    <row r="824" spans="1:1" x14ac:dyDescent="0.15">
      <c r="A824" s="7"/>
    </row>
    <row r="825" spans="1:1" x14ac:dyDescent="0.15">
      <c r="A825" s="7"/>
    </row>
    <row r="826" spans="1:1" x14ac:dyDescent="0.15">
      <c r="A826" s="7"/>
    </row>
    <row r="827" spans="1:1" x14ac:dyDescent="0.15">
      <c r="A827" s="7"/>
    </row>
    <row r="828" spans="1:1" x14ac:dyDescent="0.15">
      <c r="A828" s="7"/>
    </row>
    <row r="829" spans="1:1" x14ac:dyDescent="0.15">
      <c r="A829" s="7"/>
    </row>
    <row r="830" spans="1:1" x14ac:dyDescent="0.15">
      <c r="A830" s="7"/>
    </row>
    <row r="831" spans="1:1" x14ac:dyDescent="0.15">
      <c r="A831" s="7"/>
    </row>
    <row r="832" spans="1:1" x14ac:dyDescent="0.15">
      <c r="A832" s="7"/>
    </row>
    <row r="833" spans="1:1" x14ac:dyDescent="0.15">
      <c r="A833" s="7"/>
    </row>
    <row r="834" spans="1:1" x14ac:dyDescent="0.15">
      <c r="A834" s="7"/>
    </row>
    <row r="835" spans="1:1" x14ac:dyDescent="0.15">
      <c r="A835" s="7"/>
    </row>
    <row r="836" spans="1:1" x14ac:dyDescent="0.15">
      <c r="A836" s="7"/>
    </row>
    <row r="837" spans="1:1" x14ac:dyDescent="0.15">
      <c r="A837" s="7"/>
    </row>
    <row r="838" spans="1:1" x14ac:dyDescent="0.15">
      <c r="A838" s="7"/>
    </row>
    <row r="839" spans="1:1" x14ac:dyDescent="0.15">
      <c r="A839" s="7"/>
    </row>
    <row r="840" spans="1:1" x14ac:dyDescent="0.15">
      <c r="A840" s="7"/>
    </row>
    <row r="841" spans="1:1" x14ac:dyDescent="0.15">
      <c r="A841" s="7"/>
    </row>
    <row r="842" spans="1:1" x14ac:dyDescent="0.15">
      <c r="A842" s="7"/>
    </row>
    <row r="843" spans="1:1" x14ac:dyDescent="0.15">
      <c r="A843" s="7"/>
    </row>
    <row r="844" spans="1:1" x14ac:dyDescent="0.15">
      <c r="A844" s="7"/>
    </row>
    <row r="845" spans="1:1" x14ac:dyDescent="0.15">
      <c r="A845" s="7"/>
    </row>
    <row r="846" spans="1:1" x14ac:dyDescent="0.15">
      <c r="A846" s="7"/>
    </row>
    <row r="847" spans="1:1" x14ac:dyDescent="0.15">
      <c r="A847" s="7"/>
    </row>
    <row r="848" spans="1:1" x14ac:dyDescent="0.15">
      <c r="A848" s="7"/>
    </row>
    <row r="849" spans="1:1" x14ac:dyDescent="0.15">
      <c r="A849" s="7"/>
    </row>
    <row r="850" spans="1:1" x14ac:dyDescent="0.15">
      <c r="A850" s="7"/>
    </row>
    <row r="851" spans="1:1" x14ac:dyDescent="0.15">
      <c r="A851" s="7"/>
    </row>
    <row r="852" spans="1:1" x14ac:dyDescent="0.15">
      <c r="A852" s="7"/>
    </row>
    <row r="853" spans="1:1" x14ac:dyDescent="0.15">
      <c r="A853" s="7"/>
    </row>
    <row r="854" spans="1:1" x14ac:dyDescent="0.15">
      <c r="A854" s="7"/>
    </row>
    <row r="855" spans="1:1" x14ac:dyDescent="0.15">
      <c r="A855" s="7"/>
    </row>
    <row r="856" spans="1:1" x14ac:dyDescent="0.15">
      <c r="A856" s="7"/>
    </row>
    <row r="857" spans="1:1" x14ac:dyDescent="0.15">
      <c r="A857" s="7"/>
    </row>
    <row r="858" spans="1:1" x14ac:dyDescent="0.15">
      <c r="A858" s="7"/>
    </row>
    <row r="859" spans="1:1" x14ac:dyDescent="0.15">
      <c r="A859" s="7"/>
    </row>
    <row r="860" spans="1:1" x14ac:dyDescent="0.15">
      <c r="A860" s="7"/>
    </row>
    <row r="861" spans="1:1" x14ac:dyDescent="0.15">
      <c r="A861" s="7"/>
    </row>
    <row r="862" spans="1:1" x14ac:dyDescent="0.15">
      <c r="A862" s="7"/>
    </row>
    <row r="863" spans="1:1" x14ac:dyDescent="0.15">
      <c r="A863" s="7"/>
    </row>
    <row r="864" spans="1:1" x14ac:dyDescent="0.15">
      <c r="A864" s="7"/>
    </row>
    <row r="865" spans="1:1" x14ac:dyDescent="0.15">
      <c r="A865" s="7"/>
    </row>
    <row r="866" spans="1:1" x14ac:dyDescent="0.15">
      <c r="A866" s="7"/>
    </row>
    <row r="867" spans="1:1" x14ac:dyDescent="0.15">
      <c r="A867" s="7"/>
    </row>
    <row r="868" spans="1:1" x14ac:dyDescent="0.15">
      <c r="A868" s="7"/>
    </row>
    <row r="869" spans="1:1" x14ac:dyDescent="0.15">
      <c r="A869" s="7"/>
    </row>
    <row r="870" spans="1:1" x14ac:dyDescent="0.15">
      <c r="A870" s="7"/>
    </row>
    <row r="871" spans="1:1" x14ac:dyDescent="0.15">
      <c r="A871" s="7"/>
    </row>
    <row r="872" spans="1:1" x14ac:dyDescent="0.15">
      <c r="A872" s="7"/>
    </row>
    <row r="873" spans="1:1" x14ac:dyDescent="0.15">
      <c r="A873" s="7"/>
    </row>
    <row r="874" spans="1:1" x14ac:dyDescent="0.15">
      <c r="A874" s="7"/>
    </row>
    <row r="875" spans="1:1" x14ac:dyDescent="0.15">
      <c r="A875" s="7"/>
    </row>
    <row r="876" spans="1:1" x14ac:dyDescent="0.15">
      <c r="A876" s="7"/>
    </row>
    <row r="877" spans="1:1" x14ac:dyDescent="0.15">
      <c r="A877" s="7"/>
    </row>
    <row r="878" spans="1:1" x14ac:dyDescent="0.15">
      <c r="A878" s="7"/>
    </row>
    <row r="879" spans="1:1" x14ac:dyDescent="0.15">
      <c r="A879" s="7"/>
    </row>
    <row r="880" spans="1:1" x14ac:dyDescent="0.15">
      <c r="A880" s="7"/>
    </row>
    <row r="881" spans="1:1" x14ac:dyDescent="0.15">
      <c r="A881" s="7"/>
    </row>
    <row r="882" spans="1:1" x14ac:dyDescent="0.15">
      <c r="A882" s="7"/>
    </row>
    <row r="883" spans="1:1" x14ac:dyDescent="0.15">
      <c r="A883" s="7"/>
    </row>
    <row r="884" spans="1:1" x14ac:dyDescent="0.15">
      <c r="A884" s="7"/>
    </row>
    <row r="885" spans="1:1" x14ac:dyDescent="0.15">
      <c r="A885" s="7"/>
    </row>
    <row r="886" spans="1:1" x14ac:dyDescent="0.15">
      <c r="A886" s="7"/>
    </row>
    <row r="887" spans="1:1" x14ac:dyDescent="0.15">
      <c r="A887" s="7"/>
    </row>
    <row r="888" spans="1:1" x14ac:dyDescent="0.15">
      <c r="A888" s="7"/>
    </row>
    <row r="889" spans="1:1" x14ac:dyDescent="0.15">
      <c r="A889" s="7"/>
    </row>
    <row r="890" spans="1:1" x14ac:dyDescent="0.15">
      <c r="A890" s="7"/>
    </row>
    <row r="891" spans="1:1" x14ac:dyDescent="0.15">
      <c r="A891" s="7"/>
    </row>
    <row r="892" spans="1:1" x14ac:dyDescent="0.15">
      <c r="A892" s="7"/>
    </row>
    <row r="893" spans="1:1" x14ac:dyDescent="0.15">
      <c r="A893" s="7"/>
    </row>
    <row r="894" spans="1:1" x14ac:dyDescent="0.15">
      <c r="A894" s="7"/>
    </row>
    <row r="895" spans="1:1" x14ac:dyDescent="0.15">
      <c r="A895" s="7"/>
    </row>
    <row r="896" spans="1:1" x14ac:dyDescent="0.15">
      <c r="A896" s="7"/>
    </row>
    <row r="897" spans="1:1" x14ac:dyDescent="0.15">
      <c r="A897" s="7"/>
    </row>
    <row r="898" spans="1:1" x14ac:dyDescent="0.15">
      <c r="A898" s="7"/>
    </row>
    <row r="899" spans="1:1" x14ac:dyDescent="0.15">
      <c r="A899" s="7"/>
    </row>
    <row r="900" spans="1:1" x14ac:dyDescent="0.15">
      <c r="A900" s="7"/>
    </row>
    <row r="901" spans="1:1" x14ac:dyDescent="0.15">
      <c r="A901" s="7"/>
    </row>
    <row r="902" spans="1:1" x14ac:dyDescent="0.15">
      <c r="A902" s="7"/>
    </row>
    <row r="903" spans="1:1" x14ac:dyDescent="0.15">
      <c r="A903" s="7"/>
    </row>
    <row r="904" spans="1:1" x14ac:dyDescent="0.15">
      <c r="A904" s="7"/>
    </row>
    <row r="905" spans="1:1" x14ac:dyDescent="0.15">
      <c r="A905" s="7"/>
    </row>
    <row r="906" spans="1:1" x14ac:dyDescent="0.15">
      <c r="A906" s="7"/>
    </row>
    <row r="907" spans="1:1" x14ac:dyDescent="0.15">
      <c r="A907" s="7"/>
    </row>
    <row r="908" spans="1:1" x14ac:dyDescent="0.15">
      <c r="A908" s="7"/>
    </row>
    <row r="909" spans="1:1" x14ac:dyDescent="0.15">
      <c r="A909" s="7"/>
    </row>
    <row r="910" spans="1:1" x14ac:dyDescent="0.15">
      <c r="A910" s="7"/>
    </row>
    <row r="911" spans="1:1" x14ac:dyDescent="0.15">
      <c r="A911" s="7"/>
    </row>
    <row r="912" spans="1:1" x14ac:dyDescent="0.15">
      <c r="A912" s="7"/>
    </row>
    <row r="913" spans="1:1" x14ac:dyDescent="0.15">
      <c r="A913" s="7"/>
    </row>
    <row r="914" spans="1:1" x14ac:dyDescent="0.15">
      <c r="A914" s="7"/>
    </row>
    <row r="915" spans="1:1" x14ac:dyDescent="0.15">
      <c r="A915" s="7"/>
    </row>
    <row r="916" spans="1:1" x14ac:dyDescent="0.15">
      <c r="A916" s="7"/>
    </row>
    <row r="917" spans="1:1" x14ac:dyDescent="0.15">
      <c r="A917" s="7"/>
    </row>
    <row r="918" spans="1:1" x14ac:dyDescent="0.15">
      <c r="A918" s="7"/>
    </row>
    <row r="919" spans="1:1" x14ac:dyDescent="0.15">
      <c r="A919" s="7"/>
    </row>
    <row r="920" spans="1:1" x14ac:dyDescent="0.15">
      <c r="A920" s="7"/>
    </row>
  </sheetData>
  <sheetCalcPr fullCalcOnLoad="1"/>
  <phoneticPr fontId="5" type="noConversion"/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0AB4B-CA2D-9E4C-B284-2F6530B3354E}">
  <dimension ref="A1:K1008"/>
  <sheetViews>
    <sheetView workbookViewId="0">
      <selection activeCell="A20" sqref="A20:B1008"/>
    </sheetView>
  </sheetViews>
  <sheetFormatPr baseColWidth="10" defaultRowHeight="13" x14ac:dyDescent="0.15"/>
  <cols>
    <col min="1" max="1" width="13.83203125" customWidth="1"/>
    <col min="2" max="2" width="13.1640625" customWidth="1"/>
  </cols>
  <sheetData>
    <row r="1" spans="1:4" x14ac:dyDescent="0.15">
      <c r="A1" s="31" t="s">
        <v>0</v>
      </c>
      <c r="B1" s="42">
        <v>140</v>
      </c>
      <c r="C1" s="1" t="s">
        <v>1</v>
      </c>
      <c r="D1" s="1"/>
    </row>
    <row r="2" spans="1:4" ht="14" x14ac:dyDescent="0.15">
      <c r="A2" s="43" t="s">
        <v>2</v>
      </c>
      <c r="B2" s="44">
        <v>107</v>
      </c>
      <c r="C2" s="2" t="s">
        <v>1</v>
      </c>
      <c r="D2" s="2"/>
    </row>
    <row r="3" spans="1:4" x14ac:dyDescent="0.15">
      <c r="A3" s="29" t="s">
        <v>3</v>
      </c>
      <c r="B3" s="30" t="s">
        <v>45</v>
      </c>
      <c r="C3" s="1"/>
      <c r="D3" s="1"/>
    </row>
    <row r="4" spans="1:4" x14ac:dyDescent="0.15">
      <c r="A4" s="29" t="s">
        <v>4</v>
      </c>
      <c r="B4" s="22">
        <f>A20</f>
        <v>39235.548611111109</v>
      </c>
      <c r="C4" s="10" t="s">
        <v>34</v>
      </c>
      <c r="D4" s="10"/>
    </row>
    <row r="5" spans="1:4" x14ac:dyDescent="0.15">
      <c r="A5" s="29" t="s">
        <v>5</v>
      </c>
      <c r="B5" s="22">
        <f>MIN(E:E)</f>
        <v>39235.548703703702</v>
      </c>
      <c r="C5" s="10" t="s">
        <v>34</v>
      </c>
      <c r="D5" s="1"/>
    </row>
    <row r="6" spans="1:4" ht="15" x14ac:dyDescent="0.15">
      <c r="A6" s="31" t="s">
        <v>6</v>
      </c>
      <c r="B6" s="32">
        <v>37.6</v>
      </c>
      <c r="C6" s="3" t="s">
        <v>24</v>
      </c>
      <c r="D6" s="3"/>
    </row>
    <row r="7" spans="1:4" x14ac:dyDescent="0.15">
      <c r="A7" s="29" t="s">
        <v>7</v>
      </c>
      <c r="B7" s="22">
        <f>MAX(D:D)</f>
        <v>39235.550578703704</v>
      </c>
      <c r="C7" s="10" t="s">
        <v>34</v>
      </c>
      <c r="D7" s="1"/>
    </row>
    <row r="8" spans="1:4" ht="15" x14ac:dyDescent="0.15">
      <c r="A8" s="29" t="s">
        <v>8</v>
      </c>
      <c r="B8" s="33">
        <f>MAX(F20:F295)</f>
        <v>46.199999999999996</v>
      </c>
      <c r="C8" s="3" t="s">
        <v>24</v>
      </c>
      <c r="D8" s="3"/>
    </row>
    <row r="9" spans="1:4" ht="15" x14ac:dyDescent="0.15">
      <c r="A9" s="29" t="s">
        <v>9</v>
      </c>
      <c r="B9" s="33">
        <f>MAX(G20:G295)</f>
        <v>23.099999999999998</v>
      </c>
      <c r="C9" s="1" t="s">
        <v>25</v>
      </c>
      <c r="D9" s="1"/>
    </row>
    <row r="10" spans="1:4" x14ac:dyDescent="0.15">
      <c r="A10" s="29" t="s">
        <v>10</v>
      </c>
      <c r="B10" s="22">
        <f>MAX(A:A)</f>
        <v>39235.571481481478</v>
      </c>
      <c r="C10" s="10" t="s">
        <v>34</v>
      </c>
      <c r="D10" s="1"/>
    </row>
    <row r="11" spans="1:4" ht="15" x14ac:dyDescent="0.15">
      <c r="A11" s="29" t="s">
        <v>11</v>
      </c>
      <c r="B11" s="34">
        <f>(B1-B2)/((B7-B4)*24*60*60)</f>
        <v>0.19411764690462358</v>
      </c>
      <c r="C11" s="1" t="s">
        <v>22</v>
      </c>
      <c r="D11" s="1"/>
    </row>
    <row r="12" spans="1:4" x14ac:dyDescent="0.15">
      <c r="A12" s="31" t="s">
        <v>12</v>
      </c>
      <c r="B12" s="35">
        <v>1009.83</v>
      </c>
      <c r="C12" s="1" t="s">
        <v>13</v>
      </c>
      <c r="D12" s="1"/>
    </row>
    <row r="13" spans="1:4" ht="15" x14ac:dyDescent="0.15">
      <c r="A13" s="36" t="s">
        <v>14</v>
      </c>
      <c r="B13" s="37">
        <f>SUM(H:H)</f>
        <v>5532.8999998077052</v>
      </c>
      <c r="C13" s="1" t="s">
        <v>26</v>
      </c>
      <c r="D13" s="1"/>
    </row>
    <row r="14" spans="1:4" ht="15" x14ac:dyDescent="0.15">
      <c r="A14" s="40" t="s">
        <v>15</v>
      </c>
      <c r="B14" s="41">
        <f>(B12/(B13/1000))</f>
        <v>182.5136908375529</v>
      </c>
      <c r="C14" s="1" t="s">
        <v>16</v>
      </c>
      <c r="D14" s="1"/>
    </row>
    <row r="15" spans="1:4" x14ac:dyDescent="0.15">
      <c r="A15" s="38" t="s">
        <v>33</v>
      </c>
      <c r="B15" s="39">
        <f>B7-B4</f>
        <v>1.9675925941555761E-3</v>
      </c>
      <c r="C15" s="1" t="s">
        <v>35</v>
      </c>
    </row>
    <row r="17" spans="1:11" s="11" customFormat="1" x14ac:dyDescent="0.15"/>
    <row r="18" spans="1:11" ht="42" x14ac:dyDescent="0.15">
      <c r="A18" s="26" t="s">
        <v>23</v>
      </c>
      <c r="B18" s="26" t="s">
        <v>18</v>
      </c>
      <c r="C18" s="20" t="s">
        <v>17</v>
      </c>
      <c r="D18" s="20" t="s">
        <v>30</v>
      </c>
      <c r="E18" s="20" t="s">
        <v>43</v>
      </c>
      <c r="F18" s="21" t="s">
        <v>19</v>
      </c>
      <c r="G18" s="21" t="s">
        <v>20</v>
      </c>
      <c r="H18" s="21" t="s">
        <v>21</v>
      </c>
      <c r="I18" s="21" t="s">
        <v>37</v>
      </c>
      <c r="J18" s="21" t="s">
        <v>38</v>
      </c>
      <c r="K18" s="21" t="s">
        <v>40</v>
      </c>
    </row>
    <row r="19" spans="1:11" ht="28" x14ac:dyDescent="0.15">
      <c r="A19" s="26" t="s">
        <v>31</v>
      </c>
      <c r="B19" s="27" t="s">
        <v>24</v>
      </c>
      <c r="C19" s="22" t="s">
        <v>29</v>
      </c>
      <c r="D19" s="22" t="s">
        <v>32</v>
      </c>
      <c r="E19" s="22" t="s">
        <v>44</v>
      </c>
      <c r="F19" s="23" t="s">
        <v>24</v>
      </c>
      <c r="G19" s="24" t="s">
        <v>27</v>
      </c>
      <c r="H19" s="24" t="s">
        <v>28</v>
      </c>
      <c r="I19" s="21" t="s">
        <v>36</v>
      </c>
      <c r="J19" s="25" t="s">
        <v>39</v>
      </c>
      <c r="K19" s="25" t="s">
        <v>41</v>
      </c>
    </row>
    <row r="20" spans="1:11" x14ac:dyDescent="0.15">
      <c r="A20" s="7">
        <v>39235.548611111109</v>
      </c>
      <c r="B20">
        <v>37.6</v>
      </c>
      <c r="C20" s="6">
        <f t="shared" ref="C20:C83" si="0">(A20-$B$4)*24*60*60</f>
        <v>0</v>
      </c>
      <c r="D20" t="str">
        <f t="shared" ref="D20:D83" si="1">IF(F20=$B$8,A20,"")</f>
        <v/>
      </c>
      <c r="E20" t="str">
        <f>IF(B20-$B$6&gt;0,A20," ")</f>
        <v xml:space="preserve"> </v>
      </c>
      <c r="F20" s="4">
        <f t="shared" ref="F20:F83" si="2">IF((B20-$B$6)&gt;0,B20-$B$6,0)</f>
        <v>0</v>
      </c>
      <c r="G20" s="4">
        <f>F20/2</f>
        <v>0</v>
      </c>
      <c r="H20" s="5"/>
      <c r="J20" s="15">
        <v>0</v>
      </c>
      <c r="K20" s="16">
        <f>J20/($B$12*1000)</f>
        <v>0</v>
      </c>
    </row>
    <row r="21" spans="1:11" x14ac:dyDescent="0.15">
      <c r="A21" s="7">
        <v>39235.548634259256</v>
      </c>
      <c r="B21">
        <v>37.6</v>
      </c>
      <c r="C21" s="6">
        <f t="shared" si="0"/>
        <v>1.9999998388811946</v>
      </c>
      <c r="D21" t="str">
        <f t="shared" si="1"/>
        <v/>
      </c>
      <c r="E21" t="str">
        <f t="shared" ref="E21:E84" si="3">IF(B21-$B$6&gt;0,A21," ")</f>
        <v xml:space="preserve"> </v>
      </c>
      <c r="F21" s="4">
        <f t="shared" si="2"/>
        <v>0</v>
      </c>
      <c r="G21" s="4">
        <f t="shared" ref="G21:G84" si="4">F21/2</f>
        <v>0</v>
      </c>
      <c r="H21" s="5">
        <f t="shared" ref="H21:H84" si="5">AVERAGE(G20:G21)*(C21-C20)</f>
        <v>0</v>
      </c>
      <c r="I21" s="14">
        <f>H21*$B$14</f>
        <v>0</v>
      </c>
      <c r="J21" s="19">
        <f>J20+I21</f>
        <v>0</v>
      </c>
      <c r="K21" s="16">
        <f t="shared" ref="K21:K84" si="6">J21/($B$12*1000)</f>
        <v>0</v>
      </c>
    </row>
    <row r="22" spans="1:11" x14ac:dyDescent="0.15">
      <c r="A22" s="7">
        <v>39235.548657407409</v>
      </c>
      <c r="B22">
        <v>37.6</v>
      </c>
      <c r="C22" s="6">
        <f t="shared" si="0"/>
        <v>4.000000306405127</v>
      </c>
      <c r="D22" t="str">
        <f t="shared" si="1"/>
        <v/>
      </c>
      <c r="E22" t="str">
        <f t="shared" si="3"/>
        <v xml:space="preserve"> </v>
      </c>
      <c r="F22" s="4">
        <f t="shared" si="2"/>
        <v>0</v>
      </c>
      <c r="G22" s="4">
        <f t="shared" si="4"/>
        <v>0</v>
      </c>
      <c r="H22" s="5">
        <f t="shared" si="5"/>
        <v>0</v>
      </c>
      <c r="I22" s="14">
        <f t="shared" ref="I22:I85" si="7">H22*$B$14</f>
        <v>0</v>
      </c>
      <c r="J22" s="19">
        <f t="shared" ref="J22:J85" si="8">J21+I22</f>
        <v>0</v>
      </c>
      <c r="K22" s="16">
        <f t="shared" si="6"/>
        <v>0</v>
      </c>
    </row>
    <row r="23" spans="1:11" x14ac:dyDescent="0.15">
      <c r="A23" s="7">
        <v>39235.548680555556</v>
      </c>
      <c r="B23">
        <v>37.6</v>
      </c>
      <c r="C23" s="6">
        <f t="shared" si="0"/>
        <v>6.0000001452863216</v>
      </c>
      <c r="D23" t="str">
        <f t="shared" si="1"/>
        <v/>
      </c>
      <c r="E23" t="str">
        <f t="shared" si="3"/>
        <v xml:space="preserve"> </v>
      </c>
      <c r="F23" s="4">
        <f t="shared" si="2"/>
        <v>0</v>
      </c>
      <c r="G23" s="4">
        <f t="shared" si="4"/>
        <v>0</v>
      </c>
      <c r="H23" s="5">
        <f t="shared" si="5"/>
        <v>0</v>
      </c>
      <c r="I23" s="14">
        <f t="shared" si="7"/>
        <v>0</v>
      </c>
      <c r="J23" s="19">
        <f t="shared" si="8"/>
        <v>0</v>
      </c>
      <c r="K23" s="16">
        <f t="shared" si="6"/>
        <v>0</v>
      </c>
    </row>
    <row r="24" spans="1:11" x14ac:dyDescent="0.15">
      <c r="A24" s="7">
        <v>39235.548703703702</v>
      </c>
      <c r="B24">
        <v>37.799999999999997</v>
      </c>
      <c r="C24" s="6">
        <f t="shared" si="0"/>
        <v>7.9999999841675162</v>
      </c>
      <c r="D24" t="str">
        <f t="shared" si="1"/>
        <v/>
      </c>
      <c r="E24">
        <f t="shared" si="3"/>
        <v>39235.548703703702</v>
      </c>
      <c r="F24" s="4">
        <f t="shared" si="2"/>
        <v>0.19999999999999574</v>
      </c>
      <c r="G24" s="4">
        <f t="shared" si="4"/>
        <v>9.9999999999997868E-2</v>
      </c>
      <c r="H24" s="5">
        <f t="shared" si="5"/>
        <v>9.9999991944057592E-2</v>
      </c>
      <c r="I24" s="14">
        <f t="shared" si="7"/>
        <v>18.251367613435509</v>
      </c>
      <c r="J24" s="19">
        <f t="shared" si="8"/>
        <v>18.251367613435509</v>
      </c>
      <c r="K24" s="16">
        <f t="shared" si="6"/>
        <v>1.8073703111846063E-5</v>
      </c>
    </row>
    <row r="25" spans="1:11" x14ac:dyDescent="0.15">
      <c r="A25" s="7">
        <v>39235.548726851855</v>
      </c>
      <c r="B25">
        <v>37.6</v>
      </c>
      <c r="C25" s="6">
        <f t="shared" si="0"/>
        <v>10.000000451691449</v>
      </c>
      <c r="D25" t="str">
        <f t="shared" si="1"/>
        <v/>
      </c>
      <c r="E25" t="str">
        <f t="shared" si="3"/>
        <v xml:space="preserve"> </v>
      </c>
      <c r="F25" s="4">
        <f t="shared" si="2"/>
        <v>0</v>
      </c>
      <c r="G25" s="4">
        <f t="shared" si="4"/>
        <v>0</v>
      </c>
      <c r="H25" s="5">
        <f t="shared" si="5"/>
        <v>0.10000002337619449</v>
      </c>
      <c r="I25" s="14">
        <f t="shared" si="7"/>
        <v>18.251373350230825</v>
      </c>
      <c r="J25" s="19">
        <f t="shared" si="8"/>
        <v>36.502740963666334</v>
      </c>
      <c r="K25" s="16">
        <f t="shared" si="6"/>
        <v>3.6147411904643685E-5</v>
      </c>
    </row>
    <row r="26" spans="1:11" x14ac:dyDescent="0.15">
      <c r="A26" s="7">
        <v>39235.548750000002</v>
      </c>
      <c r="B26">
        <v>37.799999999999997</v>
      </c>
      <c r="C26" s="6">
        <f t="shared" si="0"/>
        <v>12.000000290572643</v>
      </c>
      <c r="D26" t="str">
        <f t="shared" si="1"/>
        <v/>
      </c>
      <c r="E26">
        <f t="shared" si="3"/>
        <v>39235.548750000002</v>
      </c>
      <c r="F26" s="4">
        <f t="shared" si="2"/>
        <v>0.19999999999999574</v>
      </c>
      <c r="G26" s="4">
        <f t="shared" si="4"/>
        <v>9.9999999999997868E-2</v>
      </c>
      <c r="H26" s="5">
        <f t="shared" si="5"/>
        <v>9.9999991944057592E-2</v>
      </c>
      <c r="I26" s="14">
        <f t="shared" si="7"/>
        <v>18.251367613435509</v>
      </c>
      <c r="J26" s="19">
        <f t="shared" si="8"/>
        <v>54.754108577101846</v>
      </c>
      <c r="K26" s="16">
        <f t="shared" si="6"/>
        <v>5.4221115016489749E-5</v>
      </c>
    </row>
    <row r="27" spans="1:11" x14ac:dyDescent="0.15">
      <c r="A27" s="7">
        <v>39235.548773148148</v>
      </c>
      <c r="B27">
        <v>37.799999999999997</v>
      </c>
      <c r="C27" s="6">
        <f t="shared" si="0"/>
        <v>14.000000129453838</v>
      </c>
      <c r="D27" t="str">
        <f t="shared" si="1"/>
        <v/>
      </c>
      <c r="E27">
        <f t="shared" si="3"/>
        <v>39235.548773148148</v>
      </c>
      <c r="F27" s="4">
        <f t="shared" si="2"/>
        <v>0.19999999999999574</v>
      </c>
      <c r="G27" s="4">
        <f t="shared" si="4"/>
        <v>9.9999999999997868E-2</v>
      </c>
      <c r="H27" s="5">
        <f t="shared" si="5"/>
        <v>0.19999998388811518</v>
      </c>
      <c r="I27" s="14">
        <f t="shared" si="7"/>
        <v>36.502735226871017</v>
      </c>
      <c r="J27" s="19">
        <f t="shared" si="8"/>
        <v>91.256843803972856</v>
      </c>
      <c r="K27" s="16">
        <f t="shared" si="6"/>
        <v>9.0368521240181862E-5</v>
      </c>
    </row>
    <row r="28" spans="1:11" x14ac:dyDescent="0.15">
      <c r="A28" s="7">
        <v>39235.548796296294</v>
      </c>
      <c r="B28">
        <v>37.6</v>
      </c>
      <c r="C28" s="6">
        <f t="shared" si="0"/>
        <v>15.999999968335032</v>
      </c>
      <c r="D28" t="str">
        <f t="shared" si="1"/>
        <v/>
      </c>
      <c r="E28" t="str">
        <f t="shared" si="3"/>
        <v xml:space="preserve"> </v>
      </c>
      <c r="F28" s="4">
        <f t="shared" si="2"/>
        <v>0</v>
      </c>
      <c r="G28" s="4">
        <f t="shared" si="4"/>
        <v>0</v>
      </c>
      <c r="H28" s="5">
        <f t="shared" si="5"/>
        <v>9.9999991944057592E-2</v>
      </c>
      <c r="I28" s="14">
        <f t="shared" si="7"/>
        <v>18.251367613435509</v>
      </c>
      <c r="J28" s="19">
        <f t="shared" si="8"/>
        <v>109.50821141740836</v>
      </c>
      <c r="K28" s="16">
        <f t="shared" si="6"/>
        <v>1.0844222435202793E-4</v>
      </c>
    </row>
    <row r="29" spans="1:11" x14ac:dyDescent="0.15">
      <c r="A29" s="7">
        <v>39235.548819444448</v>
      </c>
      <c r="B29">
        <v>37.700000000000003</v>
      </c>
      <c r="C29" s="6">
        <f t="shared" si="0"/>
        <v>18.000000435858965</v>
      </c>
      <c r="D29" t="str">
        <f t="shared" si="1"/>
        <v/>
      </c>
      <c r="E29">
        <f t="shared" si="3"/>
        <v>39235.548819444448</v>
      </c>
      <c r="F29" s="4">
        <f t="shared" si="2"/>
        <v>0.10000000000000142</v>
      </c>
      <c r="G29" s="4">
        <f t="shared" si="4"/>
        <v>5.0000000000000711E-2</v>
      </c>
      <c r="H29" s="5">
        <f t="shared" si="5"/>
        <v>5.0000011688099019E-2</v>
      </c>
      <c r="I29" s="14">
        <f t="shared" si="7"/>
        <v>9.1256866751157357</v>
      </c>
      <c r="J29" s="19">
        <f t="shared" si="8"/>
        <v>118.63389809252409</v>
      </c>
      <c r="K29" s="16">
        <f t="shared" si="6"/>
        <v>1.1747907874842705E-4</v>
      </c>
    </row>
    <row r="30" spans="1:11" x14ac:dyDescent="0.15">
      <c r="A30" s="7">
        <v>39235.548842592594</v>
      </c>
      <c r="B30">
        <v>37.6</v>
      </c>
      <c r="C30" s="6">
        <f t="shared" si="0"/>
        <v>20.00000027474016</v>
      </c>
      <c r="D30" t="str">
        <f t="shared" si="1"/>
        <v/>
      </c>
      <c r="E30" t="str">
        <f t="shared" si="3"/>
        <v xml:space="preserve"> </v>
      </c>
      <c r="F30" s="4">
        <f t="shared" si="2"/>
        <v>0</v>
      </c>
      <c r="G30" s="4">
        <f t="shared" si="4"/>
        <v>0</v>
      </c>
      <c r="H30" s="5">
        <f t="shared" si="5"/>
        <v>4.9999995972030573E-2</v>
      </c>
      <c r="I30" s="14">
        <f t="shared" si="7"/>
        <v>9.1256838067180777</v>
      </c>
      <c r="J30" s="19">
        <f t="shared" si="8"/>
        <v>127.75958189924216</v>
      </c>
      <c r="K30" s="16">
        <f t="shared" si="6"/>
        <v>1.265159303043504E-4</v>
      </c>
    </row>
    <row r="31" spans="1:11" x14ac:dyDescent="0.15">
      <c r="A31" s="7">
        <v>39235.54886574074</v>
      </c>
      <c r="B31">
        <v>37.6</v>
      </c>
      <c r="C31" s="6">
        <f t="shared" si="0"/>
        <v>22.000000113621354</v>
      </c>
      <c r="D31" t="str">
        <f t="shared" si="1"/>
        <v/>
      </c>
      <c r="E31" t="str">
        <f t="shared" si="3"/>
        <v xml:space="preserve"> </v>
      </c>
      <c r="F31" s="4">
        <f t="shared" si="2"/>
        <v>0</v>
      </c>
      <c r="G31" s="4">
        <f t="shared" si="4"/>
        <v>0</v>
      </c>
      <c r="H31" s="5">
        <f t="shared" si="5"/>
        <v>0</v>
      </c>
      <c r="I31" s="14">
        <f t="shared" si="7"/>
        <v>0</v>
      </c>
      <c r="J31" s="19">
        <f t="shared" si="8"/>
        <v>127.75958189924216</v>
      </c>
      <c r="K31" s="16">
        <f t="shared" si="6"/>
        <v>1.265159303043504E-4</v>
      </c>
    </row>
    <row r="32" spans="1:11" x14ac:dyDescent="0.15">
      <c r="A32" s="7">
        <v>39235.548888888887</v>
      </c>
      <c r="B32">
        <v>37.6</v>
      </c>
      <c r="C32" s="6">
        <f t="shared" si="0"/>
        <v>23.999999952502549</v>
      </c>
      <c r="D32" t="str">
        <f t="shared" si="1"/>
        <v/>
      </c>
      <c r="E32" t="str">
        <f t="shared" si="3"/>
        <v xml:space="preserve"> </v>
      </c>
      <c r="F32" s="4">
        <f t="shared" si="2"/>
        <v>0</v>
      </c>
      <c r="G32" s="4">
        <f t="shared" si="4"/>
        <v>0</v>
      </c>
      <c r="H32" s="5">
        <f t="shared" si="5"/>
        <v>0</v>
      </c>
      <c r="I32" s="14">
        <f t="shared" si="7"/>
        <v>0</v>
      </c>
      <c r="J32" s="19">
        <f t="shared" si="8"/>
        <v>127.75958189924216</v>
      </c>
      <c r="K32" s="16">
        <f t="shared" si="6"/>
        <v>1.265159303043504E-4</v>
      </c>
    </row>
    <row r="33" spans="1:11" x14ac:dyDescent="0.15">
      <c r="A33" s="7">
        <v>39235.54891203704</v>
      </c>
      <c r="B33">
        <v>37.6</v>
      </c>
      <c r="C33" s="6">
        <f t="shared" si="0"/>
        <v>26.000000420026481</v>
      </c>
      <c r="D33" t="str">
        <f t="shared" si="1"/>
        <v/>
      </c>
      <c r="E33" t="str">
        <f t="shared" si="3"/>
        <v xml:space="preserve"> </v>
      </c>
      <c r="F33" s="4">
        <f t="shared" si="2"/>
        <v>0</v>
      </c>
      <c r="G33" s="4">
        <f t="shared" si="4"/>
        <v>0</v>
      </c>
      <c r="H33" s="5">
        <f t="shared" si="5"/>
        <v>0</v>
      </c>
      <c r="I33" s="14">
        <f t="shared" si="7"/>
        <v>0</v>
      </c>
      <c r="J33" s="19">
        <f t="shared" si="8"/>
        <v>127.75958189924216</v>
      </c>
      <c r="K33" s="16">
        <f t="shared" si="6"/>
        <v>1.265159303043504E-4</v>
      </c>
    </row>
    <row r="34" spans="1:11" x14ac:dyDescent="0.15">
      <c r="A34" s="7">
        <v>39235.548935185187</v>
      </c>
      <c r="B34">
        <v>37.6</v>
      </c>
      <c r="C34" s="6">
        <f t="shared" si="0"/>
        <v>28.000000258907676</v>
      </c>
      <c r="D34" t="str">
        <f t="shared" si="1"/>
        <v/>
      </c>
      <c r="E34" t="str">
        <f t="shared" si="3"/>
        <v xml:space="preserve"> </v>
      </c>
      <c r="F34" s="4">
        <f t="shared" si="2"/>
        <v>0</v>
      </c>
      <c r="G34" s="4">
        <f t="shared" si="4"/>
        <v>0</v>
      </c>
      <c r="H34" s="5">
        <f t="shared" si="5"/>
        <v>0</v>
      </c>
      <c r="I34" s="14">
        <f t="shared" si="7"/>
        <v>0</v>
      </c>
      <c r="J34" s="19">
        <f t="shared" si="8"/>
        <v>127.75958189924216</v>
      </c>
      <c r="K34" s="16">
        <f t="shared" si="6"/>
        <v>1.265159303043504E-4</v>
      </c>
    </row>
    <row r="35" spans="1:11" x14ac:dyDescent="0.15">
      <c r="A35" s="7">
        <v>39235.548958333333</v>
      </c>
      <c r="B35">
        <v>37.6</v>
      </c>
      <c r="C35" s="6">
        <f t="shared" si="0"/>
        <v>30.00000009778887</v>
      </c>
      <c r="D35" t="str">
        <f t="shared" si="1"/>
        <v/>
      </c>
      <c r="E35" t="str">
        <f t="shared" si="3"/>
        <v xml:space="preserve"> </v>
      </c>
      <c r="F35" s="4">
        <f t="shared" si="2"/>
        <v>0</v>
      </c>
      <c r="G35" s="4">
        <f t="shared" si="4"/>
        <v>0</v>
      </c>
      <c r="H35" s="5">
        <f t="shared" si="5"/>
        <v>0</v>
      </c>
      <c r="I35" s="14">
        <f t="shared" si="7"/>
        <v>0</v>
      </c>
      <c r="J35" s="19">
        <f t="shared" si="8"/>
        <v>127.75958189924216</v>
      </c>
      <c r="K35" s="16">
        <f t="shared" si="6"/>
        <v>1.265159303043504E-4</v>
      </c>
    </row>
    <row r="36" spans="1:11" x14ac:dyDescent="0.15">
      <c r="A36" s="7">
        <v>39235.548981481479</v>
      </c>
      <c r="B36">
        <v>37.6</v>
      </c>
      <c r="C36" s="6">
        <f t="shared" si="0"/>
        <v>31.999999936670065</v>
      </c>
      <c r="D36" t="str">
        <f t="shared" si="1"/>
        <v/>
      </c>
      <c r="E36" t="str">
        <f t="shared" si="3"/>
        <v xml:space="preserve"> </v>
      </c>
      <c r="F36" s="4">
        <f t="shared" si="2"/>
        <v>0</v>
      </c>
      <c r="G36" s="4">
        <f t="shared" si="4"/>
        <v>0</v>
      </c>
      <c r="H36" s="5">
        <f t="shared" si="5"/>
        <v>0</v>
      </c>
      <c r="I36" s="14">
        <f t="shared" si="7"/>
        <v>0</v>
      </c>
      <c r="J36" s="19">
        <f t="shared" si="8"/>
        <v>127.75958189924216</v>
      </c>
      <c r="K36" s="16">
        <f t="shared" si="6"/>
        <v>1.265159303043504E-4</v>
      </c>
    </row>
    <row r="37" spans="1:11" x14ac:dyDescent="0.15">
      <c r="A37" s="7">
        <v>39235.549004629633</v>
      </c>
      <c r="B37">
        <v>37.6</v>
      </c>
      <c r="C37" s="6">
        <f t="shared" si="0"/>
        <v>34.000000404193997</v>
      </c>
      <c r="D37" t="str">
        <f t="shared" si="1"/>
        <v/>
      </c>
      <c r="E37" t="str">
        <f t="shared" si="3"/>
        <v xml:space="preserve"> </v>
      </c>
      <c r="F37" s="4">
        <f t="shared" si="2"/>
        <v>0</v>
      </c>
      <c r="G37" s="4">
        <f t="shared" si="4"/>
        <v>0</v>
      </c>
      <c r="H37" s="5">
        <f t="shared" si="5"/>
        <v>0</v>
      </c>
      <c r="I37" s="14">
        <f t="shared" si="7"/>
        <v>0</v>
      </c>
      <c r="J37" s="19">
        <f t="shared" si="8"/>
        <v>127.75958189924216</v>
      </c>
      <c r="K37" s="16">
        <f t="shared" si="6"/>
        <v>1.265159303043504E-4</v>
      </c>
    </row>
    <row r="38" spans="1:11" x14ac:dyDescent="0.15">
      <c r="A38" s="7">
        <v>39235.549027777779</v>
      </c>
      <c r="B38">
        <v>37.6</v>
      </c>
      <c r="C38" s="6">
        <f t="shared" si="0"/>
        <v>36.000000243075192</v>
      </c>
      <c r="D38" t="str">
        <f t="shared" si="1"/>
        <v/>
      </c>
      <c r="E38" t="str">
        <f t="shared" si="3"/>
        <v xml:space="preserve"> </v>
      </c>
      <c r="F38" s="4">
        <f t="shared" si="2"/>
        <v>0</v>
      </c>
      <c r="G38" s="4">
        <f t="shared" si="4"/>
        <v>0</v>
      </c>
      <c r="H38" s="5">
        <f t="shared" si="5"/>
        <v>0</v>
      </c>
      <c r="I38" s="14">
        <f t="shared" si="7"/>
        <v>0</v>
      </c>
      <c r="J38" s="19">
        <f t="shared" si="8"/>
        <v>127.75958189924216</v>
      </c>
      <c r="K38" s="16">
        <f t="shared" si="6"/>
        <v>1.265159303043504E-4</v>
      </c>
    </row>
    <row r="39" spans="1:11" x14ac:dyDescent="0.15">
      <c r="A39" s="7">
        <v>39235.549050925925</v>
      </c>
      <c r="B39">
        <v>37.6</v>
      </c>
      <c r="C39" s="6">
        <f t="shared" si="0"/>
        <v>38.000000081956387</v>
      </c>
      <c r="D39" t="str">
        <f t="shared" si="1"/>
        <v/>
      </c>
      <c r="E39" t="str">
        <f t="shared" si="3"/>
        <v xml:space="preserve"> </v>
      </c>
      <c r="F39" s="4">
        <f t="shared" si="2"/>
        <v>0</v>
      </c>
      <c r="G39" s="4">
        <f t="shared" si="4"/>
        <v>0</v>
      </c>
      <c r="H39" s="5">
        <f t="shared" si="5"/>
        <v>0</v>
      </c>
      <c r="I39" s="14">
        <f t="shared" si="7"/>
        <v>0</v>
      </c>
      <c r="J39" s="19">
        <f t="shared" si="8"/>
        <v>127.75958189924216</v>
      </c>
      <c r="K39" s="16">
        <f t="shared" si="6"/>
        <v>1.265159303043504E-4</v>
      </c>
    </row>
    <row r="40" spans="1:11" x14ac:dyDescent="0.15">
      <c r="A40" s="7">
        <v>39235.549074074072</v>
      </c>
      <c r="B40">
        <v>37.6</v>
      </c>
      <c r="C40" s="6">
        <f t="shared" si="0"/>
        <v>39.999999920837581</v>
      </c>
      <c r="D40" t="str">
        <f t="shared" si="1"/>
        <v/>
      </c>
      <c r="E40" t="str">
        <f t="shared" si="3"/>
        <v xml:space="preserve"> </v>
      </c>
      <c r="F40" s="4">
        <f t="shared" si="2"/>
        <v>0</v>
      </c>
      <c r="G40" s="4">
        <f t="shared" si="4"/>
        <v>0</v>
      </c>
      <c r="H40" s="5">
        <f t="shared" si="5"/>
        <v>0</v>
      </c>
      <c r="I40" s="14">
        <f t="shared" si="7"/>
        <v>0</v>
      </c>
      <c r="J40" s="19">
        <f t="shared" si="8"/>
        <v>127.75958189924216</v>
      </c>
      <c r="K40" s="16">
        <f t="shared" si="6"/>
        <v>1.265159303043504E-4</v>
      </c>
    </row>
    <row r="41" spans="1:11" x14ac:dyDescent="0.15">
      <c r="A41" s="7">
        <v>39235.549097222225</v>
      </c>
      <c r="B41">
        <v>37.6</v>
      </c>
      <c r="C41" s="6">
        <f t="shared" si="0"/>
        <v>42.000000388361514</v>
      </c>
      <c r="D41" t="str">
        <f t="shared" si="1"/>
        <v/>
      </c>
      <c r="E41" t="str">
        <f t="shared" si="3"/>
        <v xml:space="preserve"> </v>
      </c>
      <c r="F41" s="4">
        <f t="shared" si="2"/>
        <v>0</v>
      </c>
      <c r="G41" s="4">
        <f t="shared" si="4"/>
        <v>0</v>
      </c>
      <c r="H41" s="5">
        <f t="shared" si="5"/>
        <v>0</v>
      </c>
      <c r="I41" s="14">
        <f t="shared" si="7"/>
        <v>0</v>
      </c>
      <c r="J41" s="19">
        <f t="shared" si="8"/>
        <v>127.75958189924216</v>
      </c>
      <c r="K41" s="16">
        <f t="shared" si="6"/>
        <v>1.265159303043504E-4</v>
      </c>
    </row>
    <row r="42" spans="1:11" x14ac:dyDescent="0.15">
      <c r="A42" s="7">
        <v>39235.549120370371</v>
      </c>
      <c r="B42">
        <v>37.799999999999997</v>
      </c>
      <c r="C42" s="6">
        <f t="shared" si="0"/>
        <v>44.000000227242708</v>
      </c>
      <c r="D42" t="str">
        <f t="shared" si="1"/>
        <v/>
      </c>
      <c r="E42">
        <f t="shared" si="3"/>
        <v>39235.549120370371</v>
      </c>
      <c r="F42" s="4">
        <f t="shared" si="2"/>
        <v>0.19999999999999574</v>
      </c>
      <c r="G42" s="4">
        <f t="shared" si="4"/>
        <v>9.9999999999997868E-2</v>
      </c>
      <c r="H42" s="5">
        <f t="shared" si="5"/>
        <v>9.9999991944057592E-2</v>
      </c>
      <c r="I42" s="14">
        <f t="shared" si="7"/>
        <v>18.251367613435509</v>
      </c>
      <c r="J42" s="19">
        <f t="shared" si="8"/>
        <v>146.01094951267768</v>
      </c>
      <c r="K42" s="16">
        <f t="shared" si="6"/>
        <v>1.4458963341619648E-4</v>
      </c>
    </row>
    <row r="43" spans="1:11" x14ac:dyDescent="0.15">
      <c r="A43" s="7">
        <v>39235.549143518518</v>
      </c>
      <c r="B43">
        <v>37.6</v>
      </c>
      <c r="C43" s="6">
        <f t="shared" si="0"/>
        <v>46.000000066123903</v>
      </c>
      <c r="D43" t="str">
        <f t="shared" si="1"/>
        <v/>
      </c>
      <c r="E43" t="str">
        <f t="shared" si="3"/>
        <v xml:space="preserve"> </v>
      </c>
      <c r="F43" s="4">
        <f t="shared" si="2"/>
        <v>0</v>
      </c>
      <c r="G43" s="4">
        <f t="shared" si="4"/>
        <v>0</v>
      </c>
      <c r="H43" s="5">
        <f t="shared" si="5"/>
        <v>9.9999991944057592E-2</v>
      </c>
      <c r="I43" s="14">
        <f t="shared" si="7"/>
        <v>18.251367613435509</v>
      </c>
      <c r="J43" s="19">
        <f t="shared" si="8"/>
        <v>164.2623171261132</v>
      </c>
      <c r="K43" s="16">
        <f t="shared" si="6"/>
        <v>1.6266333652804253E-4</v>
      </c>
    </row>
    <row r="44" spans="1:11" x14ac:dyDescent="0.15">
      <c r="A44" s="7">
        <v>39235.549166666664</v>
      </c>
      <c r="B44">
        <v>37.6</v>
      </c>
      <c r="C44" s="6">
        <f t="shared" si="0"/>
        <v>47.999999905005097</v>
      </c>
      <c r="D44" t="str">
        <f t="shared" si="1"/>
        <v/>
      </c>
      <c r="E44" t="str">
        <f t="shared" si="3"/>
        <v xml:space="preserve"> </v>
      </c>
      <c r="F44" s="4">
        <f t="shared" si="2"/>
        <v>0</v>
      </c>
      <c r="G44" s="4">
        <f t="shared" si="4"/>
        <v>0</v>
      </c>
      <c r="H44" s="5">
        <f t="shared" si="5"/>
        <v>0</v>
      </c>
      <c r="I44" s="14">
        <f t="shared" si="7"/>
        <v>0</v>
      </c>
      <c r="J44" s="19">
        <f t="shared" si="8"/>
        <v>164.2623171261132</v>
      </c>
      <c r="K44" s="16">
        <f t="shared" si="6"/>
        <v>1.6266333652804253E-4</v>
      </c>
    </row>
    <row r="45" spans="1:11" x14ac:dyDescent="0.15">
      <c r="A45" s="7">
        <v>39235.549189814818</v>
      </c>
      <c r="B45">
        <v>37.799999999999997</v>
      </c>
      <c r="C45" s="6">
        <f t="shared" si="0"/>
        <v>50.00000037252903</v>
      </c>
      <c r="D45" t="str">
        <f t="shared" si="1"/>
        <v/>
      </c>
      <c r="E45">
        <f t="shared" si="3"/>
        <v>39235.549189814818</v>
      </c>
      <c r="F45" s="4">
        <f t="shared" si="2"/>
        <v>0.19999999999999574</v>
      </c>
      <c r="G45" s="4">
        <f t="shared" si="4"/>
        <v>9.9999999999997868E-2</v>
      </c>
      <c r="H45" s="5">
        <f t="shared" si="5"/>
        <v>0.10000002337619449</v>
      </c>
      <c r="I45" s="14">
        <f t="shared" si="7"/>
        <v>18.251373350230825</v>
      </c>
      <c r="J45" s="19">
        <f t="shared" si="8"/>
        <v>182.51369047634404</v>
      </c>
      <c r="K45" s="16">
        <f t="shared" si="6"/>
        <v>1.8073704532084017E-4</v>
      </c>
    </row>
    <row r="46" spans="1:11" x14ac:dyDescent="0.15">
      <c r="A46" s="7">
        <v>39235.549212962964</v>
      </c>
      <c r="B46">
        <v>37.700000000000003</v>
      </c>
      <c r="C46" s="6">
        <f t="shared" si="0"/>
        <v>52.000000211410224</v>
      </c>
      <c r="D46" t="str">
        <f t="shared" si="1"/>
        <v/>
      </c>
      <c r="E46">
        <f t="shared" si="3"/>
        <v>39235.549212962964</v>
      </c>
      <c r="F46" s="4">
        <f t="shared" si="2"/>
        <v>0.10000000000000142</v>
      </c>
      <c r="G46" s="4">
        <f t="shared" si="4"/>
        <v>5.0000000000000711E-2</v>
      </c>
      <c r="H46" s="5">
        <f t="shared" si="5"/>
        <v>0.14999998791608818</v>
      </c>
      <c r="I46" s="14">
        <f t="shared" si="7"/>
        <v>27.377051420153588</v>
      </c>
      <c r="J46" s="19">
        <f t="shared" si="8"/>
        <v>209.89074189649762</v>
      </c>
      <c r="K46" s="16">
        <f t="shared" si="6"/>
        <v>2.0784759998860959E-4</v>
      </c>
    </row>
    <row r="47" spans="1:11" x14ac:dyDescent="0.15">
      <c r="A47" s="7">
        <v>39235.54923611111</v>
      </c>
      <c r="B47">
        <v>37.6</v>
      </c>
      <c r="C47" s="6">
        <f t="shared" si="0"/>
        <v>54.000000050291419</v>
      </c>
      <c r="D47" t="str">
        <f t="shared" si="1"/>
        <v/>
      </c>
      <c r="E47" t="str">
        <f t="shared" si="3"/>
        <v xml:space="preserve"> </v>
      </c>
      <c r="F47" s="4">
        <f t="shared" si="2"/>
        <v>0</v>
      </c>
      <c r="G47" s="4">
        <f t="shared" si="4"/>
        <v>0</v>
      </c>
      <c r="H47" s="5">
        <f t="shared" si="5"/>
        <v>4.9999995972030573E-2</v>
      </c>
      <c r="I47" s="14">
        <f t="shared" si="7"/>
        <v>9.1256838067180777</v>
      </c>
      <c r="J47" s="19">
        <f t="shared" si="8"/>
        <v>219.0164257032157</v>
      </c>
      <c r="K47" s="16">
        <f t="shared" si="6"/>
        <v>2.1688445154453294E-4</v>
      </c>
    </row>
    <row r="48" spans="1:11" x14ac:dyDescent="0.15">
      <c r="A48" s="7">
        <v>39235.549259259256</v>
      </c>
      <c r="B48">
        <v>37.6</v>
      </c>
      <c r="C48" s="6">
        <f t="shared" si="0"/>
        <v>55.999999889172614</v>
      </c>
      <c r="D48" t="str">
        <f t="shared" si="1"/>
        <v/>
      </c>
      <c r="E48" t="str">
        <f t="shared" si="3"/>
        <v xml:space="preserve"> </v>
      </c>
      <c r="F48" s="4">
        <f t="shared" si="2"/>
        <v>0</v>
      </c>
      <c r="G48" s="4">
        <f t="shared" si="4"/>
        <v>0</v>
      </c>
      <c r="H48" s="5">
        <f t="shared" si="5"/>
        <v>0</v>
      </c>
      <c r="I48" s="14">
        <f t="shared" si="7"/>
        <v>0</v>
      </c>
      <c r="J48" s="19">
        <f t="shared" si="8"/>
        <v>219.0164257032157</v>
      </c>
      <c r="K48" s="16">
        <f t="shared" si="6"/>
        <v>2.1688445154453294E-4</v>
      </c>
    </row>
    <row r="49" spans="1:11" x14ac:dyDescent="0.15">
      <c r="A49" s="7">
        <v>39235.54928240741</v>
      </c>
      <c r="B49">
        <v>37.6</v>
      </c>
      <c r="C49" s="6">
        <f t="shared" si="0"/>
        <v>58.000000356696546</v>
      </c>
      <c r="D49" t="str">
        <f t="shared" si="1"/>
        <v/>
      </c>
      <c r="E49" t="str">
        <f t="shared" si="3"/>
        <v xml:space="preserve"> </v>
      </c>
      <c r="F49" s="4">
        <f t="shared" si="2"/>
        <v>0</v>
      </c>
      <c r="G49" s="4">
        <f t="shared" si="4"/>
        <v>0</v>
      </c>
      <c r="H49" s="5">
        <f t="shared" si="5"/>
        <v>0</v>
      </c>
      <c r="I49" s="14">
        <f t="shared" si="7"/>
        <v>0</v>
      </c>
      <c r="J49" s="19">
        <f t="shared" si="8"/>
        <v>219.0164257032157</v>
      </c>
      <c r="K49" s="16">
        <f t="shared" si="6"/>
        <v>2.1688445154453294E-4</v>
      </c>
    </row>
    <row r="50" spans="1:11" x14ac:dyDescent="0.15">
      <c r="A50" s="7">
        <v>39235.549305555556</v>
      </c>
      <c r="B50">
        <v>37.6</v>
      </c>
      <c r="C50" s="6">
        <f t="shared" si="0"/>
        <v>60.000000195577741</v>
      </c>
      <c r="D50" t="str">
        <f t="shared" si="1"/>
        <v/>
      </c>
      <c r="E50" t="str">
        <f t="shared" si="3"/>
        <v xml:space="preserve"> </v>
      </c>
      <c r="F50" s="4">
        <f t="shared" si="2"/>
        <v>0</v>
      </c>
      <c r="G50" s="4">
        <f t="shared" si="4"/>
        <v>0</v>
      </c>
      <c r="H50" s="5">
        <f t="shared" si="5"/>
        <v>0</v>
      </c>
      <c r="I50" s="14">
        <f t="shared" si="7"/>
        <v>0</v>
      </c>
      <c r="J50" s="19">
        <f t="shared" si="8"/>
        <v>219.0164257032157</v>
      </c>
      <c r="K50" s="16">
        <f t="shared" si="6"/>
        <v>2.1688445154453294E-4</v>
      </c>
    </row>
    <row r="51" spans="1:11" x14ac:dyDescent="0.15">
      <c r="A51" s="7">
        <v>39235.549328703702</v>
      </c>
      <c r="B51">
        <v>37.6</v>
      </c>
      <c r="C51" s="6">
        <f t="shared" si="0"/>
        <v>62.000000034458935</v>
      </c>
      <c r="D51" t="str">
        <f t="shared" si="1"/>
        <v/>
      </c>
      <c r="E51" t="str">
        <f t="shared" si="3"/>
        <v xml:space="preserve"> </v>
      </c>
      <c r="F51" s="4">
        <f t="shared" si="2"/>
        <v>0</v>
      </c>
      <c r="G51" s="4">
        <f t="shared" si="4"/>
        <v>0</v>
      </c>
      <c r="H51" s="5">
        <f t="shared" si="5"/>
        <v>0</v>
      </c>
      <c r="I51" s="14">
        <f t="shared" si="7"/>
        <v>0</v>
      </c>
      <c r="J51" s="19">
        <f t="shared" si="8"/>
        <v>219.0164257032157</v>
      </c>
      <c r="K51" s="16">
        <f t="shared" si="6"/>
        <v>2.1688445154453294E-4</v>
      </c>
    </row>
    <row r="52" spans="1:11" x14ac:dyDescent="0.15">
      <c r="A52" s="7">
        <v>39235.549351851849</v>
      </c>
      <c r="B52">
        <v>37.6</v>
      </c>
      <c r="C52" s="6">
        <f t="shared" si="0"/>
        <v>63.99999987334013</v>
      </c>
      <c r="D52" t="str">
        <f t="shared" si="1"/>
        <v/>
      </c>
      <c r="E52" t="str">
        <f t="shared" si="3"/>
        <v xml:space="preserve"> </v>
      </c>
      <c r="F52" s="4">
        <f t="shared" si="2"/>
        <v>0</v>
      </c>
      <c r="G52" s="4">
        <f t="shared" si="4"/>
        <v>0</v>
      </c>
      <c r="H52" s="5">
        <f t="shared" si="5"/>
        <v>0</v>
      </c>
      <c r="I52" s="14">
        <f t="shared" si="7"/>
        <v>0</v>
      </c>
      <c r="J52" s="19">
        <f t="shared" si="8"/>
        <v>219.0164257032157</v>
      </c>
      <c r="K52" s="16">
        <f t="shared" si="6"/>
        <v>2.1688445154453294E-4</v>
      </c>
    </row>
    <row r="53" spans="1:11" x14ac:dyDescent="0.15">
      <c r="A53" s="7">
        <v>39235.549375000002</v>
      </c>
      <c r="B53">
        <v>37.6</v>
      </c>
      <c r="C53" s="6">
        <f t="shared" si="0"/>
        <v>66.000000340864062</v>
      </c>
      <c r="D53" t="str">
        <f t="shared" si="1"/>
        <v/>
      </c>
      <c r="E53" t="str">
        <f t="shared" si="3"/>
        <v xml:space="preserve"> </v>
      </c>
      <c r="F53" s="4">
        <f t="shared" si="2"/>
        <v>0</v>
      </c>
      <c r="G53" s="4">
        <f t="shared" si="4"/>
        <v>0</v>
      </c>
      <c r="H53" s="5">
        <f t="shared" si="5"/>
        <v>0</v>
      </c>
      <c r="I53" s="14">
        <f t="shared" si="7"/>
        <v>0</v>
      </c>
      <c r="J53" s="19">
        <f t="shared" si="8"/>
        <v>219.0164257032157</v>
      </c>
      <c r="K53" s="16">
        <f t="shared" si="6"/>
        <v>2.1688445154453294E-4</v>
      </c>
    </row>
    <row r="54" spans="1:11" x14ac:dyDescent="0.15">
      <c r="A54" s="7">
        <v>39235.549398148149</v>
      </c>
      <c r="B54">
        <v>37.6</v>
      </c>
      <c r="C54" s="6">
        <f t="shared" si="0"/>
        <v>68.000000179745257</v>
      </c>
      <c r="D54" t="str">
        <f t="shared" si="1"/>
        <v/>
      </c>
      <c r="E54" t="str">
        <f t="shared" si="3"/>
        <v xml:space="preserve"> </v>
      </c>
      <c r="F54" s="4">
        <f t="shared" si="2"/>
        <v>0</v>
      </c>
      <c r="G54" s="4">
        <f t="shared" si="4"/>
        <v>0</v>
      </c>
      <c r="H54" s="5">
        <f t="shared" si="5"/>
        <v>0</v>
      </c>
      <c r="I54" s="14">
        <f t="shared" si="7"/>
        <v>0</v>
      </c>
      <c r="J54" s="19">
        <f t="shared" si="8"/>
        <v>219.0164257032157</v>
      </c>
      <c r="K54" s="16">
        <f t="shared" si="6"/>
        <v>2.1688445154453294E-4</v>
      </c>
    </row>
    <row r="55" spans="1:11" x14ac:dyDescent="0.15">
      <c r="A55" s="7">
        <v>39235.549421296295</v>
      </c>
      <c r="B55">
        <v>37.6</v>
      </c>
      <c r="C55" s="6">
        <f t="shared" si="0"/>
        <v>70.000000018626451</v>
      </c>
      <c r="D55" t="str">
        <f t="shared" si="1"/>
        <v/>
      </c>
      <c r="E55" t="str">
        <f t="shared" si="3"/>
        <v xml:space="preserve"> </v>
      </c>
      <c r="F55" s="4">
        <f t="shared" si="2"/>
        <v>0</v>
      </c>
      <c r="G55" s="4">
        <f t="shared" si="4"/>
        <v>0</v>
      </c>
      <c r="H55" s="5">
        <f t="shared" si="5"/>
        <v>0</v>
      </c>
      <c r="I55" s="14">
        <f t="shared" si="7"/>
        <v>0</v>
      </c>
      <c r="J55" s="19">
        <f t="shared" si="8"/>
        <v>219.0164257032157</v>
      </c>
      <c r="K55" s="16">
        <f t="shared" si="6"/>
        <v>2.1688445154453294E-4</v>
      </c>
    </row>
    <row r="56" spans="1:11" x14ac:dyDescent="0.15">
      <c r="A56" s="7">
        <v>39235.549444444441</v>
      </c>
      <c r="B56">
        <v>37.6</v>
      </c>
      <c r="C56" s="6">
        <f t="shared" si="0"/>
        <v>71.999999857507646</v>
      </c>
      <c r="D56" t="str">
        <f t="shared" si="1"/>
        <v/>
      </c>
      <c r="E56" t="str">
        <f t="shared" si="3"/>
        <v xml:space="preserve"> </v>
      </c>
      <c r="F56" s="4">
        <f t="shared" si="2"/>
        <v>0</v>
      </c>
      <c r="G56" s="4">
        <f t="shared" si="4"/>
        <v>0</v>
      </c>
      <c r="H56" s="5">
        <f t="shared" si="5"/>
        <v>0</v>
      </c>
      <c r="I56" s="14">
        <f t="shared" si="7"/>
        <v>0</v>
      </c>
      <c r="J56" s="19">
        <f t="shared" si="8"/>
        <v>219.0164257032157</v>
      </c>
      <c r="K56" s="16">
        <f t="shared" si="6"/>
        <v>2.1688445154453294E-4</v>
      </c>
    </row>
    <row r="57" spans="1:11" x14ac:dyDescent="0.15">
      <c r="A57" s="7">
        <v>39235.549467592595</v>
      </c>
      <c r="B57">
        <v>37.700000000000003</v>
      </c>
      <c r="C57" s="6">
        <f t="shared" si="0"/>
        <v>74.000000325031579</v>
      </c>
      <c r="D57" t="str">
        <f t="shared" si="1"/>
        <v/>
      </c>
      <c r="E57">
        <f t="shared" si="3"/>
        <v>39235.549467592595</v>
      </c>
      <c r="F57" s="4">
        <f t="shared" si="2"/>
        <v>0.10000000000000142</v>
      </c>
      <c r="G57" s="4">
        <f t="shared" si="4"/>
        <v>5.0000000000000711E-2</v>
      </c>
      <c r="H57" s="5">
        <f t="shared" si="5"/>
        <v>5.0000011688099019E-2</v>
      </c>
      <c r="I57" s="14">
        <f t="shared" si="7"/>
        <v>9.1256866751157357</v>
      </c>
      <c r="J57" s="19">
        <f t="shared" si="8"/>
        <v>228.14211237833143</v>
      </c>
      <c r="K57" s="16">
        <f t="shared" si="6"/>
        <v>2.2592130594093206E-4</v>
      </c>
    </row>
    <row r="58" spans="1:11" x14ac:dyDescent="0.15">
      <c r="A58" s="7">
        <v>39235.549490740741</v>
      </c>
      <c r="B58">
        <v>37.6</v>
      </c>
      <c r="C58" s="6">
        <f t="shared" si="0"/>
        <v>76.000000163912773</v>
      </c>
      <c r="D58" t="str">
        <f t="shared" si="1"/>
        <v/>
      </c>
      <c r="E58" t="str">
        <f t="shared" si="3"/>
        <v xml:space="preserve"> </v>
      </c>
      <c r="F58" s="4">
        <f t="shared" si="2"/>
        <v>0</v>
      </c>
      <c r="G58" s="4">
        <f t="shared" si="4"/>
        <v>0</v>
      </c>
      <c r="H58" s="5">
        <f t="shared" si="5"/>
        <v>4.9999995972030573E-2</v>
      </c>
      <c r="I58" s="14">
        <f t="shared" si="7"/>
        <v>9.1256838067180777</v>
      </c>
      <c r="J58" s="19">
        <f t="shared" si="8"/>
        <v>237.26779618504952</v>
      </c>
      <c r="K58" s="16">
        <f t="shared" si="6"/>
        <v>2.3495815749685544E-4</v>
      </c>
    </row>
    <row r="59" spans="1:11" x14ac:dyDescent="0.15">
      <c r="A59" s="7">
        <v>39235.549513888887</v>
      </c>
      <c r="B59">
        <v>37.6</v>
      </c>
      <c r="C59" s="6">
        <f t="shared" si="0"/>
        <v>78.000000002793968</v>
      </c>
      <c r="D59" t="str">
        <f t="shared" si="1"/>
        <v/>
      </c>
      <c r="E59" t="str">
        <f t="shared" si="3"/>
        <v xml:space="preserve"> </v>
      </c>
      <c r="F59" s="4">
        <f t="shared" si="2"/>
        <v>0</v>
      </c>
      <c r="G59" s="4">
        <f t="shared" si="4"/>
        <v>0</v>
      </c>
      <c r="H59" s="5">
        <f t="shared" si="5"/>
        <v>0</v>
      </c>
      <c r="I59" s="14">
        <f t="shared" si="7"/>
        <v>0</v>
      </c>
      <c r="J59" s="19">
        <f t="shared" si="8"/>
        <v>237.26779618504952</v>
      </c>
      <c r="K59" s="16">
        <f t="shared" si="6"/>
        <v>2.3495815749685544E-4</v>
      </c>
    </row>
    <row r="60" spans="1:11" x14ac:dyDescent="0.15">
      <c r="A60" s="7">
        <v>39235.549537037034</v>
      </c>
      <c r="B60">
        <v>37.700000000000003</v>
      </c>
      <c r="C60" s="6">
        <f t="shared" si="0"/>
        <v>79.999999841675162</v>
      </c>
      <c r="D60" t="str">
        <f t="shared" si="1"/>
        <v/>
      </c>
      <c r="E60">
        <f t="shared" si="3"/>
        <v>39235.549537037034</v>
      </c>
      <c r="F60" s="4">
        <f t="shared" si="2"/>
        <v>0.10000000000000142</v>
      </c>
      <c r="G60" s="4">
        <f t="shared" si="4"/>
        <v>5.0000000000000711E-2</v>
      </c>
      <c r="H60" s="5">
        <f t="shared" si="5"/>
        <v>4.9999995972030573E-2</v>
      </c>
      <c r="I60" s="14">
        <f t="shared" si="7"/>
        <v>9.1256838067180777</v>
      </c>
      <c r="J60" s="19">
        <f t="shared" si="8"/>
        <v>246.39347999176761</v>
      </c>
      <c r="K60" s="16">
        <f t="shared" si="6"/>
        <v>2.4399500905277879E-4</v>
      </c>
    </row>
    <row r="61" spans="1:11" x14ac:dyDescent="0.15">
      <c r="A61" s="7">
        <v>39235.549560185187</v>
      </c>
      <c r="B61">
        <v>37.700000000000003</v>
      </c>
      <c r="C61" s="6">
        <f t="shared" si="0"/>
        <v>82.000000309199095</v>
      </c>
      <c r="D61" t="str">
        <f t="shared" si="1"/>
        <v/>
      </c>
      <c r="E61">
        <f t="shared" si="3"/>
        <v>39235.549560185187</v>
      </c>
      <c r="F61" s="4">
        <f t="shared" si="2"/>
        <v>0.10000000000000142</v>
      </c>
      <c r="G61" s="4">
        <f t="shared" si="4"/>
        <v>5.0000000000000711E-2</v>
      </c>
      <c r="H61" s="5">
        <f t="shared" si="5"/>
        <v>0.10000002337619804</v>
      </c>
      <c r="I61" s="14">
        <f t="shared" si="7"/>
        <v>18.251373350231471</v>
      </c>
      <c r="J61" s="19">
        <f t="shared" si="8"/>
        <v>264.64485334199907</v>
      </c>
      <c r="K61" s="16">
        <f t="shared" si="6"/>
        <v>2.6206871784557705E-4</v>
      </c>
    </row>
    <row r="62" spans="1:11" x14ac:dyDescent="0.15">
      <c r="A62" s="7">
        <v>39235.549583333333</v>
      </c>
      <c r="B62">
        <v>37.700000000000003</v>
      </c>
      <c r="C62" s="6">
        <f t="shared" si="0"/>
        <v>84.000000148080289</v>
      </c>
      <c r="D62" t="str">
        <f t="shared" si="1"/>
        <v/>
      </c>
      <c r="E62">
        <f t="shared" si="3"/>
        <v>39235.549583333333</v>
      </c>
      <c r="F62" s="4">
        <f t="shared" si="2"/>
        <v>0.10000000000000142</v>
      </c>
      <c r="G62" s="4">
        <f t="shared" si="4"/>
        <v>5.0000000000000711E-2</v>
      </c>
      <c r="H62" s="5">
        <f t="shared" si="5"/>
        <v>9.9999991944061145E-2</v>
      </c>
      <c r="I62" s="14">
        <f t="shared" si="7"/>
        <v>18.251367613436155</v>
      </c>
      <c r="J62" s="19">
        <f t="shared" si="8"/>
        <v>282.89622095543524</v>
      </c>
      <c r="K62" s="16">
        <f t="shared" si="6"/>
        <v>2.8014242095742375E-4</v>
      </c>
    </row>
    <row r="63" spans="1:11" x14ac:dyDescent="0.15">
      <c r="A63" s="7">
        <v>39235.54960648148</v>
      </c>
      <c r="B63">
        <v>37.9</v>
      </c>
      <c r="C63" s="6">
        <f t="shared" si="0"/>
        <v>85.999999986961484</v>
      </c>
      <c r="D63" t="str">
        <f t="shared" si="1"/>
        <v/>
      </c>
      <c r="E63">
        <f t="shared" si="3"/>
        <v>39235.54960648148</v>
      </c>
      <c r="F63" s="4">
        <f t="shared" si="2"/>
        <v>0.29999999999999716</v>
      </c>
      <c r="G63" s="4">
        <f t="shared" si="4"/>
        <v>0.14999999999999858</v>
      </c>
      <c r="H63" s="5">
        <f t="shared" si="5"/>
        <v>0.19999998388811874</v>
      </c>
      <c r="I63" s="14">
        <f t="shared" si="7"/>
        <v>36.502735226871664</v>
      </c>
      <c r="J63" s="19">
        <f t="shared" si="8"/>
        <v>319.3989561823069</v>
      </c>
      <c r="K63" s="16">
        <f t="shared" si="6"/>
        <v>3.1628982718111655E-4</v>
      </c>
    </row>
    <row r="64" spans="1:11" x14ac:dyDescent="0.15">
      <c r="A64" s="7">
        <v>39235.549629629626</v>
      </c>
      <c r="B64">
        <v>37.799999999999997</v>
      </c>
      <c r="C64" s="6">
        <f t="shared" si="0"/>
        <v>87.999999825842679</v>
      </c>
      <c r="D64" t="str">
        <f t="shared" si="1"/>
        <v/>
      </c>
      <c r="E64">
        <f t="shared" si="3"/>
        <v>39235.549629629626</v>
      </c>
      <c r="F64" s="4">
        <f t="shared" si="2"/>
        <v>0.19999999999999574</v>
      </c>
      <c r="G64" s="4">
        <f t="shared" si="4"/>
        <v>9.9999999999997868E-2</v>
      </c>
      <c r="H64" s="5">
        <f t="shared" si="5"/>
        <v>0.24999997986014577</v>
      </c>
      <c r="I64" s="14">
        <f t="shared" si="7"/>
        <v>45.628419033589097</v>
      </c>
      <c r="J64" s="19">
        <f t="shared" si="8"/>
        <v>365.02737521589597</v>
      </c>
      <c r="K64" s="16">
        <f t="shared" si="6"/>
        <v>3.61474084960732E-4</v>
      </c>
    </row>
    <row r="65" spans="1:11" x14ac:dyDescent="0.15">
      <c r="A65" s="7">
        <v>39235.54965277778</v>
      </c>
      <c r="B65">
        <v>37.9</v>
      </c>
      <c r="C65" s="6">
        <f t="shared" si="0"/>
        <v>90.000000293366611</v>
      </c>
      <c r="D65" t="str">
        <f t="shared" si="1"/>
        <v/>
      </c>
      <c r="E65">
        <f t="shared" si="3"/>
        <v>39235.54965277778</v>
      </c>
      <c r="F65" s="4">
        <f t="shared" si="2"/>
        <v>0.29999999999999716</v>
      </c>
      <c r="G65" s="4">
        <f t="shared" si="4"/>
        <v>0.14999999999999858</v>
      </c>
      <c r="H65" s="5">
        <f t="shared" si="5"/>
        <v>0.250000058440488</v>
      </c>
      <c r="I65" s="14">
        <f t="shared" si="7"/>
        <v>45.628433375577387</v>
      </c>
      <c r="J65" s="19">
        <f t="shared" si="8"/>
        <v>410.65580859147337</v>
      </c>
      <c r="K65" s="16">
        <f t="shared" si="6"/>
        <v>4.0665835694272636E-4</v>
      </c>
    </row>
    <row r="66" spans="1:11" x14ac:dyDescent="0.15">
      <c r="A66" s="7">
        <v>39235.549675925926</v>
      </c>
      <c r="B66">
        <v>38.200000000000003</v>
      </c>
      <c r="C66" s="6">
        <f t="shared" si="0"/>
        <v>92.000000132247806</v>
      </c>
      <c r="D66" t="str">
        <f t="shared" si="1"/>
        <v/>
      </c>
      <c r="E66">
        <f t="shared" si="3"/>
        <v>39235.549675925926</v>
      </c>
      <c r="F66" s="4">
        <f t="shared" si="2"/>
        <v>0.60000000000000142</v>
      </c>
      <c r="G66" s="4">
        <f t="shared" si="4"/>
        <v>0.30000000000000071</v>
      </c>
      <c r="H66" s="5">
        <f t="shared" si="5"/>
        <v>0.44999996374826806</v>
      </c>
      <c r="I66" s="14">
        <f t="shared" si="7"/>
        <v>82.131154260461415</v>
      </c>
      <c r="J66" s="19">
        <f t="shared" si="8"/>
        <v>492.78696285193479</v>
      </c>
      <c r="K66" s="16">
        <f t="shared" si="6"/>
        <v>4.8799002094603527E-4</v>
      </c>
    </row>
    <row r="67" spans="1:11" x14ac:dyDescent="0.15">
      <c r="A67" s="7">
        <v>39235.549699074072</v>
      </c>
      <c r="B67">
        <v>38.6</v>
      </c>
      <c r="C67" s="6">
        <f t="shared" si="0"/>
        <v>93.999999971129</v>
      </c>
      <c r="D67" t="str">
        <f t="shared" si="1"/>
        <v/>
      </c>
      <c r="E67">
        <f t="shared" si="3"/>
        <v>39235.549699074072</v>
      </c>
      <c r="F67" s="4">
        <f t="shared" si="2"/>
        <v>1</v>
      </c>
      <c r="G67" s="4">
        <f t="shared" si="4"/>
        <v>0.5</v>
      </c>
      <c r="H67" s="5">
        <f t="shared" si="5"/>
        <v>0.7999999355524785</v>
      </c>
      <c r="I67" s="14">
        <f t="shared" si="7"/>
        <v>146.01094090748731</v>
      </c>
      <c r="J67" s="19">
        <f t="shared" si="8"/>
        <v>638.79790375942207</v>
      </c>
      <c r="K67" s="16">
        <f t="shared" si="6"/>
        <v>6.3257964584080692E-4</v>
      </c>
    </row>
    <row r="68" spans="1:11" x14ac:dyDescent="0.15">
      <c r="A68" s="7">
        <v>39235.549722222226</v>
      </c>
      <c r="B68">
        <v>39.6</v>
      </c>
      <c r="C68" s="6">
        <f t="shared" si="0"/>
        <v>96.000000438652933</v>
      </c>
      <c r="D68" t="str">
        <f t="shared" si="1"/>
        <v/>
      </c>
      <c r="E68">
        <f t="shared" si="3"/>
        <v>39235.549722222226</v>
      </c>
      <c r="F68" s="4">
        <f t="shared" si="2"/>
        <v>2</v>
      </c>
      <c r="G68" s="4">
        <f t="shared" si="4"/>
        <v>1</v>
      </c>
      <c r="H68" s="5">
        <f t="shared" si="5"/>
        <v>1.5000003506429493</v>
      </c>
      <c r="I68" s="14">
        <f t="shared" si="7"/>
        <v>273.77060025346822</v>
      </c>
      <c r="J68" s="19">
        <f t="shared" si="8"/>
        <v>912.56850401289034</v>
      </c>
      <c r="K68" s="16">
        <f t="shared" si="6"/>
        <v>9.036852777327772E-4</v>
      </c>
    </row>
    <row r="69" spans="1:11" x14ac:dyDescent="0.15">
      <c r="A69" s="7">
        <v>39235.549745370372</v>
      </c>
      <c r="B69">
        <v>40.9</v>
      </c>
      <c r="C69" s="6">
        <f t="shared" si="0"/>
        <v>98.000000277534127</v>
      </c>
      <c r="D69" t="str">
        <f t="shared" si="1"/>
        <v/>
      </c>
      <c r="E69">
        <f t="shared" si="3"/>
        <v>39235.549745370372</v>
      </c>
      <c r="F69" s="4">
        <f t="shared" si="2"/>
        <v>3.2999999999999972</v>
      </c>
      <c r="G69" s="4">
        <f t="shared" si="4"/>
        <v>1.6499999999999986</v>
      </c>
      <c r="H69" s="5">
        <f t="shared" si="5"/>
        <v>2.6499997865175815</v>
      </c>
      <c r="I69" s="14">
        <f t="shared" si="7"/>
        <v>483.66124175605108</v>
      </c>
      <c r="J69" s="19">
        <f t="shared" si="8"/>
        <v>1396.2297457689415</v>
      </c>
      <c r="K69" s="16">
        <f t="shared" si="6"/>
        <v>1.3826384101967078E-3</v>
      </c>
    </row>
    <row r="70" spans="1:11" x14ac:dyDescent="0.15">
      <c r="A70" s="7">
        <v>39235.549768518518</v>
      </c>
      <c r="B70">
        <v>42.5</v>
      </c>
      <c r="C70" s="6">
        <f t="shared" si="0"/>
        <v>100.00000011641532</v>
      </c>
      <c r="D70" t="str">
        <f t="shared" si="1"/>
        <v/>
      </c>
      <c r="E70">
        <f t="shared" si="3"/>
        <v>39235.549768518518</v>
      </c>
      <c r="F70" s="4">
        <f t="shared" si="2"/>
        <v>4.8999999999999986</v>
      </c>
      <c r="G70" s="4">
        <f t="shared" si="4"/>
        <v>2.4499999999999993</v>
      </c>
      <c r="H70" s="5">
        <f t="shared" si="5"/>
        <v>4.0999996697064471</v>
      </c>
      <c r="I70" s="14">
        <f t="shared" si="7"/>
        <v>748.3060721508715</v>
      </c>
      <c r="J70" s="19">
        <f t="shared" si="8"/>
        <v>2144.5358179198129</v>
      </c>
      <c r="K70" s="16">
        <f t="shared" si="6"/>
        <v>2.1236602377824117E-3</v>
      </c>
    </row>
    <row r="71" spans="1:11" x14ac:dyDescent="0.15">
      <c r="A71" s="7">
        <v>39235.549791666665</v>
      </c>
      <c r="B71">
        <v>44.9</v>
      </c>
      <c r="C71" s="6">
        <f t="shared" si="0"/>
        <v>101.99999995529652</v>
      </c>
      <c r="D71" t="str">
        <f t="shared" si="1"/>
        <v/>
      </c>
      <c r="E71">
        <f t="shared" si="3"/>
        <v>39235.549791666665</v>
      </c>
      <c r="F71" s="4">
        <f t="shared" si="2"/>
        <v>7.2999999999999972</v>
      </c>
      <c r="G71" s="4">
        <f t="shared" si="4"/>
        <v>3.6499999999999986</v>
      </c>
      <c r="H71" s="5">
        <f t="shared" si="5"/>
        <v>6.0999995085876417</v>
      </c>
      <c r="I71" s="14">
        <f t="shared" si="7"/>
        <v>1113.3334244195894</v>
      </c>
      <c r="J71" s="19">
        <f t="shared" si="8"/>
        <v>3257.8692423394023</v>
      </c>
      <c r="K71" s="16">
        <f t="shared" si="6"/>
        <v>3.2261561276050446E-3</v>
      </c>
    </row>
    <row r="72" spans="1:11" x14ac:dyDescent="0.15">
      <c r="A72" s="7">
        <v>39235.549814814818</v>
      </c>
      <c r="B72">
        <v>47.4</v>
      </c>
      <c r="C72" s="6">
        <f t="shared" si="0"/>
        <v>104.00000042282045</v>
      </c>
      <c r="D72" t="str">
        <f t="shared" si="1"/>
        <v/>
      </c>
      <c r="E72">
        <f t="shared" si="3"/>
        <v>39235.549814814818</v>
      </c>
      <c r="F72" s="4">
        <f t="shared" si="2"/>
        <v>9.7999999999999972</v>
      </c>
      <c r="G72" s="4">
        <f t="shared" si="4"/>
        <v>4.8999999999999986</v>
      </c>
      <c r="H72" s="5">
        <f t="shared" si="5"/>
        <v>8.5500019986648077</v>
      </c>
      <c r="I72" s="14">
        <f t="shared" si="7"/>
        <v>1560.4924214447681</v>
      </c>
      <c r="J72" s="19">
        <f t="shared" si="8"/>
        <v>4818.3616637841706</v>
      </c>
      <c r="K72" s="16">
        <f t="shared" si="6"/>
        <v>4.7714582293892742E-3</v>
      </c>
    </row>
    <row r="73" spans="1:11" x14ac:dyDescent="0.15">
      <c r="A73" s="7">
        <v>39235.549837962964</v>
      </c>
      <c r="B73">
        <v>51.3</v>
      </c>
      <c r="C73" s="6">
        <f t="shared" si="0"/>
        <v>106.00000026170164</v>
      </c>
      <c r="D73" t="str">
        <f t="shared" si="1"/>
        <v/>
      </c>
      <c r="E73">
        <f t="shared" si="3"/>
        <v>39235.549837962964</v>
      </c>
      <c r="F73" s="4">
        <f t="shared" si="2"/>
        <v>13.699999999999996</v>
      </c>
      <c r="G73" s="4">
        <f t="shared" si="4"/>
        <v>6.8499999999999979</v>
      </c>
      <c r="H73" s="5">
        <f t="shared" si="5"/>
        <v>11.749999053427015</v>
      </c>
      <c r="I73" s="14">
        <f t="shared" si="7"/>
        <v>2144.5356945787175</v>
      </c>
      <c r="J73" s="19">
        <f t="shared" si="8"/>
        <v>6962.8973583628886</v>
      </c>
      <c r="K73" s="16">
        <f t="shared" si="6"/>
        <v>6.8951183450312314E-3</v>
      </c>
    </row>
    <row r="74" spans="1:11" x14ac:dyDescent="0.15">
      <c r="A74" s="7">
        <v>39235.549861111111</v>
      </c>
      <c r="B74">
        <v>53.5</v>
      </c>
      <c r="C74" s="6">
        <f t="shared" si="0"/>
        <v>108.00000010058284</v>
      </c>
      <c r="D74" t="str">
        <f t="shared" si="1"/>
        <v/>
      </c>
      <c r="E74">
        <f t="shared" si="3"/>
        <v>39235.549861111111</v>
      </c>
      <c r="F74" s="4">
        <f t="shared" si="2"/>
        <v>15.899999999999999</v>
      </c>
      <c r="G74" s="4">
        <f t="shared" si="4"/>
        <v>7.9499999999999993</v>
      </c>
      <c r="H74" s="5">
        <f t="shared" si="5"/>
        <v>14.799998807720836</v>
      </c>
      <c r="I74" s="14">
        <f t="shared" si="7"/>
        <v>2701.2024067885122</v>
      </c>
      <c r="J74" s="19">
        <f t="shared" si="8"/>
        <v>9664.0997651514008</v>
      </c>
      <c r="K74" s="16">
        <f t="shared" si="6"/>
        <v>9.5700264055845058E-3</v>
      </c>
    </row>
    <row r="75" spans="1:11" x14ac:dyDescent="0.15">
      <c r="A75" s="7">
        <v>39235.549884259257</v>
      </c>
      <c r="B75">
        <v>64.099999999999994</v>
      </c>
      <c r="C75" s="6">
        <f t="shared" si="0"/>
        <v>109.99999993946403</v>
      </c>
      <c r="D75" t="str">
        <f t="shared" si="1"/>
        <v/>
      </c>
      <c r="E75">
        <f t="shared" si="3"/>
        <v>39235.549884259257</v>
      </c>
      <c r="F75" s="4">
        <f t="shared" si="2"/>
        <v>26.499999999999993</v>
      </c>
      <c r="G75" s="4">
        <f t="shared" si="4"/>
        <v>13.249999999999996</v>
      </c>
      <c r="H75" s="5">
        <f t="shared" si="5"/>
        <v>21.199998292140659</v>
      </c>
      <c r="I75" s="14">
        <f t="shared" si="7"/>
        <v>3869.2899340484096</v>
      </c>
      <c r="J75" s="19">
        <f t="shared" si="8"/>
        <v>13533.38969919981</v>
      </c>
      <c r="K75" s="16">
        <f t="shared" si="6"/>
        <v>1.340165146529595E-2</v>
      </c>
    </row>
    <row r="76" spans="1:11" x14ac:dyDescent="0.15">
      <c r="A76" s="7">
        <v>39235.549907407411</v>
      </c>
      <c r="B76">
        <v>61.5</v>
      </c>
      <c r="C76" s="6">
        <f t="shared" si="0"/>
        <v>112.00000040698797</v>
      </c>
      <c r="D76" t="str">
        <f t="shared" si="1"/>
        <v/>
      </c>
      <c r="E76">
        <f t="shared" si="3"/>
        <v>39235.549907407411</v>
      </c>
      <c r="F76" s="4">
        <f t="shared" si="2"/>
        <v>23.9</v>
      </c>
      <c r="G76" s="4">
        <f t="shared" si="4"/>
        <v>11.95</v>
      </c>
      <c r="H76" s="5">
        <f t="shared" si="5"/>
        <v>25.200005890801545</v>
      </c>
      <c r="I76" s="14">
        <f t="shared" si="7"/>
        <v>4599.3460842582654</v>
      </c>
      <c r="J76" s="19">
        <f t="shared" si="8"/>
        <v>18132.735783458076</v>
      </c>
      <c r="K76" s="16">
        <f t="shared" si="6"/>
        <v>1.795622608108105E-2</v>
      </c>
    </row>
    <row r="77" spans="1:11" x14ac:dyDescent="0.15">
      <c r="A77" s="7">
        <v>39235.549930555557</v>
      </c>
      <c r="B77">
        <v>64.3</v>
      </c>
      <c r="C77" s="6">
        <f t="shared" si="0"/>
        <v>114.00000024586916</v>
      </c>
      <c r="D77" t="str">
        <f t="shared" si="1"/>
        <v/>
      </c>
      <c r="E77">
        <f t="shared" si="3"/>
        <v>39235.549930555557</v>
      </c>
      <c r="F77" s="4">
        <f t="shared" si="2"/>
        <v>26.699999999999996</v>
      </c>
      <c r="G77" s="4">
        <f t="shared" si="4"/>
        <v>13.349999999999998</v>
      </c>
      <c r="H77" s="5">
        <f t="shared" si="5"/>
        <v>25.299997961847108</v>
      </c>
      <c r="I77" s="14">
        <f t="shared" si="7"/>
        <v>4617.5960061992819</v>
      </c>
      <c r="J77" s="19">
        <f t="shared" si="8"/>
        <v>22750.331789657357</v>
      </c>
      <c r="K77" s="16">
        <f t="shared" si="6"/>
        <v>2.2528872968378199E-2</v>
      </c>
    </row>
    <row r="78" spans="1:11" x14ac:dyDescent="0.15">
      <c r="A78" s="7">
        <v>39235.549953703703</v>
      </c>
      <c r="B78">
        <v>67</v>
      </c>
      <c r="C78" s="6">
        <f t="shared" si="0"/>
        <v>116.00000008475035</v>
      </c>
      <c r="D78" t="str">
        <f t="shared" si="1"/>
        <v/>
      </c>
      <c r="E78">
        <f t="shared" si="3"/>
        <v>39235.549953703703</v>
      </c>
      <c r="F78" s="4">
        <f t="shared" si="2"/>
        <v>29.4</v>
      </c>
      <c r="G78" s="4">
        <f t="shared" si="4"/>
        <v>14.7</v>
      </c>
      <c r="H78" s="5">
        <f t="shared" si="5"/>
        <v>28.049997740308751</v>
      </c>
      <c r="I78" s="14">
        <f t="shared" si="7"/>
        <v>5119.5086155687686</v>
      </c>
      <c r="J78" s="19">
        <f t="shared" si="8"/>
        <v>27869.840405226125</v>
      </c>
      <c r="K78" s="16">
        <f t="shared" si="6"/>
        <v>2.7598546691251127E-2</v>
      </c>
    </row>
    <row r="79" spans="1:11" x14ac:dyDescent="0.15">
      <c r="A79" s="7">
        <v>39235.549976851849</v>
      </c>
      <c r="B79">
        <v>69.7</v>
      </c>
      <c r="C79" s="6">
        <f t="shared" si="0"/>
        <v>117.99999992363155</v>
      </c>
      <c r="D79" t="str">
        <f t="shared" si="1"/>
        <v/>
      </c>
      <c r="E79">
        <f t="shared" si="3"/>
        <v>39235.549976851849</v>
      </c>
      <c r="F79" s="4">
        <f t="shared" si="2"/>
        <v>32.1</v>
      </c>
      <c r="G79" s="4">
        <f t="shared" si="4"/>
        <v>16.05</v>
      </c>
      <c r="H79" s="5">
        <f t="shared" si="5"/>
        <v>30.749997522798367</v>
      </c>
      <c r="I79" s="14">
        <f t="shared" si="7"/>
        <v>5612.2955411315388</v>
      </c>
      <c r="J79" s="19">
        <f t="shared" si="8"/>
        <v>33482.135946357666</v>
      </c>
      <c r="K79" s="16">
        <f t="shared" si="6"/>
        <v>3.3156210398143912E-2</v>
      </c>
    </row>
    <row r="80" spans="1:11" x14ac:dyDescent="0.15">
      <c r="A80" s="7">
        <v>39235.550000000003</v>
      </c>
      <c r="B80">
        <v>72.3</v>
      </c>
      <c r="C80" s="6">
        <f t="shared" si="0"/>
        <v>120.00000039115548</v>
      </c>
      <c r="D80" t="str">
        <f t="shared" si="1"/>
        <v/>
      </c>
      <c r="E80">
        <f t="shared" si="3"/>
        <v>39235.550000000003</v>
      </c>
      <c r="F80" s="4">
        <f t="shared" si="2"/>
        <v>34.699999999999996</v>
      </c>
      <c r="G80" s="4">
        <f t="shared" si="4"/>
        <v>17.349999999999998</v>
      </c>
      <c r="H80" s="5">
        <f t="shared" si="5"/>
        <v>33.400007807649672</v>
      </c>
      <c r="I80" s="14">
        <f t="shared" si="7"/>
        <v>6095.9586989772251</v>
      </c>
      <c r="J80" s="19">
        <f t="shared" si="8"/>
        <v>39578.094645334888</v>
      </c>
      <c r="K80" s="16">
        <f t="shared" si="6"/>
        <v>3.9192829134938441E-2</v>
      </c>
    </row>
    <row r="81" spans="1:11" x14ac:dyDescent="0.15">
      <c r="A81" s="7">
        <v>39235.550023148149</v>
      </c>
      <c r="B81">
        <v>72.099999999999994</v>
      </c>
      <c r="C81" s="6">
        <f t="shared" si="0"/>
        <v>122.00000023003668</v>
      </c>
      <c r="D81" t="str">
        <f t="shared" si="1"/>
        <v/>
      </c>
      <c r="E81">
        <f t="shared" si="3"/>
        <v>39235.550023148149</v>
      </c>
      <c r="F81" s="4">
        <f t="shared" si="2"/>
        <v>34.499999999999993</v>
      </c>
      <c r="G81" s="4">
        <f t="shared" si="4"/>
        <v>17.249999999999996</v>
      </c>
      <c r="H81" s="5">
        <f t="shared" si="5"/>
        <v>34.599997212644659</v>
      </c>
      <c r="I81" s="14">
        <f t="shared" si="7"/>
        <v>6314.9731942488197</v>
      </c>
      <c r="J81" s="19">
        <f t="shared" si="8"/>
        <v>45893.067839583709</v>
      </c>
      <c r="K81" s="16">
        <f t="shared" si="6"/>
        <v>4.5446330411637315E-2</v>
      </c>
    </row>
    <row r="82" spans="1:11" x14ac:dyDescent="0.15">
      <c r="A82" s="7">
        <v>39235.550046296295</v>
      </c>
      <c r="B82">
        <v>74.400000000000006</v>
      </c>
      <c r="C82" s="6">
        <f t="shared" si="0"/>
        <v>124.00000006891787</v>
      </c>
      <c r="D82" t="str">
        <f t="shared" si="1"/>
        <v/>
      </c>
      <c r="E82">
        <f t="shared" si="3"/>
        <v>39235.550046296295</v>
      </c>
      <c r="F82" s="4">
        <f t="shared" si="2"/>
        <v>36.800000000000004</v>
      </c>
      <c r="G82" s="4">
        <f t="shared" si="4"/>
        <v>18.400000000000002</v>
      </c>
      <c r="H82" s="5">
        <f t="shared" si="5"/>
        <v>35.649997128057294</v>
      </c>
      <c r="I82" s="14">
        <f t="shared" si="7"/>
        <v>6506.6125541898973</v>
      </c>
      <c r="J82" s="19">
        <f t="shared" si="8"/>
        <v>52399.680393773604</v>
      </c>
      <c r="K82" s="16">
        <f t="shared" si="6"/>
        <v>5.1889605571010571E-2</v>
      </c>
    </row>
    <row r="83" spans="1:11" x14ac:dyDescent="0.15">
      <c r="A83" s="7">
        <v>39235.550069444442</v>
      </c>
      <c r="B83">
        <v>73.400000000000006</v>
      </c>
      <c r="C83" s="6">
        <f t="shared" si="0"/>
        <v>125.99999990779907</v>
      </c>
      <c r="D83" t="str">
        <f t="shared" si="1"/>
        <v/>
      </c>
      <c r="E83">
        <f t="shared" si="3"/>
        <v>39235.550069444442</v>
      </c>
      <c r="F83" s="4">
        <f t="shared" si="2"/>
        <v>35.800000000000004</v>
      </c>
      <c r="G83" s="4">
        <f t="shared" si="4"/>
        <v>17.900000000000002</v>
      </c>
      <c r="H83" s="5">
        <f t="shared" si="5"/>
        <v>36.299997075693689</v>
      </c>
      <c r="I83" s="14">
        <f t="shared" si="7"/>
        <v>6625.2464436772325</v>
      </c>
      <c r="J83" s="19">
        <f t="shared" si="8"/>
        <v>59024.926837450839</v>
      </c>
      <c r="K83" s="16">
        <f t="shared" si="6"/>
        <v>5.8450359800610835E-2</v>
      </c>
    </row>
    <row r="84" spans="1:11" x14ac:dyDescent="0.15">
      <c r="A84" s="7">
        <v>39235.550092592595</v>
      </c>
      <c r="B84">
        <v>74</v>
      </c>
      <c r="C84" s="6">
        <f t="shared" ref="C84:C147" si="9">(A84-$B$4)*24*60*60</f>
        <v>128.000000375323</v>
      </c>
      <c r="D84" t="str">
        <f t="shared" ref="D84:D147" si="10">IF(F84=$B$8,A84,"")</f>
        <v/>
      </c>
      <c r="E84">
        <f t="shared" si="3"/>
        <v>39235.550092592595</v>
      </c>
      <c r="F84" s="4">
        <f t="shared" ref="F84:F147" si="11">IF((B84-$B$6)&gt;0,B84-$B$6,0)</f>
        <v>36.4</v>
      </c>
      <c r="G84" s="4">
        <f t="shared" si="4"/>
        <v>18.2</v>
      </c>
      <c r="H84" s="5">
        <f t="shared" si="5"/>
        <v>36.100008438806981</v>
      </c>
      <c r="I84" s="14">
        <f t="shared" si="7"/>
        <v>6588.7457794334678</v>
      </c>
      <c r="J84" s="19">
        <f t="shared" si="8"/>
        <v>65613.672616884302</v>
      </c>
      <c r="K84" s="16">
        <f t="shared" si="6"/>
        <v>6.497496867481091E-2</v>
      </c>
    </row>
    <row r="85" spans="1:11" x14ac:dyDescent="0.15">
      <c r="A85" s="7">
        <v>39235.550115740742</v>
      </c>
      <c r="B85">
        <v>76.900000000000006</v>
      </c>
      <c r="C85" s="6">
        <f t="shared" si="9"/>
        <v>130.00000021420419</v>
      </c>
      <c r="D85" t="str">
        <f t="shared" si="10"/>
        <v/>
      </c>
      <c r="E85">
        <f t="shared" ref="E85:E148" si="12">IF(B85-$B$6&gt;0,A85," ")</f>
        <v>39235.550115740742</v>
      </c>
      <c r="F85" s="4">
        <f t="shared" si="11"/>
        <v>39.300000000000004</v>
      </c>
      <c r="G85" s="4">
        <f t="shared" ref="G85:G148" si="13">F85/2</f>
        <v>19.650000000000002</v>
      </c>
      <c r="H85" s="5">
        <f t="shared" ref="H85:H148" si="14">AVERAGE(G84:G85)*(C85-C84)</f>
        <v>37.849996950826608</v>
      </c>
      <c r="I85" s="14">
        <f t="shared" si="7"/>
        <v>6908.1426416854874</v>
      </c>
      <c r="J85" s="19">
        <f t="shared" si="8"/>
        <v>72521.815258569783</v>
      </c>
      <c r="K85" s="16">
        <f t="shared" ref="K85:K148" si="15">J85/($B$12*1000)</f>
        <v>7.1815865302644791E-2</v>
      </c>
    </row>
    <row r="86" spans="1:11" x14ac:dyDescent="0.15">
      <c r="A86" s="7">
        <v>39235.550138888888</v>
      </c>
      <c r="B86">
        <v>76.599999999999994</v>
      </c>
      <c r="C86" s="6">
        <f t="shared" si="9"/>
        <v>132.00000005308539</v>
      </c>
      <c r="D86" t="str">
        <f t="shared" si="10"/>
        <v/>
      </c>
      <c r="E86">
        <f t="shared" si="12"/>
        <v>39235.550138888888</v>
      </c>
      <c r="F86" s="4">
        <f t="shared" si="11"/>
        <v>38.999999999999993</v>
      </c>
      <c r="G86" s="4">
        <f t="shared" si="13"/>
        <v>19.499999999999996</v>
      </c>
      <c r="H86" s="5">
        <f t="shared" si="14"/>
        <v>39.149996846099384</v>
      </c>
      <c r="I86" s="14">
        <f t="shared" ref="I86:I149" si="16">H86*$B$14</f>
        <v>7145.4104206601542</v>
      </c>
      <c r="J86" s="19">
        <f t="shared" ref="J86:J149" si="17">J85+I86</f>
        <v>79667.22567922993</v>
      </c>
      <c r="K86" s="16">
        <f t="shared" si="15"/>
        <v>7.8891720070932661E-2</v>
      </c>
    </row>
    <row r="87" spans="1:11" x14ac:dyDescent="0.15">
      <c r="A87" s="7">
        <v>39235.550162037034</v>
      </c>
      <c r="B87">
        <v>77.8</v>
      </c>
      <c r="C87" s="6">
        <f t="shared" si="9"/>
        <v>133.99999989196658</v>
      </c>
      <c r="D87" t="str">
        <f t="shared" si="10"/>
        <v/>
      </c>
      <c r="E87">
        <f t="shared" si="12"/>
        <v>39235.550162037034</v>
      </c>
      <c r="F87" s="4">
        <f t="shared" si="11"/>
        <v>40.199999999999996</v>
      </c>
      <c r="G87" s="4">
        <f t="shared" si="13"/>
        <v>20.099999999999998</v>
      </c>
      <c r="H87" s="5">
        <f t="shared" si="14"/>
        <v>39.599996809847646</v>
      </c>
      <c r="I87" s="14">
        <f t="shared" si="16"/>
        <v>7227.541574920614</v>
      </c>
      <c r="J87" s="19">
        <f t="shared" si="17"/>
        <v>86894.767254150545</v>
      </c>
      <c r="K87" s="16">
        <f t="shared" si="15"/>
        <v>8.604890650322386E-2</v>
      </c>
    </row>
    <row r="88" spans="1:11" x14ac:dyDescent="0.15">
      <c r="A88" s="7">
        <v>39235.550185185188</v>
      </c>
      <c r="B88">
        <v>75.7</v>
      </c>
      <c r="C88" s="6">
        <f t="shared" si="9"/>
        <v>136.00000035949051</v>
      </c>
      <c r="D88" t="str">
        <f t="shared" si="10"/>
        <v/>
      </c>
      <c r="E88">
        <f t="shared" si="12"/>
        <v>39235.550185185188</v>
      </c>
      <c r="F88" s="4">
        <f t="shared" si="11"/>
        <v>38.1</v>
      </c>
      <c r="G88" s="4">
        <f t="shared" si="13"/>
        <v>19.05</v>
      </c>
      <c r="H88" s="5">
        <f t="shared" si="14"/>
        <v>39.150009151780978</v>
      </c>
      <c r="I88" s="14">
        <f t="shared" si="16"/>
        <v>7145.4126666155198</v>
      </c>
      <c r="J88" s="19">
        <f t="shared" si="17"/>
        <v>94040.179920766066</v>
      </c>
      <c r="K88" s="16">
        <f t="shared" si="15"/>
        <v>9.3124763495604279E-2</v>
      </c>
    </row>
    <row r="89" spans="1:11" x14ac:dyDescent="0.15">
      <c r="A89" s="7">
        <v>39235.550208333334</v>
      </c>
      <c r="B89">
        <v>77.099999999999994</v>
      </c>
      <c r="C89" s="6">
        <f t="shared" si="9"/>
        <v>138.00000019837171</v>
      </c>
      <c r="D89" t="str">
        <f t="shared" si="10"/>
        <v/>
      </c>
      <c r="E89">
        <f t="shared" si="12"/>
        <v>39235.550208333334</v>
      </c>
      <c r="F89" s="4">
        <f t="shared" si="11"/>
        <v>39.499999999999993</v>
      </c>
      <c r="G89" s="4">
        <f t="shared" si="13"/>
        <v>19.749999999999996</v>
      </c>
      <c r="H89" s="5">
        <f t="shared" si="14"/>
        <v>38.799996874295175</v>
      </c>
      <c r="I89" s="14">
        <f t="shared" si="16"/>
        <v>7081.5306340131283</v>
      </c>
      <c r="J89" s="19">
        <f t="shared" si="17"/>
        <v>101121.71055477919</v>
      </c>
      <c r="K89" s="16">
        <f t="shared" si="15"/>
        <v>0.10013736030300069</v>
      </c>
    </row>
    <row r="90" spans="1:11" x14ac:dyDescent="0.15">
      <c r="A90" s="7">
        <v>39235.55023148148</v>
      </c>
      <c r="B90">
        <v>77</v>
      </c>
      <c r="C90" s="6">
        <f t="shared" si="9"/>
        <v>140.0000000372529</v>
      </c>
      <c r="D90" t="str">
        <f t="shared" si="10"/>
        <v/>
      </c>
      <c r="E90">
        <f t="shared" si="12"/>
        <v>39235.55023148148</v>
      </c>
      <c r="F90" s="4">
        <f t="shared" si="11"/>
        <v>39.4</v>
      </c>
      <c r="G90" s="4">
        <f t="shared" si="13"/>
        <v>19.7</v>
      </c>
      <c r="H90" s="5">
        <f t="shared" si="14"/>
        <v>39.449996821931556</v>
      </c>
      <c r="I90" s="14">
        <f t="shared" si="16"/>
        <v>7200.1645235004607</v>
      </c>
      <c r="J90" s="19">
        <f t="shared" si="17"/>
        <v>108321.87507827964</v>
      </c>
      <c r="K90" s="16">
        <f t="shared" si="15"/>
        <v>0.10726743618062411</v>
      </c>
    </row>
    <row r="91" spans="1:11" x14ac:dyDescent="0.15">
      <c r="A91" s="7">
        <v>39235.550254629627</v>
      </c>
      <c r="B91">
        <v>76.400000000000006</v>
      </c>
      <c r="C91" s="6">
        <f t="shared" si="9"/>
        <v>141.9999998761341</v>
      </c>
      <c r="D91" t="str">
        <f t="shared" si="10"/>
        <v/>
      </c>
      <c r="E91">
        <f t="shared" si="12"/>
        <v>39235.550254629627</v>
      </c>
      <c r="F91" s="4">
        <f t="shared" si="11"/>
        <v>38.800000000000004</v>
      </c>
      <c r="G91" s="4">
        <f t="shared" si="13"/>
        <v>19.400000000000002</v>
      </c>
      <c r="H91" s="5">
        <f t="shared" si="14"/>
        <v>39.099996850127354</v>
      </c>
      <c r="I91" s="14">
        <f t="shared" si="16"/>
        <v>7136.2847368534358</v>
      </c>
      <c r="J91" s="19">
        <f t="shared" si="17"/>
        <v>115458.15981513308</v>
      </c>
      <c r="K91" s="16">
        <f t="shared" si="15"/>
        <v>0.11433425409735608</v>
      </c>
    </row>
    <row r="92" spans="1:11" x14ac:dyDescent="0.15">
      <c r="A92" s="7">
        <v>39235.55027777778</v>
      </c>
      <c r="B92">
        <v>76.900000000000006</v>
      </c>
      <c r="C92" s="6">
        <f t="shared" si="9"/>
        <v>144.00000034365803</v>
      </c>
      <c r="D92" t="str">
        <f t="shared" si="10"/>
        <v/>
      </c>
      <c r="E92">
        <f t="shared" si="12"/>
        <v>39235.55027777778</v>
      </c>
      <c r="F92" s="4">
        <f t="shared" si="11"/>
        <v>39.300000000000004</v>
      </c>
      <c r="G92" s="4">
        <f t="shared" si="13"/>
        <v>19.650000000000002</v>
      </c>
      <c r="H92" s="5">
        <f t="shared" si="14"/>
        <v>39.050009128404788</v>
      </c>
      <c r="I92" s="14">
        <f t="shared" si="16"/>
        <v>7127.1612932652897</v>
      </c>
      <c r="J92" s="19">
        <f t="shared" si="17"/>
        <v>122585.32110839838</v>
      </c>
      <c r="K92" s="16">
        <f t="shared" si="15"/>
        <v>0.1213920373809437</v>
      </c>
    </row>
    <row r="93" spans="1:11" x14ac:dyDescent="0.15">
      <c r="A93" s="7">
        <v>39235.550300925926</v>
      </c>
      <c r="B93">
        <v>77</v>
      </c>
      <c r="C93" s="6">
        <f t="shared" si="9"/>
        <v>146.00000018253922</v>
      </c>
      <c r="D93" t="str">
        <f t="shared" si="10"/>
        <v/>
      </c>
      <c r="E93">
        <f t="shared" si="12"/>
        <v>39235.550300925926</v>
      </c>
      <c r="F93" s="4">
        <f t="shared" si="11"/>
        <v>39.4</v>
      </c>
      <c r="G93" s="4">
        <f t="shared" si="13"/>
        <v>19.7</v>
      </c>
      <c r="H93" s="5">
        <f t="shared" si="14"/>
        <v>39.349996829987504</v>
      </c>
      <c r="I93" s="14">
        <f t="shared" si="16"/>
        <v>7181.9131558870258</v>
      </c>
      <c r="J93" s="19">
        <f t="shared" si="17"/>
        <v>129767.23426428541</v>
      </c>
      <c r="K93" s="16">
        <f t="shared" si="15"/>
        <v>0.12850403955545528</v>
      </c>
    </row>
    <row r="94" spans="1:11" x14ac:dyDescent="0.15">
      <c r="A94" s="7">
        <v>39235.550324074073</v>
      </c>
      <c r="B94">
        <v>77</v>
      </c>
      <c r="C94" s="6">
        <f t="shared" si="9"/>
        <v>148.00000002142042</v>
      </c>
      <c r="D94" t="str">
        <f t="shared" si="10"/>
        <v/>
      </c>
      <c r="E94">
        <f t="shared" si="12"/>
        <v>39235.550324074073</v>
      </c>
      <c r="F94" s="4">
        <f t="shared" si="11"/>
        <v>39.4</v>
      </c>
      <c r="G94" s="4">
        <f t="shared" si="13"/>
        <v>19.7</v>
      </c>
      <c r="H94" s="5">
        <f t="shared" si="14"/>
        <v>39.399996825959533</v>
      </c>
      <c r="I94" s="14">
        <f t="shared" si="16"/>
        <v>7191.0388396937442</v>
      </c>
      <c r="J94" s="19">
        <f t="shared" si="17"/>
        <v>136958.27310397915</v>
      </c>
      <c r="K94" s="16">
        <f t="shared" si="15"/>
        <v>0.13562507858152278</v>
      </c>
    </row>
    <row r="95" spans="1:11" x14ac:dyDescent="0.15">
      <c r="A95" s="7">
        <v>39235.550347222219</v>
      </c>
      <c r="B95">
        <v>76</v>
      </c>
      <c r="C95" s="6">
        <f t="shared" si="9"/>
        <v>149.99999986030161</v>
      </c>
      <c r="D95" t="str">
        <f t="shared" si="10"/>
        <v/>
      </c>
      <c r="E95">
        <f t="shared" si="12"/>
        <v>39235.550347222219</v>
      </c>
      <c r="F95" s="4">
        <f t="shared" si="11"/>
        <v>38.4</v>
      </c>
      <c r="G95" s="4">
        <f t="shared" si="13"/>
        <v>19.2</v>
      </c>
      <c r="H95" s="5">
        <f t="shared" si="14"/>
        <v>38.899996866239235</v>
      </c>
      <c r="I95" s="14">
        <f t="shared" si="16"/>
        <v>7099.7820016265641</v>
      </c>
      <c r="J95" s="19">
        <f t="shared" si="17"/>
        <v>144058.05510560572</v>
      </c>
      <c r="K95" s="16">
        <f t="shared" si="15"/>
        <v>0.14265574909203105</v>
      </c>
    </row>
    <row r="96" spans="1:11" x14ac:dyDescent="0.15">
      <c r="A96" s="7">
        <v>39235.550370370373</v>
      </c>
      <c r="B96">
        <v>76.400000000000006</v>
      </c>
      <c r="C96" s="6">
        <f t="shared" si="9"/>
        <v>152.00000032782555</v>
      </c>
      <c r="D96" t="str">
        <f t="shared" si="10"/>
        <v/>
      </c>
      <c r="E96">
        <f t="shared" si="12"/>
        <v>39235.550370370373</v>
      </c>
      <c r="F96" s="4">
        <f t="shared" si="11"/>
        <v>38.800000000000004</v>
      </c>
      <c r="G96" s="4">
        <f t="shared" si="13"/>
        <v>19.400000000000002</v>
      </c>
      <c r="H96" s="5">
        <f t="shared" si="14"/>
        <v>38.600009023211896</v>
      </c>
      <c r="I96" s="14">
        <f t="shared" si="16"/>
        <v>7045.0301131892484</v>
      </c>
      <c r="J96" s="19">
        <f t="shared" si="17"/>
        <v>151103.08521879496</v>
      </c>
      <c r="K96" s="16">
        <f t="shared" si="15"/>
        <v>0.14963220068605107</v>
      </c>
    </row>
    <row r="97" spans="1:11" x14ac:dyDescent="0.15">
      <c r="A97" s="7">
        <v>39235.550393518519</v>
      </c>
      <c r="B97">
        <v>77.599999999999994</v>
      </c>
      <c r="C97" s="6">
        <f t="shared" si="9"/>
        <v>154.00000016670674</v>
      </c>
      <c r="D97" t="str">
        <f t="shared" si="10"/>
        <v/>
      </c>
      <c r="E97">
        <f t="shared" si="12"/>
        <v>39235.550393518519</v>
      </c>
      <c r="F97" s="4">
        <f t="shared" si="11"/>
        <v>39.999999999999993</v>
      </c>
      <c r="G97" s="4">
        <f t="shared" si="13"/>
        <v>19.999999999999996</v>
      </c>
      <c r="H97" s="5">
        <f t="shared" si="14"/>
        <v>39.399996825959533</v>
      </c>
      <c r="I97" s="14">
        <f t="shared" si="16"/>
        <v>7191.0388396937442</v>
      </c>
      <c r="J97" s="19">
        <f t="shared" si="17"/>
        <v>158294.1240584887</v>
      </c>
      <c r="K97" s="16">
        <f t="shared" si="15"/>
        <v>0.15675323971211857</v>
      </c>
    </row>
    <row r="98" spans="1:11" x14ac:dyDescent="0.15">
      <c r="A98" s="7">
        <v>39235.550416666665</v>
      </c>
      <c r="B98">
        <v>78</v>
      </c>
      <c r="C98" s="6">
        <f t="shared" si="9"/>
        <v>156.00000000558794</v>
      </c>
      <c r="D98" t="str">
        <f t="shared" si="10"/>
        <v/>
      </c>
      <c r="E98">
        <f t="shared" si="12"/>
        <v>39235.550416666665</v>
      </c>
      <c r="F98" s="4">
        <f t="shared" si="11"/>
        <v>40.4</v>
      </c>
      <c r="G98" s="4">
        <f t="shared" si="13"/>
        <v>20.2</v>
      </c>
      <c r="H98" s="5">
        <f t="shared" si="14"/>
        <v>40.199996761512004</v>
      </c>
      <c r="I98" s="14">
        <f t="shared" si="16"/>
        <v>7337.0497806012299</v>
      </c>
      <c r="J98" s="19">
        <f t="shared" si="17"/>
        <v>165631.17383908993</v>
      </c>
      <c r="K98" s="16">
        <f t="shared" si="15"/>
        <v>0.16401886836308086</v>
      </c>
    </row>
    <row r="99" spans="1:11" x14ac:dyDescent="0.15">
      <c r="A99" s="7">
        <v>39235.550439814811</v>
      </c>
      <c r="B99">
        <v>79.2</v>
      </c>
      <c r="C99" s="6">
        <f t="shared" si="9"/>
        <v>157.99999984446913</v>
      </c>
      <c r="D99" t="str">
        <f t="shared" si="10"/>
        <v/>
      </c>
      <c r="E99">
        <f t="shared" si="12"/>
        <v>39235.550439814811</v>
      </c>
      <c r="F99" s="4">
        <f t="shared" si="11"/>
        <v>41.6</v>
      </c>
      <c r="G99" s="4">
        <f t="shared" si="13"/>
        <v>20.8</v>
      </c>
      <c r="H99" s="5">
        <f t="shared" si="14"/>
        <v>40.999996697064489</v>
      </c>
      <c r="I99" s="14">
        <f t="shared" si="16"/>
        <v>7483.0607215087184</v>
      </c>
      <c r="J99" s="19">
        <f t="shared" si="17"/>
        <v>173114.23456059865</v>
      </c>
      <c r="K99" s="16">
        <f t="shared" si="15"/>
        <v>0.17142908663893788</v>
      </c>
    </row>
    <row r="100" spans="1:11" x14ac:dyDescent="0.15">
      <c r="A100" s="7">
        <v>39235.550462962965</v>
      </c>
      <c r="B100">
        <v>78.3</v>
      </c>
      <c r="C100" s="6">
        <f t="shared" si="9"/>
        <v>160.00000031199306</v>
      </c>
      <c r="D100" t="str">
        <f t="shared" si="10"/>
        <v/>
      </c>
      <c r="E100">
        <f t="shared" si="12"/>
        <v>39235.550462962965</v>
      </c>
      <c r="F100" s="4">
        <f t="shared" si="11"/>
        <v>40.699999999999996</v>
      </c>
      <c r="G100" s="4">
        <f t="shared" si="13"/>
        <v>20.349999999999998</v>
      </c>
      <c r="H100" s="5">
        <f t="shared" si="14"/>
        <v>41.15000961930491</v>
      </c>
      <c r="I100" s="14">
        <f t="shared" si="16"/>
        <v>7510.4401336201445</v>
      </c>
      <c r="J100" s="19">
        <f t="shared" si="17"/>
        <v>180624.67469421879</v>
      </c>
      <c r="K100" s="16">
        <f t="shared" si="15"/>
        <v>0.17886641780717427</v>
      </c>
    </row>
    <row r="101" spans="1:11" x14ac:dyDescent="0.15">
      <c r="A101" s="7">
        <v>39235.550486111111</v>
      </c>
      <c r="B101">
        <v>83.3</v>
      </c>
      <c r="C101" s="6">
        <f t="shared" si="9"/>
        <v>162.00000015087426</v>
      </c>
      <c r="D101" t="str">
        <f t="shared" si="10"/>
        <v/>
      </c>
      <c r="E101">
        <f t="shared" si="12"/>
        <v>39235.550486111111</v>
      </c>
      <c r="F101" s="4">
        <f t="shared" si="11"/>
        <v>45.699999999999996</v>
      </c>
      <c r="G101" s="4">
        <f t="shared" si="13"/>
        <v>22.849999999999998</v>
      </c>
      <c r="H101" s="5">
        <f t="shared" si="14"/>
        <v>43.199996519833796</v>
      </c>
      <c r="I101" s="14">
        <f t="shared" si="16"/>
        <v>7884.5908090043067</v>
      </c>
      <c r="J101" s="19">
        <f t="shared" si="17"/>
        <v>188509.26550322308</v>
      </c>
      <c r="K101" s="16">
        <f t="shared" si="15"/>
        <v>0.18667425755149192</v>
      </c>
    </row>
    <row r="102" spans="1:11" x14ac:dyDescent="0.15">
      <c r="A102" s="7">
        <v>39235.550509259258</v>
      </c>
      <c r="B102">
        <v>81.400000000000006</v>
      </c>
      <c r="C102" s="6">
        <f t="shared" si="9"/>
        <v>163.99999998975545</v>
      </c>
      <c r="D102" t="str">
        <f t="shared" si="10"/>
        <v/>
      </c>
      <c r="E102">
        <f t="shared" si="12"/>
        <v>39235.550509259258</v>
      </c>
      <c r="F102" s="4">
        <f t="shared" si="11"/>
        <v>43.800000000000004</v>
      </c>
      <c r="G102" s="4">
        <f t="shared" si="13"/>
        <v>21.900000000000002</v>
      </c>
      <c r="H102" s="5">
        <f t="shared" si="14"/>
        <v>44.749996394966729</v>
      </c>
      <c r="I102" s="14">
        <f t="shared" si="16"/>
        <v>8167.4870070125644</v>
      </c>
      <c r="J102" s="19">
        <f t="shared" si="17"/>
        <v>196676.75251023564</v>
      </c>
      <c r="K102" s="16">
        <f t="shared" si="15"/>
        <v>0.19476223969404319</v>
      </c>
    </row>
    <row r="103" spans="1:11" x14ac:dyDescent="0.15">
      <c r="A103" s="7">
        <v>39235.550532407404</v>
      </c>
      <c r="B103">
        <v>81.400000000000006</v>
      </c>
      <c r="C103" s="6">
        <f t="shared" si="9"/>
        <v>165.99999982863665</v>
      </c>
      <c r="D103" t="str">
        <f t="shared" si="10"/>
        <v/>
      </c>
      <c r="E103">
        <f t="shared" si="12"/>
        <v>39235.550532407404</v>
      </c>
      <c r="F103" s="4">
        <f t="shared" si="11"/>
        <v>43.800000000000004</v>
      </c>
      <c r="G103" s="4">
        <f t="shared" si="13"/>
        <v>21.900000000000002</v>
      </c>
      <c r="H103" s="5">
        <f t="shared" si="14"/>
        <v>43.799996471498169</v>
      </c>
      <c r="I103" s="14">
        <f t="shared" si="16"/>
        <v>7994.0990146849244</v>
      </c>
      <c r="J103" s="19">
        <f t="shared" si="17"/>
        <v>204670.85152492058</v>
      </c>
      <c r="K103" s="16">
        <f t="shared" si="15"/>
        <v>0.20267852165703196</v>
      </c>
    </row>
    <row r="104" spans="1:11" x14ac:dyDescent="0.15">
      <c r="A104" s="7">
        <v>39235.550555555557</v>
      </c>
      <c r="B104">
        <v>83.6</v>
      </c>
      <c r="C104" s="6">
        <f t="shared" si="9"/>
        <v>168.00000029616058</v>
      </c>
      <c r="D104" t="str">
        <f t="shared" si="10"/>
        <v/>
      </c>
      <c r="E104">
        <f t="shared" si="12"/>
        <v>39235.550555555557</v>
      </c>
      <c r="F104" s="4">
        <f t="shared" si="11"/>
        <v>45.999999999999993</v>
      </c>
      <c r="G104" s="4">
        <f t="shared" si="13"/>
        <v>22.999999999999996</v>
      </c>
      <c r="H104" s="5">
        <f t="shared" si="14"/>
        <v>44.900010495912284</v>
      </c>
      <c r="I104" s="14">
        <f t="shared" si="16"/>
        <v>8194.8666342538145</v>
      </c>
      <c r="J104" s="19">
        <f t="shared" si="17"/>
        <v>212865.7181591744</v>
      </c>
      <c r="K104" s="16">
        <f t="shared" si="15"/>
        <v>0.21079361690499826</v>
      </c>
    </row>
    <row r="105" spans="1:11" x14ac:dyDescent="0.15">
      <c r="A105" s="7">
        <v>39235.550578703704</v>
      </c>
      <c r="B105">
        <v>83.8</v>
      </c>
      <c r="C105" s="6">
        <f t="shared" si="9"/>
        <v>170.00000013504177</v>
      </c>
      <c r="D105">
        <f t="shared" si="10"/>
        <v>39235.550578703704</v>
      </c>
      <c r="E105">
        <f t="shared" si="12"/>
        <v>39235.550578703704</v>
      </c>
      <c r="F105" s="4">
        <f t="shared" si="11"/>
        <v>46.199999999999996</v>
      </c>
      <c r="G105" s="4">
        <f t="shared" si="13"/>
        <v>23.099999999999998</v>
      </c>
      <c r="H105" s="5">
        <f t="shared" si="14"/>
        <v>46.099996286211528</v>
      </c>
      <c r="I105" s="14">
        <f t="shared" si="16"/>
        <v>8413.8804697939486</v>
      </c>
      <c r="J105" s="19">
        <f t="shared" si="17"/>
        <v>221279.59862896835</v>
      </c>
      <c r="K105" s="16">
        <f t="shared" si="15"/>
        <v>0.21912559403955947</v>
      </c>
    </row>
    <row r="106" spans="1:11" x14ac:dyDescent="0.15">
      <c r="A106" s="7">
        <v>39235.55060185185</v>
      </c>
      <c r="B106">
        <v>83.7</v>
      </c>
      <c r="C106" s="6">
        <f t="shared" si="9"/>
        <v>171.99999997392297</v>
      </c>
      <c r="D106" t="str">
        <f t="shared" si="10"/>
        <v/>
      </c>
      <c r="E106">
        <f t="shared" si="12"/>
        <v>39235.55060185185</v>
      </c>
      <c r="F106" s="4">
        <f t="shared" si="11"/>
        <v>46.1</v>
      </c>
      <c r="G106" s="4">
        <f t="shared" si="13"/>
        <v>23.05</v>
      </c>
      <c r="H106" s="5">
        <f t="shared" si="14"/>
        <v>46.149996282183565</v>
      </c>
      <c r="I106" s="14">
        <f t="shared" si="16"/>
        <v>8423.0061536006669</v>
      </c>
      <c r="J106" s="19">
        <f t="shared" si="17"/>
        <v>229702.60478256902</v>
      </c>
      <c r="K106" s="16">
        <f t="shared" si="15"/>
        <v>0.22746660802567661</v>
      </c>
    </row>
    <row r="107" spans="1:11" x14ac:dyDescent="0.15">
      <c r="A107" s="7">
        <v>39235.550625000003</v>
      </c>
      <c r="B107">
        <v>83.1</v>
      </c>
      <c r="C107" s="6">
        <f t="shared" si="9"/>
        <v>174.0000004414469</v>
      </c>
      <c r="D107" t="str">
        <f t="shared" si="10"/>
        <v/>
      </c>
      <c r="E107">
        <f t="shared" si="12"/>
        <v>39235.550625000003</v>
      </c>
      <c r="F107" s="4">
        <f t="shared" si="11"/>
        <v>45.499999999999993</v>
      </c>
      <c r="G107" s="4">
        <f t="shared" si="13"/>
        <v>22.749999999999996</v>
      </c>
      <c r="H107" s="5">
        <f t="shared" si="14"/>
        <v>45.800010706298053</v>
      </c>
      <c r="I107" s="14">
        <f t="shared" si="16"/>
        <v>8359.1289944058954</v>
      </c>
      <c r="J107" s="19">
        <f t="shared" si="17"/>
        <v>238061.7337769749</v>
      </c>
      <c r="K107" s="16">
        <f t="shared" si="15"/>
        <v>0.23574436665277809</v>
      </c>
    </row>
    <row r="108" spans="1:11" x14ac:dyDescent="0.15">
      <c r="A108" s="7">
        <v>39235.55064814815</v>
      </c>
      <c r="B108">
        <v>82.3</v>
      </c>
      <c r="C108" s="6">
        <f t="shared" si="9"/>
        <v>176.00000028032809</v>
      </c>
      <c r="D108" t="str">
        <f t="shared" si="10"/>
        <v/>
      </c>
      <c r="E108">
        <f t="shared" si="12"/>
        <v>39235.55064814815</v>
      </c>
      <c r="F108" s="4">
        <f t="shared" si="11"/>
        <v>44.699999999999996</v>
      </c>
      <c r="G108" s="4">
        <f t="shared" si="13"/>
        <v>22.349999999999998</v>
      </c>
      <c r="H108" s="5">
        <f t="shared" si="14"/>
        <v>45.099996366770931</v>
      </c>
      <c r="I108" s="14">
        <f t="shared" si="16"/>
        <v>8231.3667936595884</v>
      </c>
      <c r="J108" s="19">
        <f t="shared" si="17"/>
        <v>246293.10057063447</v>
      </c>
      <c r="K108" s="16">
        <f t="shared" si="15"/>
        <v>0.24389560675622082</v>
      </c>
    </row>
    <row r="109" spans="1:11" x14ac:dyDescent="0.15">
      <c r="A109" s="7">
        <v>39235.550671296296</v>
      </c>
      <c r="B109">
        <v>82.3</v>
      </c>
      <c r="C109" s="6">
        <f t="shared" si="9"/>
        <v>178.00000011920929</v>
      </c>
      <c r="D109" t="str">
        <f t="shared" si="10"/>
        <v/>
      </c>
      <c r="E109">
        <f t="shared" si="12"/>
        <v>39235.550671296296</v>
      </c>
      <c r="F109" s="4">
        <f t="shared" si="11"/>
        <v>44.699999999999996</v>
      </c>
      <c r="G109" s="4">
        <f t="shared" si="13"/>
        <v>22.349999999999998</v>
      </c>
      <c r="H109" s="5">
        <f t="shared" si="14"/>
        <v>44.699996398994692</v>
      </c>
      <c r="I109" s="14">
        <f t="shared" si="16"/>
        <v>8158.3613232058451</v>
      </c>
      <c r="J109" s="19">
        <f t="shared" si="17"/>
        <v>254451.46189384031</v>
      </c>
      <c r="K109" s="16">
        <f t="shared" si="15"/>
        <v>0.25197455204721619</v>
      </c>
    </row>
    <row r="110" spans="1:11" x14ac:dyDescent="0.15">
      <c r="A110" s="7">
        <v>39235.550694444442</v>
      </c>
      <c r="B110">
        <v>81.900000000000006</v>
      </c>
      <c r="C110" s="6">
        <f t="shared" si="9"/>
        <v>179.99999995809048</v>
      </c>
      <c r="D110" t="str">
        <f t="shared" si="10"/>
        <v/>
      </c>
      <c r="E110">
        <f t="shared" si="12"/>
        <v>39235.550694444442</v>
      </c>
      <c r="F110" s="4">
        <f t="shared" si="11"/>
        <v>44.300000000000004</v>
      </c>
      <c r="G110" s="4">
        <f t="shared" si="13"/>
        <v>22.150000000000002</v>
      </c>
      <c r="H110" s="5">
        <f t="shared" si="14"/>
        <v>44.49999641510658</v>
      </c>
      <c r="I110" s="14">
        <f t="shared" si="16"/>
        <v>8121.8585879789744</v>
      </c>
      <c r="J110" s="19">
        <f t="shared" si="17"/>
        <v>262573.32048181928</v>
      </c>
      <c r="K110" s="16">
        <f t="shared" si="15"/>
        <v>0.26001734993198783</v>
      </c>
    </row>
    <row r="111" spans="1:11" x14ac:dyDescent="0.15">
      <c r="A111" s="7">
        <v>39235.550717592596</v>
      </c>
      <c r="B111">
        <v>81.599999999999994</v>
      </c>
      <c r="C111" s="6">
        <f t="shared" si="9"/>
        <v>182.00000042561442</v>
      </c>
      <c r="D111" t="str">
        <f t="shared" si="10"/>
        <v/>
      </c>
      <c r="E111">
        <f t="shared" si="12"/>
        <v>39235.550717592596</v>
      </c>
      <c r="F111" s="4">
        <f t="shared" si="11"/>
        <v>43.999999999999993</v>
      </c>
      <c r="G111" s="4">
        <f t="shared" si="13"/>
        <v>21.999999999999996</v>
      </c>
      <c r="H111" s="5">
        <f t="shared" si="14"/>
        <v>44.150010320590809</v>
      </c>
      <c r="I111" s="14">
        <f t="shared" si="16"/>
        <v>8057.981334127081</v>
      </c>
      <c r="J111" s="19">
        <f t="shared" si="17"/>
        <v>270631.30181594635</v>
      </c>
      <c r="K111" s="16">
        <f t="shared" si="15"/>
        <v>0.26799689236400814</v>
      </c>
    </row>
    <row r="112" spans="1:11" x14ac:dyDescent="0.15">
      <c r="A112" s="7">
        <v>39235.550740740742</v>
      </c>
      <c r="B112">
        <v>81.7</v>
      </c>
      <c r="C112" s="6">
        <f t="shared" si="9"/>
        <v>184.00000026449561</v>
      </c>
      <c r="D112" t="str">
        <f t="shared" si="10"/>
        <v/>
      </c>
      <c r="E112">
        <f t="shared" si="12"/>
        <v>39235.550740740742</v>
      </c>
      <c r="F112" s="4">
        <f t="shared" si="11"/>
        <v>44.1</v>
      </c>
      <c r="G112" s="4">
        <f t="shared" si="13"/>
        <v>22.05</v>
      </c>
      <c r="H112" s="5">
        <f t="shared" si="14"/>
        <v>44.049996451358311</v>
      </c>
      <c r="I112" s="14">
        <f t="shared" si="16"/>
        <v>8039.7274337185136</v>
      </c>
      <c r="J112" s="19">
        <f t="shared" si="17"/>
        <v>278671.02924966486</v>
      </c>
      <c r="K112" s="16">
        <f t="shared" si="15"/>
        <v>0.27595835858477652</v>
      </c>
    </row>
    <row r="113" spans="1:11" x14ac:dyDescent="0.15">
      <c r="A113" s="7">
        <v>39235.550763888888</v>
      </c>
      <c r="B113">
        <v>80.3</v>
      </c>
      <c r="C113" s="6">
        <f t="shared" si="9"/>
        <v>186.00000010337681</v>
      </c>
      <c r="D113" t="str">
        <f t="shared" si="10"/>
        <v/>
      </c>
      <c r="E113">
        <f t="shared" si="12"/>
        <v>39235.550763888888</v>
      </c>
      <c r="F113" s="4">
        <f t="shared" si="11"/>
        <v>42.699999999999996</v>
      </c>
      <c r="G113" s="4">
        <f t="shared" si="13"/>
        <v>21.349999999999998</v>
      </c>
      <c r="H113" s="5">
        <f t="shared" si="14"/>
        <v>43.399996503721923</v>
      </c>
      <c r="I113" s="14">
        <f t="shared" si="16"/>
        <v>7921.0935442311802</v>
      </c>
      <c r="J113" s="19">
        <f t="shared" si="17"/>
        <v>286592.12279389607</v>
      </c>
      <c r="K113" s="16">
        <f t="shared" si="15"/>
        <v>0.28380234573531787</v>
      </c>
    </row>
    <row r="114" spans="1:11" x14ac:dyDescent="0.15">
      <c r="A114" s="7">
        <v>39235.550787037035</v>
      </c>
      <c r="B114">
        <v>80.5</v>
      </c>
      <c r="C114" s="6">
        <f t="shared" si="9"/>
        <v>187.999999942258</v>
      </c>
      <c r="D114" t="str">
        <f t="shared" si="10"/>
        <v/>
      </c>
      <c r="E114">
        <f t="shared" si="12"/>
        <v>39235.550787037035</v>
      </c>
      <c r="F114" s="4">
        <f t="shared" si="11"/>
        <v>42.9</v>
      </c>
      <c r="G114" s="4">
        <f t="shared" si="13"/>
        <v>21.45</v>
      </c>
      <c r="H114" s="5">
        <f t="shared" si="14"/>
        <v>42.799996552057564</v>
      </c>
      <c r="I114" s="14">
        <f t="shared" si="16"/>
        <v>7811.5853385505643</v>
      </c>
      <c r="J114" s="19">
        <f t="shared" si="17"/>
        <v>294403.70813244663</v>
      </c>
      <c r="K114" s="16">
        <f t="shared" si="15"/>
        <v>0.29153789066718816</v>
      </c>
    </row>
    <row r="115" spans="1:11" x14ac:dyDescent="0.15">
      <c r="A115" s="7">
        <v>39235.550810185188</v>
      </c>
      <c r="B115">
        <v>79.099999999999994</v>
      </c>
      <c r="C115" s="6">
        <f t="shared" si="9"/>
        <v>190.00000040978193</v>
      </c>
      <c r="D115" t="str">
        <f t="shared" si="10"/>
        <v/>
      </c>
      <c r="E115">
        <f t="shared" si="12"/>
        <v>39235.550810185188</v>
      </c>
      <c r="F115" s="4">
        <f t="shared" si="11"/>
        <v>41.499999999999993</v>
      </c>
      <c r="G115" s="4">
        <f t="shared" si="13"/>
        <v>20.749999999999996</v>
      </c>
      <c r="H115" s="5">
        <f t="shared" si="14"/>
        <v>42.200009864754968</v>
      </c>
      <c r="I115" s="14">
        <f t="shared" si="16"/>
        <v>7702.079553797571</v>
      </c>
      <c r="J115" s="19">
        <f t="shared" si="17"/>
        <v>302105.78768624418</v>
      </c>
      <c r="K115" s="16">
        <f t="shared" si="15"/>
        <v>0.29916499577774891</v>
      </c>
    </row>
    <row r="116" spans="1:11" x14ac:dyDescent="0.15">
      <c r="A116" s="7">
        <v>39235.550833333335</v>
      </c>
      <c r="B116">
        <v>78.2</v>
      </c>
      <c r="C116" s="6">
        <f t="shared" si="9"/>
        <v>192.00000024866313</v>
      </c>
      <c r="D116" t="str">
        <f t="shared" si="10"/>
        <v/>
      </c>
      <c r="E116">
        <f t="shared" si="12"/>
        <v>39235.550833333335</v>
      </c>
      <c r="F116" s="4">
        <f t="shared" si="11"/>
        <v>40.6</v>
      </c>
      <c r="G116" s="4">
        <f t="shared" si="13"/>
        <v>20.3</v>
      </c>
      <c r="H116" s="5">
        <f t="shared" si="14"/>
        <v>41.049996693036519</v>
      </c>
      <c r="I116" s="14">
        <f t="shared" si="16"/>
        <v>7492.1864053154359</v>
      </c>
      <c r="J116" s="19">
        <f t="shared" si="17"/>
        <v>309597.97409155959</v>
      </c>
      <c r="K116" s="16">
        <f t="shared" si="15"/>
        <v>0.30658425090516184</v>
      </c>
    </row>
    <row r="117" spans="1:11" x14ac:dyDescent="0.15">
      <c r="A117" s="7">
        <v>39235.550856481481</v>
      </c>
      <c r="B117">
        <v>77</v>
      </c>
      <c r="C117" s="6">
        <f t="shared" si="9"/>
        <v>194.00000008754432</v>
      </c>
      <c r="D117" t="str">
        <f t="shared" si="10"/>
        <v/>
      </c>
      <c r="E117">
        <f t="shared" si="12"/>
        <v>39235.550856481481</v>
      </c>
      <c r="F117" s="4">
        <f t="shared" si="11"/>
        <v>39.4</v>
      </c>
      <c r="G117" s="4">
        <f t="shared" si="13"/>
        <v>19.7</v>
      </c>
      <c r="H117" s="5">
        <f t="shared" si="14"/>
        <v>39.999996777623892</v>
      </c>
      <c r="I117" s="14">
        <f t="shared" si="16"/>
        <v>7300.5470453743592</v>
      </c>
      <c r="J117" s="19">
        <f t="shared" si="17"/>
        <v>316898.52113693394</v>
      </c>
      <c r="K117" s="16">
        <f t="shared" si="15"/>
        <v>0.31381373214990044</v>
      </c>
    </row>
    <row r="118" spans="1:11" x14ac:dyDescent="0.15">
      <c r="A118" s="7">
        <v>39235.550879629627</v>
      </c>
      <c r="B118">
        <v>76.599999999999994</v>
      </c>
      <c r="C118" s="6">
        <f t="shared" si="9"/>
        <v>195.99999992642552</v>
      </c>
      <c r="D118" t="str">
        <f t="shared" si="10"/>
        <v/>
      </c>
      <c r="E118">
        <f t="shared" si="12"/>
        <v>39235.550879629627</v>
      </c>
      <c r="F118" s="4">
        <f t="shared" si="11"/>
        <v>38.999999999999993</v>
      </c>
      <c r="G118" s="4">
        <f t="shared" si="13"/>
        <v>19.499999999999996</v>
      </c>
      <c r="H118" s="5">
        <f t="shared" si="14"/>
        <v>39.199996842071407</v>
      </c>
      <c r="I118" s="14">
        <f t="shared" si="16"/>
        <v>7154.5361044668707</v>
      </c>
      <c r="J118" s="19">
        <f t="shared" si="17"/>
        <v>324053.05724140082</v>
      </c>
      <c r="K118" s="16">
        <f t="shared" si="15"/>
        <v>0.32089862376974421</v>
      </c>
    </row>
    <row r="119" spans="1:11" x14ac:dyDescent="0.15">
      <c r="A119" s="7">
        <v>39235.550902777781</v>
      </c>
      <c r="B119">
        <v>75.3</v>
      </c>
      <c r="C119" s="6">
        <f t="shared" si="9"/>
        <v>198.00000039394945</v>
      </c>
      <c r="D119" t="str">
        <f t="shared" si="10"/>
        <v/>
      </c>
      <c r="E119">
        <f t="shared" si="12"/>
        <v>39235.550902777781</v>
      </c>
      <c r="F119" s="4">
        <f t="shared" si="11"/>
        <v>37.699999999999996</v>
      </c>
      <c r="G119" s="4">
        <f t="shared" si="13"/>
        <v>18.849999999999998</v>
      </c>
      <c r="H119" s="5">
        <f t="shared" si="14"/>
        <v>38.350008964771398</v>
      </c>
      <c r="I119" s="14">
        <f t="shared" si="16"/>
        <v>6999.401679813669</v>
      </c>
      <c r="J119" s="19">
        <f t="shared" si="17"/>
        <v>331052.45892121451</v>
      </c>
      <c r="K119" s="16">
        <f t="shared" si="15"/>
        <v>0.32782989109178229</v>
      </c>
    </row>
    <row r="120" spans="1:11" x14ac:dyDescent="0.15">
      <c r="A120" s="7">
        <v>39235.550925925927</v>
      </c>
      <c r="B120">
        <v>74.5</v>
      </c>
      <c r="C120" s="6">
        <f t="shared" si="9"/>
        <v>200.00000023283064</v>
      </c>
      <c r="D120" t="str">
        <f t="shared" si="10"/>
        <v/>
      </c>
      <c r="E120">
        <f t="shared" si="12"/>
        <v>39235.550925925927</v>
      </c>
      <c r="F120" s="4">
        <f t="shared" si="11"/>
        <v>36.9</v>
      </c>
      <c r="G120" s="4">
        <f t="shared" si="13"/>
        <v>18.45</v>
      </c>
      <c r="H120" s="5">
        <f t="shared" si="14"/>
        <v>37.299996995134279</v>
      </c>
      <c r="I120" s="14">
        <f t="shared" si="16"/>
        <v>6807.7601198115899</v>
      </c>
      <c r="J120" s="19">
        <f t="shared" si="17"/>
        <v>337860.21904102608</v>
      </c>
      <c r="K120" s="16">
        <f t="shared" si="15"/>
        <v>0.334571382352501</v>
      </c>
    </row>
    <row r="121" spans="1:11" x14ac:dyDescent="0.15">
      <c r="A121" s="7">
        <v>39235.550949074073</v>
      </c>
      <c r="B121">
        <v>73.3</v>
      </c>
      <c r="C121" s="6">
        <f t="shared" si="9"/>
        <v>202.00000007171184</v>
      </c>
      <c r="D121" t="str">
        <f t="shared" si="10"/>
        <v/>
      </c>
      <c r="E121">
        <f t="shared" si="12"/>
        <v>39235.550949074073</v>
      </c>
      <c r="F121" s="4">
        <f t="shared" si="11"/>
        <v>35.699999999999996</v>
      </c>
      <c r="G121" s="4">
        <f t="shared" si="13"/>
        <v>17.849999999999998</v>
      </c>
      <c r="H121" s="5">
        <f t="shared" si="14"/>
        <v>36.299997075693682</v>
      </c>
      <c r="I121" s="14">
        <f t="shared" si="16"/>
        <v>6625.2464436772307</v>
      </c>
      <c r="J121" s="19">
        <f t="shared" si="17"/>
        <v>344485.46548470331</v>
      </c>
      <c r="K121" s="16">
        <f t="shared" si="15"/>
        <v>0.34113213658210123</v>
      </c>
    </row>
    <row r="122" spans="1:11" x14ac:dyDescent="0.15">
      <c r="A122" s="7">
        <v>39235.55097222222</v>
      </c>
      <c r="B122">
        <v>72.5</v>
      </c>
      <c r="C122" s="6">
        <f t="shared" si="9"/>
        <v>203.99999991059303</v>
      </c>
      <c r="D122" t="str">
        <f t="shared" si="10"/>
        <v/>
      </c>
      <c r="E122">
        <f t="shared" si="12"/>
        <v>39235.55097222222</v>
      </c>
      <c r="F122" s="4">
        <f t="shared" si="11"/>
        <v>34.9</v>
      </c>
      <c r="G122" s="4">
        <f t="shared" si="13"/>
        <v>17.45</v>
      </c>
      <c r="H122" s="5">
        <f t="shared" si="14"/>
        <v>35.299997156253085</v>
      </c>
      <c r="I122" s="14">
        <f t="shared" si="16"/>
        <v>6442.7327675428724</v>
      </c>
      <c r="J122" s="19">
        <f t="shared" si="17"/>
        <v>350928.19825224619</v>
      </c>
      <c r="K122" s="16">
        <f t="shared" si="15"/>
        <v>0.34751215378058303</v>
      </c>
    </row>
    <row r="123" spans="1:11" x14ac:dyDescent="0.15">
      <c r="A123" s="7">
        <v>39235.550995370373</v>
      </c>
      <c r="B123">
        <v>71.900000000000006</v>
      </c>
      <c r="C123" s="6">
        <f t="shared" si="9"/>
        <v>206.00000037811697</v>
      </c>
      <c r="D123" t="str">
        <f t="shared" si="10"/>
        <v/>
      </c>
      <c r="E123">
        <f t="shared" si="12"/>
        <v>39235.550995370373</v>
      </c>
      <c r="F123" s="4">
        <f t="shared" si="11"/>
        <v>34.300000000000004</v>
      </c>
      <c r="G123" s="4">
        <f t="shared" si="13"/>
        <v>17.150000000000002</v>
      </c>
      <c r="H123" s="5">
        <f t="shared" si="14"/>
        <v>34.600008088164032</v>
      </c>
      <c r="I123" s="14">
        <f t="shared" si="16"/>
        <v>6314.9751791799999</v>
      </c>
      <c r="J123" s="19">
        <f t="shared" si="17"/>
        <v>357243.17343142617</v>
      </c>
      <c r="K123" s="16">
        <f t="shared" si="15"/>
        <v>0.35376565702289114</v>
      </c>
    </row>
    <row r="124" spans="1:11" x14ac:dyDescent="0.15">
      <c r="A124" s="7">
        <v>39235.551018518519</v>
      </c>
      <c r="B124">
        <v>71.2</v>
      </c>
      <c r="C124" s="6">
        <f t="shared" si="9"/>
        <v>208.00000021699816</v>
      </c>
      <c r="D124" t="str">
        <f t="shared" si="10"/>
        <v/>
      </c>
      <c r="E124">
        <f t="shared" si="12"/>
        <v>39235.551018518519</v>
      </c>
      <c r="F124" s="4">
        <f t="shared" si="11"/>
        <v>33.6</v>
      </c>
      <c r="G124" s="4">
        <f t="shared" si="13"/>
        <v>16.8</v>
      </c>
      <c r="H124" s="5">
        <f t="shared" si="14"/>
        <v>33.949997265008278</v>
      </c>
      <c r="I124" s="14">
        <f t="shared" si="16"/>
        <v>6196.3393047614873</v>
      </c>
      <c r="J124" s="19">
        <f t="shared" si="17"/>
        <v>363439.51273618767</v>
      </c>
      <c r="K124" s="16">
        <f t="shared" si="15"/>
        <v>0.359901679229363</v>
      </c>
    </row>
    <row r="125" spans="1:11" x14ac:dyDescent="0.15">
      <c r="A125" s="7">
        <v>39235.551041666666</v>
      </c>
      <c r="B125">
        <v>70.5</v>
      </c>
      <c r="C125" s="6">
        <f t="shared" si="9"/>
        <v>210.00000005587935</v>
      </c>
      <c r="D125" t="str">
        <f t="shared" si="10"/>
        <v/>
      </c>
      <c r="E125">
        <f t="shared" si="12"/>
        <v>39235.551041666666</v>
      </c>
      <c r="F125" s="4">
        <f t="shared" si="11"/>
        <v>32.9</v>
      </c>
      <c r="G125" s="4">
        <f t="shared" si="13"/>
        <v>16.45</v>
      </c>
      <c r="H125" s="5">
        <f t="shared" si="14"/>
        <v>33.24999732139986</v>
      </c>
      <c r="I125" s="14">
        <f t="shared" si="16"/>
        <v>6068.5797314674364</v>
      </c>
      <c r="J125" s="19">
        <f t="shared" si="17"/>
        <v>369508.09246765508</v>
      </c>
      <c r="K125" s="16">
        <f t="shared" si="15"/>
        <v>0.36591118551405194</v>
      </c>
    </row>
    <row r="126" spans="1:11" x14ac:dyDescent="0.15">
      <c r="A126" s="7">
        <v>39235.551064814812</v>
      </c>
      <c r="B126">
        <v>69.900000000000006</v>
      </c>
      <c r="C126" s="6">
        <f t="shared" si="9"/>
        <v>211.99999989476055</v>
      </c>
      <c r="D126" t="str">
        <f t="shared" si="10"/>
        <v/>
      </c>
      <c r="E126">
        <f t="shared" si="12"/>
        <v>39235.551064814812</v>
      </c>
      <c r="F126" s="4">
        <f t="shared" si="11"/>
        <v>32.300000000000004</v>
      </c>
      <c r="G126" s="4">
        <f t="shared" si="13"/>
        <v>16.150000000000002</v>
      </c>
      <c r="H126" s="5">
        <f t="shared" si="14"/>
        <v>32.599997373763472</v>
      </c>
      <c r="I126" s="14">
        <f t="shared" si="16"/>
        <v>5949.9458419801031</v>
      </c>
      <c r="J126" s="19">
        <f t="shared" si="17"/>
        <v>375458.03830963519</v>
      </c>
      <c r="K126" s="16">
        <f t="shared" si="15"/>
        <v>0.37180321272851391</v>
      </c>
    </row>
    <row r="127" spans="1:11" x14ac:dyDescent="0.15">
      <c r="A127" s="7">
        <v>39235.551087962966</v>
      </c>
      <c r="B127">
        <v>69.900000000000006</v>
      </c>
      <c r="C127" s="6">
        <f t="shared" si="9"/>
        <v>214.00000036228448</v>
      </c>
      <c r="D127" t="str">
        <f t="shared" si="10"/>
        <v/>
      </c>
      <c r="E127">
        <f t="shared" si="12"/>
        <v>39235.551087962966</v>
      </c>
      <c r="F127" s="4">
        <f t="shared" si="11"/>
        <v>32.300000000000004</v>
      </c>
      <c r="G127" s="4">
        <f t="shared" si="13"/>
        <v>16.150000000000002</v>
      </c>
      <c r="H127" s="5">
        <f t="shared" si="14"/>
        <v>32.300007550511516</v>
      </c>
      <c r="I127" s="14">
        <f t="shared" si="16"/>
        <v>5895.1935921246832</v>
      </c>
      <c r="J127" s="19">
        <f t="shared" si="17"/>
        <v>381353.23190175986</v>
      </c>
      <c r="K127" s="16">
        <f t="shared" si="15"/>
        <v>0.37764102066858762</v>
      </c>
    </row>
    <row r="128" spans="1:11" x14ac:dyDescent="0.15">
      <c r="A128" s="7">
        <v>39235.551111111112</v>
      </c>
      <c r="B128">
        <v>69.7</v>
      </c>
      <c r="C128" s="6">
        <f t="shared" si="9"/>
        <v>216.00000020116568</v>
      </c>
      <c r="D128" t="str">
        <f t="shared" si="10"/>
        <v/>
      </c>
      <c r="E128">
        <f t="shared" si="12"/>
        <v>39235.551111111112</v>
      </c>
      <c r="F128" s="4">
        <f t="shared" si="11"/>
        <v>32.1</v>
      </c>
      <c r="G128" s="4">
        <f t="shared" si="13"/>
        <v>16.05</v>
      </c>
      <c r="H128" s="5">
        <f t="shared" si="14"/>
        <v>32.199997405987233</v>
      </c>
      <c r="I128" s="14">
        <f t="shared" si="16"/>
        <v>5876.9403715263588</v>
      </c>
      <c r="J128" s="19">
        <f t="shared" si="17"/>
        <v>387230.17227328621</v>
      </c>
      <c r="K128" s="16">
        <f t="shared" si="15"/>
        <v>0.38346075307060218</v>
      </c>
    </row>
    <row r="129" spans="1:11" x14ac:dyDescent="0.15">
      <c r="A129" s="7">
        <v>39235.551134259258</v>
      </c>
      <c r="B129">
        <v>69.5</v>
      </c>
      <c r="C129" s="6">
        <f t="shared" si="9"/>
        <v>218.00000004004687</v>
      </c>
      <c r="D129" t="str">
        <f t="shared" si="10"/>
        <v/>
      </c>
      <c r="E129">
        <f t="shared" si="12"/>
        <v>39235.551134259258</v>
      </c>
      <c r="F129" s="4">
        <f t="shared" si="11"/>
        <v>31.9</v>
      </c>
      <c r="G129" s="4">
        <f t="shared" si="13"/>
        <v>15.95</v>
      </c>
      <c r="H129" s="5">
        <f t="shared" si="14"/>
        <v>31.999997422099113</v>
      </c>
      <c r="I129" s="14">
        <f t="shared" si="16"/>
        <v>5840.4376362994872</v>
      </c>
      <c r="J129" s="19">
        <f t="shared" si="17"/>
        <v>393070.60990958568</v>
      </c>
      <c r="K129" s="16">
        <f t="shared" si="15"/>
        <v>0.38924433806639303</v>
      </c>
    </row>
    <row r="130" spans="1:11" x14ac:dyDescent="0.15">
      <c r="A130" s="7">
        <v>39235.551157407404</v>
      </c>
      <c r="B130">
        <v>69.099999999999994</v>
      </c>
      <c r="C130" s="6">
        <f t="shared" si="9"/>
        <v>219.99999987892807</v>
      </c>
      <c r="D130" t="str">
        <f t="shared" si="10"/>
        <v/>
      </c>
      <c r="E130">
        <f t="shared" si="12"/>
        <v>39235.551157407404</v>
      </c>
      <c r="F130" s="4">
        <f t="shared" si="11"/>
        <v>31.499999999999993</v>
      </c>
      <c r="G130" s="4">
        <f t="shared" si="13"/>
        <v>15.749999999999996</v>
      </c>
      <c r="H130" s="5">
        <f t="shared" si="14"/>
        <v>31.699997446266931</v>
      </c>
      <c r="I130" s="14">
        <f t="shared" si="16"/>
        <v>5785.6835334591788</v>
      </c>
      <c r="J130" s="19">
        <f t="shared" si="17"/>
        <v>398856.29344304488</v>
      </c>
      <c r="K130" s="16">
        <f t="shared" si="15"/>
        <v>0.39497370195284837</v>
      </c>
    </row>
    <row r="131" spans="1:11" x14ac:dyDescent="0.15">
      <c r="A131" s="7">
        <v>39235.551180555558</v>
      </c>
      <c r="B131">
        <v>68.8</v>
      </c>
      <c r="C131" s="6">
        <f t="shared" si="9"/>
        <v>222.000000346452</v>
      </c>
      <c r="D131" t="str">
        <f t="shared" si="10"/>
        <v/>
      </c>
      <c r="E131">
        <f t="shared" si="12"/>
        <v>39235.551180555558</v>
      </c>
      <c r="F131" s="4">
        <f t="shared" si="11"/>
        <v>31.199999999999996</v>
      </c>
      <c r="G131" s="4">
        <f t="shared" si="13"/>
        <v>15.599999999999998</v>
      </c>
      <c r="H131" s="5">
        <f t="shared" si="14"/>
        <v>31.350007328437634</v>
      </c>
      <c r="I131" s="14">
        <f t="shared" si="16"/>
        <v>5721.8055452974841</v>
      </c>
      <c r="J131" s="19">
        <f t="shared" si="17"/>
        <v>404578.09898834239</v>
      </c>
      <c r="K131" s="16">
        <f t="shared" si="15"/>
        <v>0.40063980965939056</v>
      </c>
    </row>
    <row r="132" spans="1:11" x14ac:dyDescent="0.15">
      <c r="A132" s="7">
        <v>39235.551203703704</v>
      </c>
      <c r="B132">
        <v>68.599999999999994</v>
      </c>
      <c r="C132" s="6">
        <f t="shared" si="9"/>
        <v>224.00000018533319</v>
      </c>
      <c r="D132" t="str">
        <f t="shared" si="10"/>
        <v/>
      </c>
      <c r="E132">
        <f t="shared" si="12"/>
        <v>39235.551203703704</v>
      </c>
      <c r="F132" s="4">
        <f t="shared" si="11"/>
        <v>30.999999999999993</v>
      </c>
      <c r="G132" s="4">
        <f t="shared" si="13"/>
        <v>15.499999999999996</v>
      </c>
      <c r="H132" s="5">
        <f t="shared" si="14"/>
        <v>31.099997494602569</v>
      </c>
      <c r="I132" s="14">
        <f t="shared" si="16"/>
        <v>5676.1753277785629</v>
      </c>
      <c r="J132" s="19">
        <f t="shared" si="17"/>
        <v>410254.27431612095</v>
      </c>
      <c r="K132" s="16">
        <f t="shared" si="15"/>
        <v>0.40626073132717483</v>
      </c>
    </row>
    <row r="133" spans="1:11" x14ac:dyDescent="0.15">
      <c r="A133" s="7">
        <v>39235.551226851851</v>
      </c>
      <c r="B133">
        <v>68.3</v>
      </c>
      <c r="C133" s="6">
        <f t="shared" si="9"/>
        <v>226.00000002421439</v>
      </c>
      <c r="D133" t="str">
        <f t="shared" si="10"/>
        <v/>
      </c>
      <c r="E133">
        <f t="shared" si="12"/>
        <v>39235.551226851851</v>
      </c>
      <c r="F133" s="4">
        <f t="shared" si="11"/>
        <v>30.699999999999996</v>
      </c>
      <c r="G133" s="4">
        <f t="shared" si="13"/>
        <v>15.349999999999998</v>
      </c>
      <c r="H133" s="5">
        <f t="shared" si="14"/>
        <v>30.849997514742419</v>
      </c>
      <c r="I133" s="14">
        <f t="shared" si="16"/>
        <v>5630.5469087449728</v>
      </c>
      <c r="J133" s="19">
        <f t="shared" si="17"/>
        <v>415884.82122486591</v>
      </c>
      <c r="K133" s="16">
        <f t="shared" si="15"/>
        <v>0.41183646873717944</v>
      </c>
    </row>
    <row r="134" spans="1:11" x14ac:dyDescent="0.15">
      <c r="A134" s="7">
        <v>39235.551249999997</v>
      </c>
      <c r="B134">
        <v>67.8</v>
      </c>
      <c r="C134" s="6">
        <f t="shared" si="9"/>
        <v>227.99999986309558</v>
      </c>
      <c r="D134" t="str">
        <f t="shared" si="10"/>
        <v/>
      </c>
      <c r="E134">
        <f t="shared" si="12"/>
        <v>39235.551249999997</v>
      </c>
      <c r="F134" s="4">
        <f t="shared" si="11"/>
        <v>30.199999999999996</v>
      </c>
      <c r="G134" s="4">
        <f t="shared" si="13"/>
        <v>15.099999999999998</v>
      </c>
      <c r="H134" s="5">
        <f t="shared" si="14"/>
        <v>30.449997546966184</v>
      </c>
      <c r="I134" s="14">
        <f t="shared" si="16"/>
        <v>5557.5414382912304</v>
      </c>
      <c r="J134" s="19">
        <f t="shared" si="17"/>
        <v>421442.36266315717</v>
      </c>
      <c r="K134" s="16">
        <f t="shared" si="15"/>
        <v>0.41733991133473669</v>
      </c>
    </row>
    <row r="135" spans="1:11" x14ac:dyDescent="0.15">
      <c r="A135" s="7">
        <v>39235.55127314815</v>
      </c>
      <c r="B135">
        <v>67.400000000000006</v>
      </c>
      <c r="C135" s="6">
        <f t="shared" si="9"/>
        <v>230.00000033061951</v>
      </c>
      <c r="D135" t="str">
        <f t="shared" si="10"/>
        <v/>
      </c>
      <c r="E135">
        <f t="shared" si="12"/>
        <v>39235.55127314815</v>
      </c>
      <c r="F135" s="4">
        <f t="shared" si="11"/>
        <v>29.800000000000004</v>
      </c>
      <c r="G135" s="4">
        <f t="shared" si="13"/>
        <v>14.900000000000002</v>
      </c>
      <c r="H135" s="5">
        <f t="shared" si="14"/>
        <v>30.000007012858987</v>
      </c>
      <c r="I135" s="14">
        <f t="shared" si="16"/>
        <v>5475.4120050693637</v>
      </c>
      <c r="J135" s="19">
        <f t="shared" si="17"/>
        <v>426917.77466822654</v>
      </c>
      <c r="K135" s="16">
        <f t="shared" si="15"/>
        <v>0.42276202397257612</v>
      </c>
    </row>
    <row r="136" spans="1:11" x14ac:dyDescent="0.15">
      <c r="A136" s="7">
        <v>39235.551296296297</v>
      </c>
      <c r="B136">
        <v>66.599999999999994</v>
      </c>
      <c r="C136" s="6">
        <f t="shared" si="9"/>
        <v>232.00000016950071</v>
      </c>
      <c r="D136" t="str">
        <f t="shared" si="10"/>
        <v/>
      </c>
      <c r="E136">
        <f t="shared" si="12"/>
        <v>39235.551296296297</v>
      </c>
      <c r="F136" s="4">
        <f t="shared" si="11"/>
        <v>28.999999999999993</v>
      </c>
      <c r="G136" s="4">
        <f t="shared" si="13"/>
        <v>14.499999999999996</v>
      </c>
      <c r="H136" s="5">
        <f t="shared" si="14"/>
        <v>29.39999763155356</v>
      </c>
      <c r="I136" s="14">
        <f t="shared" si="16"/>
        <v>5365.9020783501537</v>
      </c>
      <c r="J136" s="19">
        <f t="shared" si="17"/>
        <v>432283.67674657668</v>
      </c>
      <c r="K136" s="16">
        <f t="shared" si="15"/>
        <v>0.42807569268745893</v>
      </c>
    </row>
    <row r="137" spans="1:11" x14ac:dyDescent="0.15">
      <c r="A137" s="7">
        <v>39235.551319444443</v>
      </c>
      <c r="B137">
        <v>66.400000000000006</v>
      </c>
      <c r="C137" s="6">
        <f t="shared" si="9"/>
        <v>234.0000000083819</v>
      </c>
      <c r="D137" t="str">
        <f t="shared" si="10"/>
        <v/>
      </c>
      <c r="E137">
        <f t="shared" si="12"/>
        <v>39235.551319444443</v>
      </c>
      <c r="F137" s="4">
        <f t="shared" si="11"/>
        <v>28.800000000000004</v>
      </c>
      <c r="G137" s="4">
        <f t="shared" si="13"/>
        <v>14.400000000000002</v>
      </c>
      <c r="H137" s="5">
        <f t="shared" si="14"/>
        <v>28.899997671833262</v>
      </c>
      <c r="I137" s="14">
        <f t="shared" si="16"/>
        <v>5274.6452402829746</v>
      </c>
      <c r="J137" s="19">
        <f t="shared" si="17"/>
        <v>437558.32198685966</v>
      </c>
      <c r="K137" s="16">
        <f t="shared" si="15"/>
        <v>0.43329899288678259</v>
      </c>
    </row>
    <row r="138" spans="1:11" x14ac:dyDescent="0.15">
      <c r="A138" s="7">
        <v>39235.551342592589</v>
      </c>
      <c r="B138">
        <v>65.5</v>
      </c>
      <c r="C138" s="6">
        <f t="shared" si="9"/>
        <v>235.9999998472631</v>
      </c>
      <c r="D138" t="str">
        <f t="shared" si="10"/>
        <v/>
      </c>
      <c r="E138">
        <f t="shared" si="12"/>
        <v>39235.551342592589</v>
      </c>
      <c r="F138" s="4">
        <f t="shared" si="11"/>
        <v>27.9</v>
      </c>
      <c r="G138" s="4">
        <f t="shared" si="13"/>
        <v>13.95</v>
      </c>
      <c r="H138" s="5">
        <f t="shared" si="14"/>
        <v>28.349997716140933</v>
      </c>
      <c r="I138" s="14">
        <f t="shared" si="16"/>
        <v>5174.262718409077</v>
      </c>
      <c r="J138" s="19">
        <f t="shared" si="17"/>
        <v>442732.58470526873</v>
      </c>
      <c r="K138" s="16">
        <f t="shared" si="15"/>
        <v>0.43842288771899107</v>
      </c>
    </row>
    <row r="139" spans="1:11" x14ac:dyDescent="0.15">
      <c r="A139" s="7">
        <v>39235.551365740743</v>
      </c>
      <c r="B139">
        <v>65.099999999999994</v>
      </c>
      <c r="C139" s="6">
        <f t="shared" si="9"/>
        <v>238.00000031478703</v>
      </c>
      <c r="D139" t="str">
        <f t="shared" si="10"/>
        <v/>
      </c>
      <c r="E139">
        <f t="shared" si="12"/>
        <v>39235.551365740743</v>
      </c>
      <c r="F139" s="4">
        <f t="shared" si="11"/>
        <v>27.499999999999993</v>
      </c>
      <c r="G139" s="4">
        <f t="shared" si="13"/>
        <v>13.749999999999996</v>
      </c>
      <c r="H139" s="5">
        <f t="shared" si="14"/>
        <v>27.700006475206461</v>
      </c>
      <c r="I139" s="14">
        <f t="shared" si="16"/>
        <v>5055.6304180140451</v>
      </c>
      <c r="J139" s="19">
        <f t="shared" si="17"/>
        <v>447788.2151232828</v>
      </c>
      <c r="K139" s="16">
        <f t="shared" si="15"/>
        <v>0.4434293050545961</v>
      </c>
    </row>
    <row r="140" spans="1:11" x14ac:dyDescent="0.15">
      <c r="A140" s="7">
        <v>39235.551388888889</v>
      </c>
      <c r="B140">
        <v>64.599999999999994</v>
      </c>
      <c r="C140" s="6">
        <f t="shared" si="9"/>
        <v>240.00000015366822</v>
      </c>
      <c r="D140" t="str">
        <f t="shared" si="10"/>
        <v/>
      </c>
      <c r="E140">
        <f t="shared" si="12"/>
        <v>39235.551388888889</v>
      </c>
      <c r="F140" s="4">
        <f t="shared" si="11"/>
        <v>26.999999999999993</v>
      </c>
      <c r="G140" s="4">
        <f t="shared" si="13"/>
        <v>13.499999999999996</v>
      </c>
      <c r="H140" s="5">
        <f t="shared" si="14"/>
        <v>27.249997804756269</v>
      </c>
      <c r="I140" s="14">
        <f t="shared" si="16"/>
        <v>4973.4976746612811</v>
      </c>
      <c r="J140" s="19">
        <f t="shared" si="17"/>
        <v>452761.71279794408</v>
      </c>
      <c r="K140" s="16">
        <f t="shared" si="15"/>
        <v>0.44835438915257431</v>
      </c>
    </row>
    <row r="141" spans="1:11" x14ac:dyDescent="0.15">
      <c r="A141" s="7">
        <v>39235.551412037035</v>
      </c>
      <c r="B141">
        <v>64.2</v>
      </c>
      <c r="C141" s="6">
        <f t="shared" si="9"/>
        <v>241.99999999254942</v>
      </c>
      <c r="D141" t="str">
        <f t="shared" si="10"/>
        <v/>
      </c>
      <c r="E141">
        <f t="shared" si="12"/>
        <v>39235.551412037035</v>
      </c>
      <c r="F141" s="4">
        <f t="shared" si="11"/>
        <v>26.6</v>
      </c>
      <c r="G141" s="4">
        <f t="shared" si="13"/>
        <v>13.3</v>
      </c>
      <c r="H141" s="5">
        <f t="shared" si="14"/>
        <v>26.799997841008004</v>
      </c>
      <c r="I141" s="14">
        <f t="shared" si="16"/>
        <v>4891.3665204008203</v>
      </c>
      <c r="J141" s="19">
        <f t="shared" si="17"/>
        <v>457653.07931834488</v>
      </c>
      <c r="K141" s="16">
        <f t="shared" si="15"/>
        <v>0.45319814158654909</v>
      </c>
    </row>
    <row r="142" spans="1:11" x14ac:dyDescent="0.15">
      <c r="A142" s="7">
        <v>39235.551435185182</v>
      </c>
      <c r="B142">
        <v>63.9</v>
      </c>
      <c r="C142" s="6">
        <f t="shared" si="9"/>
        <v>243.99999983143061</v>
      </c>
      <c r="D142" t="str">
        <f t="shared" si="10"/>
        <v/>
      </c>
      <c r="E142">
        <f t="shared" si="12"/>
        <v>39235.551435185182</v>
      </c>
      <c r="F142" s="4">
        <f t="shared" si="11"/>
        <v>26.299999999999997</v>
      </c>
      <c r="G142" s="4">
        <f t="shared" si="13"/>
        <v>13.149999999999999</v>
      </c>
      <c r="H142" s="5">
        <f t="shared" si="14"/>
        <v>26.449997869203798</v>
      </c>
      <c r="I142" s="14">
        <f t="shared" si="16"/>
        <v>4827.4867337537953</v>
      </c>
      <c r="J142" s="19">
        <f t="shared" si="17"/>
        <v>462480.5660520987</v>
      </c>
      <c r="K142" s="16">
        <f t="shared" si="15"/>
        <v>0.45797863605963252</v>
      </c>
    </row>
    <row r="143" spans="1:11" x14ac:dyDescent="0.15">
      <c r="A143" s="7">
        <v>39235.551458333335</v>
      </c>
      <c r="B143">
        <v>63.8</v>
      </c>
      <c r="C143" s="6">
        <f t="shared" si="9"/>
        <v>246.00000029895455</v>
      </c>
      <c r="D143" t="str">
        <f t="shared" si="10"/>
        <v/>
      </c>
      <c r="E143">
        <f t="shared" si="12"/>
        <v>39235.551458333335</v>
      </c>
      <c r="F143" s="4">
        <f t="shared" si="11"/>
        <v>26.199999999999996</v>
      </c>
      <c r="G143" s="4">
        <f t="shared" si="13"/>
        <v>13.099999999999998</v>
      </c>
      <c r="H143" s="5">
        <f t="shared" si="14"/>
        <v>26.25000613625161</v>
      </c>
      <c r="I143" s="14">
        <f t="shared" si="16"/>
        <v>4790.9855044356927</v>
      </c>
      <c r="J143" s="19">
        <f t="shared" si="17"/>
        <v>467271.55155653437</v>
      </c>
      <c r="K143" s="16">
        <f t="shared" si="15"/>
        <v>0.46272298461774197</v>
      </c>
    </row>
    <row r="144" spans="1:11" x14ac:dyDescent="0.15">
      <c r="A144" s="7">
        <v>39235.551481481481</v>
      </c>
      <c r="B144">
        <v>63.5</v>
      </c>
      <c r="C144" s="6">
        <f t="shared" si="9"/>
        <v>248.00000013783574</v>
      </c>
      <c r="D144" t="str">
        <f t="shared" si="10"/>
        <v/>
      </c>
      <c r="E144">
        <f t="shared" si="12"/>
        <v>39235.551481481481</v>
      </c>
      <c r="F144" s="4">
        <f t="shared" si="11"/>
        <v>25.9</v>
      </c>
      <c r="G144" s="4">
        <f t="shared" si="13"/>
        <v>12.95</v>
      </c>
      <c r="H144" s="5">
        <f t="shared" si="14"/>
        <v>26.049997901427556</v>
      </c>
      <c r="I144" s="14">
        <f t="shared" si="16"/>
        <v>4754.4812633000511</v>
      </c>
      <c r="J144" s="19">
        <f t="shared" si="17"/>
        <v>472026.03281983442</v>
      </c>
      <c r="K144" s="16">
        <f t="shared" si="15"/>
        <v>0.46743118427837799</v>
      </c>
    </row>
    <row r="145" spans="1:11" x14ac:dyDescent="0.15">
      <c r="A145" s="7">
        <v>39235.551504629628</v>
      </c>
      <c r="B145">
        <v>63.8</v>
      </c>
      <c r="C145" s="6">
        <f t="shared" si="9"/>
        <v>249.99999997671694</v>
      </c>
      <c r="D145" t="str">
        <f t="shared" si="10"/>
        <v/>
      </c>
      <c r="E145">
        <f t="shared" si="12"/>
        <v>39235.551504629628</v>
      </c>
      <c r="F145" s="4">
        <f t="shared" si="11"/>
        <v>26.199999999999996</v>
      </c>
      <c r="G145" s="4">
        <f t="shared" si="13"/>
        <v>13.099999999999998</v>
      </c>
      <c r="H145" s="5">
        <f t="shared" si="14"/>
        <v>26.049997901427556</v>
      </c>
      <c r="I145" s="14">
        <f t="shared" si="16"/>
        <v>4754.4812633000511</v>
      </c>
      <c r="J145" s="19">
        <f t="shared" si="17"/>
        <v>476780.51408313448</v>
      </c>
      <c r="K145" s="16">
        <f t="shared" si="15"/>
        <v>0.47213938393901395</v>
      </c>
    </row>
    <row r="146" spans="1:11" x14ac:dyDescent="0.15">
      <c r="A146" s="7">
        <v>39235.551527777781</v>
      </c>
      <c r="B146">
        <v>63.3</v>
      </c>
      <c r="C146" s="6">
        <f t="shared" si="9"/>
        <v>252.00000044424087</v>
      </c>
      <c r="D146" t="str">
        <f t="shared" si="10"/>
        <v/>
      </c>
      <c r="E146">
        <f t="shared" si="12"/>
        <v>39235.551527777781</v>
      </c>
      <c r="F146" s="4">
        <f t="shared" si="11"/>
        <v>25.699999999999996</v>
      </c>
      <c r="G146" s="4">
        <f t="shared" si="13"/>
        <v>12.849999999999998</v>
      </c>
      <c r="H146" s="5">
        <f t="shared" si="14"/>
        <v>25.95000606612302</v>
      </c>
      <c r="I146" s="14">
        <f t="shared" si="16"/>
        <v>4736.2313843849988</v>
      </c>
      <c r="J146" s="19">
        <f t="shared" si="17"/>
        <v>481516.7454675195</v>
      </c>
      <c r="K146" s="16">
        <f t="shared" si="15"/>
        <v>0.47682951137074508</v>
      </c>
    </row>
    <row r="147" spans="1:11" x14ac:dyDescent="0.15">
      <c r="A147" s="7">
        <v>39235.551550925928</v>
      </c>
      <c r="B147">
        <v>63.5</v>
      </c>
      <c r="C147" s="6">
        <f t="shared" si="9"/>
        <v>254.00000028312206</v>
      </c>
      <c r="D147" t="str">
        <f t="shared" si="10"/>
        <v/>
      </c>
      <c r="E147">
        <f t="shared" si="12"/>
        <v>39235.551550925928</v>
      </c>
      <c r="F147" s="4">
        <f t="shared" si="11"/>
        <v>25.9</v>
      </c>
      <c r="G147" s="4">
        <f t="shared" si="13"/>
        <v>12.95</v>
      </c>
      <c r="H147" s="5">
        <f t="shared" si="14"/>
        <v>25.799997921567407</v>
      </c>
      <c r="I147" s="14">
        <f t="shared" si="16"/>
        <v>4708.852844266461</v>
      </c>
      <c r="J147" s="19">
        <f t="shared" si="17"/>
        <v>486225.59831178596</v>
      </c>
      <c r="K147" s="16">
        <f t="shared" si="15"/>
        <v>0.48149252677360144</v>
      </c>
    </row>
    <row r="148" spans="1:11" x14ac:dyDescent="0.15">
      <c r="A148" s="7">
        <v>39235.551574074074</v>
      </c>
      <c r="B148">
        <v>63.3</v>
      </c>
      <c r="C148" s="6">
        <f t="shared" ref="C148:C211" si="18">(A148-$B$4)*24*60*60</f>
        <v>256.00000012200326</v>
      </c>
      <c r="D148" t="str">
        <f t="shared" ref="D148:D211" si="19">IF(F148=$B$8,A148,"")</f>
        <v/>
      </c>
      <c r="E148">
        <f t="shared" si="12"/>
        <v>39235.551574074074</v>
      </c>
      <c r="F148" s="4">
        <f t="shared" ref="F148:F211" si="20">IF((B148-$B$6)&gt;0,B148-$B$6,0)</f>
        <v>25.699999999999996</v>
      </c>
      <c r="G148" s="4">
        <f t="shared" si="13"/>
        <v>12.849999999999998</v>
      </c>
      <c r="H148" s="5">
        <f t="shared" si="14"/>
        <v>25.799997921567407</v>
      </c>
      <c r="I148" s="14">
        <f t="shared" si="16"/>
        <v>4708.852844266461</v>
      </c>
      <c r="J148" s="19">
        <f t="shared" si="17"/>
        <v>490934.45115605241</v>
      </c>
      <c r="K148" s="16">
        <f t="shared" si="15"/>
        <v>0.48615554217645784</v>
      </c>
    </row>
    <row r="149" spans="1:11" x14ac:dyDescent="0.15">
      <c r="A149" s="7">
        <v>39235.55159722222</v>
      </c>
      <c r="B149">
        <v>63.5</v>
      </c>
      <c r="C149" s="6">
        <f t="shared" si="18"/>
        <v>257.99999996088445</v>
      </c>
      <c r="D149" t="str">
        <f t="shared" si="19"/>
        <v/>
      </c>
      <c r="E149">
        <f t="shared" ref="E149:E212" si="21">IF(B149-$B$6&gt;0,A149," ")</f>
        <v>39235.55159722222</v>
      </c>
      <c r="F149" s="4">
        <f t="shared" si="20"/>
        <v>25.9</v>
      </c>
      <c r="G149" s="4">
        <f t="shared" ref="G149:G212" si="22">F149/2</f>
        <v>12.95</v>
      </c>
      <c r="H149" s="5">
        <f t="shared" ref="H149:H212" si="23">AVERAGE(G148:G149)*(C149-C148)</f>
        <v>25.799997921567407</v>
      </c>
      <c r="I149" s="14">
        <f t="shared" si="16"/>
        <v>4708.852844266461</v>
      </c>
      <c r="J149" s="19">
        <f t="shared" si="17"/>
        <v>495643.30400031887</v>
      </c>
      <c r="K149" s="16">
        <f t="shared" ref="K149:K212" si="24">J149/($B$12*1000)</f>
        <v>0.4908185575793142</v>
      </c>
    </row>
    <row r="150" spans="1:11" x14ac:dyDescent="0.15">
      <c r="A150" s="7">
        <v>39235.551620370374</v>
      </c>
      <c r="B150">
        <v>63.5</v>
      </c>
      <c r="C150" s="6">
        <f t="shared" si="18"/>
        <v>260.00000042840838</v>
      </c>
      <c r="D150" t="str">
        <f t="shared" si="19"/>
        <v/>
      </c>
      <c r="E150">
        <f t="shared" si="21"/>
        <v>39235.551620370374</v>
      </c>
      <c r="F150" s="4">
        <f t="shared" si="20"/>
        <v>25.9</v>
      </c>
      <c r="G150" s="4">
        <f t="shared" si="22"/>
        <v>12.95</v>
      </c>
      <c r="H150" s="5">
        <f t="shared" si="23"/>
        <v>25.900006054434925</v>
      </c>
      <c r="I150" s="14">
        <f t="shared" ref="I150:I213" si="25">H150*$B$14</f>
        <v>4727.1056977098842</v>
      </c>
      <c r="J150" s="19">
        <f t="shared" ref="J150:J213" si="26">J149+I150</f>
        <v>500370.40969802876</v>
      </c>
      <c r="K150" s="16">
        <f t="shared" si="24"/>
        <v>0.49549964815664888</v>
      </c>
    </row>
    <row r="151" spans="1:11" x14ac:dyDescent="0.15">
      <c r="A151" s="7">
        <v>39235.55164351852</v>
      </c>
      <c r="B151">
        <v>63.3</v>
      </c>
      <c r="C151" s="6">
        <f t="shared" si="18"/>
        <v>262.00000026728958</v>
      </c>
      <c r="D151" t="str">
        <f t="shared" si="19"/>
        <v/>
      </c>
      <c r="E151">
        <f t="shared" si="21"/>
        <v>39235.55164351852</v>
      </c>
      <c r="F151" s="4">
        <f t="shared" si="20"/>
        <v>25.699999999999996</v>
      </c>
      <c r="G151" s="4">
        <f t="shared" si="22"/>
        <v>12.849999999999998</v>
      </c>
      <c r="H151" s="5">
        <f t="shared" si="23"/>
        <v>25.799997921567407</v>
      </c>
      <c r="I151" s="14">
        <f t="shared" si="25"/>
        <v>4708.852844266461</v>
      </c>
      <c r="J151" s="19">
        <f t="shared" si="26"/>
        <v>505079.26254229521</v>
      </c>
      <c r="K151" s="16">
        <f t="shared" si="24"/>
        <v>0.50016266355950523</v>
      </c>
    </row>
    <row r="152" spans="1:11" x14ac:dyDescent="0.15">
      <c r="A152" s="7">
        <v>39235.551666666666</v>
      </c>
      <c r="B152">
        <v>63.5</v>
      </c>
      <c r="C152" s="6">
        <f t="shared" si="18"/>
        <v>264.00000010617077</v>
      </c>
      <c r="D152" t="str">
        <f t="shared" si="19"/>
        <v/>
      </c>
      <c r="E152">
        <f t="shared" si="21"/>
        <v>39235.551666666666</v>
      </c>
      <c r="F152" s="4">
        <f t="shared" si="20"/>
        <v>25.9</v>
      </c>
      <c r="G152" s="4">
        <f t="shared" si="22"/>
        <v>12.95</v>
      </c>
      <c r="H152" s="5">
        <f t="shared" si="23"/>
        <v>25.799997921567407</v>
      </c>
      <c r="I152" s="14">
        <f t="shared" si="25"/>
        <v>4708.852844266461</v>
      </c>
      <c r="J152" s="19">
        <f t="shared" si="26"/>
        <v>509788.11538656167</v>
      </c>
      <c r="K152" s="16">
        <f t="shared" si="24"/>
        <v>0.50482567896236163</v>
      </c>
    </row>
    <row r="153" spans="1:11" x14ac:dyDescent="0.15">
      <c r="A153" s="7">
        <v>39235.551689814813</v>
      </c>
      <c r="B153">
        <v>63.6</v>
      </c>
      <c r="C153" s="6">
        <f t="shared" si="18"/>
        <v>265.99999994505197</v>
      </c>
      <c r="D153" t="str">
        <f t="shared" si="19"/>
        <v/>
      </c>
      <c r="E153">
        <f t="shared" si="21"/>
        <v>39235.551689814813</v>
      </c>
      <c r="F153" s="4">
        <f t="shared" si="20"/>
        <v>26</v>
      </c>
      <c r="G153" s="4">
        <f t="shared" si="22"/>
        <v>13</v>
      </c>
      <c r="H153" s="5">
        <f t="shared" si="23"/>
        <v>25.9499979094835</v>
      </c>
      <c r="I153" s="14">
        <f t="shared" si="25"/>
        <v>4736.2298956866152</v>
      </c>
      <c r="J153" s="19">
        <f t="shared" si="26"/>
        <v>514524.34528224828</v>
      </c>
      <c r="K153" s="16">
        <f t="shared" si="24"/>
        <v>0.5095158049198858</v>
      </c>
    </row>
    <row r="154" spans="1:11" x14ac:dyDescent="0.15">
      <c r="A154" s="7">
        <v>39235.551712962966</v>
      </c>
      <c r="B154">
        <v>63.9</v>
      </c>
      <c r="C154" s="6">
        <f t="shared" si="18"/>
        <v>268.0000004125759</v>
      </c>
      <c r="D154" t="str">
        <f t="shared" si="19"/>
        <v/>
      </c>
      <c r="E154">
        <f t="shared" si="21"/>
        <v>39235.551712962966</v>
      </c>
      <c r="F154" s="4">
        <f t="shared" si="20"/>
        <v>26.299999999999997</v>
      </c>
      <c r="G154" s="4">
        <f t="shared" si="22"/>
        <v>13.149999999999999</v>
      </c>
      <c r="H154" s="5">
        <f t="shared" si="23"/>
        <v>26.150006112875417</v>
      </c>
      <c r="I154" s="14">
        <f t="shared" si="25"/>
        <v>4772.7341310854626</v>
      </c>
      <c r="J154" s="19">
        <f t="shared" si="26"/>
        <v>519297.07941333373</v>
      </c>
      <c r="K154" s="16">
        <f t="shared" si="24"/>
        <v>0.51424207976920244</v>
      </c>
    </row>
    <row r="155" spans="1:11" x14ac:dyDescent="0.15">
      <c r="A155" s="7">
        <v>39235.551736111112</v>
      </c>
      <c r="B155">
        <v>63.5</v>
      </c>
      <c r="C155" s="6">
        <f t="shared" si="18"/>
        <v>270.0000002514571</v>
      </c>
      <c r="D155" t="str">
        <f t="shared" si="19"/>
        <v/>
      </c>
      <c r="E155">
        <f t="shared" si="21"/>
        <v>39235.551736111112</v>
      </c>
      <c r="F155" s="4">
        <f t="shared" si="20"/>
        <v>25.9</v>
      </c>
      <c r="G155" s="4">
        <f t="shared" si="22"/>
        <v>12.95</v>
      </c>
      <c r="H155" s="5">
        <f t="shared" si="23"/>
        <v>26.099997897399586</v>
      </c>
      <c r="I155" s="14">
        <f t="shared" si="25"/>
        <v>4763.6069471067685</v>
      </c>
      <c r="J155" s="19">
        <f t="shared" si="26"/>
        <v>524060.68636044051</v>
      </c>
      <c r="K155" s="16">
        <f t="shared" si="24"/>
        <v>0.51895931628139436</v>
      </c>
    </row>
    <row r="156" spans="1:11" x14ac:dyDescent="0.15">
      <c r="A156" s="7">
        <v>39235.551759259259</v>
      </c>
      <c r="B156">
        <v>63.8</v>
      </c>
      <c r="C156" s="6">
        <f t="shared" si="18"/>
        <v>272.00000009033829</v>
      </c>
      <c r="D156" t="str">
        <f t="shared" si="19"/>
        <v/>
      </c>
      <c r="E156">
        <f t="shared" si="21"/>
        <v>39235.551759259259</v>
      </c>
      <c r="F156" s="4">
        <f t="shared" si="20"/>
        <v>26.199999999999996</v>
      </c>
      <c r="G156" s="4">
        <f t="shared" si="22"/>
        <v>13.099999999999998</v>
      </c>
      <c r="H156" s="5">
        <f t="shared" si="23"/>
        <v>26.049997901427556</v>
      </c>
      <c r="I156" s="14">
        <f t="shared" si="25"/>
        <v>4754.4812633000511</v>
      </c>
      <c r="J156" s="19">
        <f t="shared" si="26"/>
        <v>528815.1676237405</v>
      </c>
      <c r="K156" s="16">
        <f t="shared" si="24"/>
        <v>0.52366751594203031</v>
      </c>
    </row>
    <row r="157" spans="1:11" x14ac:dyDescent="0.15">
      <c r="A157" s="7">
        <v>39235.551782407405</v>
      </c>
      <c r="B157">
        <v>63.8</v>
      </c>
      <c r="C157" s="6">
        <f t="shared" si="18"/>
        <v>273.99999992921948</v>
      </c>
      <c r="D157" t="str">
        <f t="shared" si="19"/>
        <v/>
      </c>
      <c r="E157">
        <f t="shared" si="21"/>
        <v>39235.551782407405</v>
      </c>
      <c r="F157" s="4">
        <f t="shared" si="20"/>
        <v>26.199999999999996</v>
      </c>
      <c r="G157" s="4">
        <f t="shared" si="22"/>
        <v>13.099999999999998</v>
      </c>
      <c r="H157" s="5">
        <f t="shared" si="23"/>
        <v>26.199997889343646</v>
      </c>
      <c r="I157" s="14">
        <f t="shared" si="25"/>
        <v>4781.8583147202044</v>
      </c>
      <c r="J157" s="19">
        <f t="shared" si="26"/>
        <v>533597.02593846072</v>
      </c>
      <c r="K157" s="16">
        <f t="shared" si="24"/>
        <v>0.52840282615733414</v>
      </c>
    </row>
    <row r="158" spans="1:11" x14ac:dyDescent="0.15">
      <c r="A158" s="7">
        <v>39235.551805555559</v>
      </c>
      <c r="B158">
        <v>63.5</v>
      </c>
      <c r="C158" s="6">
        <f t="shared" si="18"/>
        <v>276.00000039674342</v>
      </c>
      <c r="D158" t="str">
        <f t="shared" si="19"/>
        <v/>
      </c>
      <c r="E158">
        <f t="shared" si="21"/>
        <v>39235.551805555559</v>
      </c>
      <c r="F158" s="4">
        <f t="shared" si="20"/>
        <v>25.9</v>
      </c>
      <c r="G158" s="4">
        <f t="shared" si="22"/>
        <v>12.95</v>
      </c>
      <c r="H158" s="5">
        <f t="shared" si="23"/>
        <v>26.050006089499217</v>
      </c>
      <c r="I158" s="14">
        <f t="shared" si="25"/>
        <v>4754.4827577352307</v>
      </c>
      <c r="J158" s="19">
        <f t="shared" si="26"/>
        <v>538351.5086961959</v>
      </c>
      <c r="K158" s="16">
        <f t="shared" si="24"/>
        <v>0.53311102729785798</v>
      </c>
    </row>
    <row r="159" spans="1:11" x14ac:dyDescent="0.15">
      <c r="A159" s="7">
        <v>39235.551828703705</v>
      </c>
      <c r="B159">
        <v>62.9</v>
      </c>
      <c r="C159" s="6">
        <f t="shared" si="18"/>
        <v>278.00000023562461</v>
      </c>
      <c r="D159" t="str">
        <f t="shared" si="19"/>
        <v/>
      </c>
      <c r="E159">
        <f t="shared" si="21"/>
        <v>39235.551828703705</v>
      </c>
      <c r="F159" s="4">
        <f t="shared" si="20"/>
        <v>25.299999999999997</v>
      </c>
      <c r="G159" s="4">
        <f t="shared" si="22"/>
        <v>12.649999999999999</v>
      </c>
      <c r="H159" s="5">
        <f t="shared" si="23"/>
        <v>25.599997937679287</v>
      </c>
      <c r="I159" s="14">
        <f t="shared" si="25"/>
        <v>4672.3501090395894</v>
      </c>
      <c r="J159" s="19">
        <f t="shared" si="26"/>
        <v>543023.85880523548</v>
      </c>
      <c r="K159" s="16">
        <f t="shared" si="24"/>
        <v>0.53773789529449068</v>
      </c>
    </row>
    <row r="160" spans="1:11" x14ac:dyDescent="0.15">
      <c r="A160" s="7">
        <v>39235.551851851851</v>
      </c>
      <c r="B160">
        <v>62.6</v>
      </c>
      <c r="C160" s="6">
        <f t="shared" si="18"/>
        <v>280.00000007450581</v>
      </c>
      <c r="D160" t="str">
        <f t="shared" si="19"/>
        <v/>
      </c>
      <c r="E160">
        <f t="shared" si="21"/>
        <v>39235.551851851851</v>
      </c>
      <c r="F160" s="4">
        <f t="shared" si="20"/>
        <v>25</v>
      </c>
      <c r="G160" s="4">
        <f t="shared" si="22"/>
        <v>12.5</v>
      </c>
      <c r="H160" s="5">
        <f t="shared" si="23"/>
        <v>25.149997973931022</v>
      </c>
      <c r="I160" s="14">
        <f t="shared" si="25"/>
        <v>4590.2189547791286</v>
      </c>
      <c r="J160" s="19">
        <f t="shared" si="26"/>
        <v>547614.07776001457</v>
      </c>
      <c r="K160" s="16">
        <f t="shared" si="24"/>
        <v>0.54228343162712001</v>
      </c>
    </row>
    <row r="161" spans="1:11" x14ac:dyDescent="0.15">
      <c r="A161" s="7">
        <v>39235.551874999997</v>
      </c>
      <c r="B161">
        <v>62.2</v>
      </c>
      <c r="C161" s="6">
        <f t="shared" si="18"/>
        <v>281.999999913387</v>
      </c>
      <c r="D161" t="str">
        <f t="shared" si="19"/>
        <v/>
      </c>
      <c r="E161">
        <f t="shared" si="21"/>
        <v>39235.551874999997</v>
      </c>
      <c r="F161" s="4">
        <f t="shared" si="20"/>
        <v>24.6</v>
      </c>
      <c r="G161" s="4">
        <f t="shared" si="22"/>
        <v>12.3</v>
      </c>
      <c r="H161" s="5">
        <f t="shared" si="23"/>
        <v>24.799998002126813</v>
      </c>
      <c r="I161" s="14">
        <f t="shared" si="25"/>
        <v>4526.3391681321027</v>
      </c>
      <c r="J161" s="19">
        <f t="shared" si="26"/>
        <v>552140.41692814662</v>
      </c>
      <c r="K161" s="16">
        <f t="shared" si="24"/>
        <v>0.54676570999885787</v>
      </c>
    </row>
    <row r="162" spans="1:11" x14ac:dyDescent="0.15">
      <c r="A162" s="7">
        <v>39235.551898148151</v>
      </c>
      <c r="B162">
        <v>61.5</v>
      </c>
      <c r="C162" s="6">
        <f t="shared" si="18"/>
        <v>284.00000038091093</v>
      </c>
      <c r="D162" t="str">
        <f t="shared" si="19"/>
        <v/>
      </c>
      <c r="E162">
        <f t="shared" si="21"/>
        <v>39235.551898148151</v>
      </c>
      <c r="F162" s="4">
        <f t="shared" si="20"/>
        <v>23.9</v>
      </c>
      <c r="G162" s="4">
        <f t="shared" si="22"/>
        <v>11.95</v>
      </c>
      <c r="H162" s="5">
        <f t="shared" si="23"/>
        <v>24.250005668727681</v>
      </c>
      <c r="I162" s="14">
        <f t="shared" si="25"/>
        <v>4425.958037431069</v>
      </c>
      <c r="J162" s="19">
        <f t="shared" si="26"/>
        <v>556566.37496557774</v>
      </c>
      <c r="K162" s="16">
        <f t="shared" si="24"/>
        <v>0.55114858438111136</v>
      </c>
    </row>
    <row r="163" spans="1:11" x14ac:dyDescent="0.15">
      <c r="A163" s="7">
        <v>39235.551921296297</v>
      </c>
      <c r="B163">
        <v>60.4</v>
      </c>
      <c r="C163" s="6">
        <f t="shared" si="18"/>
        <v>286.00000021979213</v>
      </c>
      <c r="D163" t="str">
        <f t="shared" si="19"/>
        <v/>
      </c>
      <c r="E163">
        <f t="shared" si="21"/>
        <v>39235.551921296297</v>
      </c>
      <c r="F163" s="4">
        <f t="shared" si="20"/>
        <v>22.799999999999997</v>
      </c>
      <c r="G163" s="4">
        <f t="shared" si="22"/>
        <v>11.399999999999999</v>
      </c>
      <c r="H163" s="5">
        <f t="shared" si="23"/>
        <v>23.349998118937943</v>
      </c>
      <c r="I163" s="14">
        <f t="shared" si="25"/>
        <v>4261.6943377372818</v>
      </c>
      <c r="J163" s="19">
        <f t="shared" si="26"/>
        <v>560828.06930331502</v>
      </c>
      <c r="K163" s="16">
        <f t="shared" si="24"/>
        <v>0.55536879405772754</v>
      </c>
    </row>
    <row r="164" spans="1:11" x14ac:dyDescent="0.15">
      <c r="A164" s="7">
        <v>39235.551944444444</v>
      </c>
      <c r="B164">
        <v>60.6</v>
      </c>
      <c r="C164" s="6">
        <f t="shared" si="18"/>
        <v>288.00000005867332</v>
      </c>
      <c r="D164" t="str">
        <f t="shared" si="19"/>
        <v/>
      </c>
      <c r="E164">
        <f t="shared" si="21"/>
        <v>39235.551944444444</v>
      </c>
      <c r="F164" s="4">
        <f t="shared" si="20"/>
        <v>23</v>
      </c>
      <c r="G164" s="4">
        <f t="shared" si="22"/>
        <v>11.5</v>
      </c>
      <c r="H164" s="5">
        <f t="shared" si="23"/>
        <v>22.899998155189678</v>
      </c>
      <c r="I164" s="14">
        <f t="shared" si="25"/>
        <v>4179.563183476821</v>
      </c>
      <c r="J164" s="19">
        <f t="shared" si="26"/>
        <v>565007.63248679182</v>
      </c>
      <c r="K164" s="16">
        <f t="shared" si="24"/>
        <v>0.55950767207034036</v>
      </c>
    </row>
    <row r="165" spans="1:11" x14ac:dyDescent="0.15">
      <c r="A165" s="7">
        <v>39235.55196759259</v>
      </c>
      <c r="B165">
        <v>60.3</v>
      </c>
      <c r="C165" s="6">
        <f t="shared" si="18"/>
        <v>289.99999989755452</v>
      </c>
      <c r="D165" t="str">
        <f t="shared" si="19"/>
        <v/>
      </c>
      <c r="E165">
        <f t="shared" si="21"/>
        <v>39235.55196759259</v>
      </c>
      <c r="F165" s="4">
        <f t="shared" si="20"/>
        <v>22.699999999999996</v>
      </c>
      <c r="G165" s="4">
        <f t="shared" si="22"/>
        <v>11.349999999999998</v>
      </c>
      <c r="H165" s="5">
        <f t="shared" si="23"/>
        <v>22.849998159217645</v>
      </c>
      <c r="I165" s="14">
        <f t="shared" si="25"/>
        <v>4170.4374996701017</v>
      </c>
      <c r="J165" s="19">
        <f t="shared" si="26"/>
        <v>569178.06998646189</v>
      </c>
      <c r="K165" s="16">
        <f t="shared" si="24"/>
        <v>0.56363751323139721</v>
      </c>
    </row>
    <row r="166" spans="1:11" x14ac:dyDescent="0.15">
      <c r="A166" s="7">
        <v>39235.551990740743</v>
      </c>
      <c r="B166">
        <v>59.6</v>
      </c>
      <c r="C166" s="6">
        <f t="shared" si="18"/>
        <v>292.00000036507845</v>
      </c>
      <c r="D166" t="str">
        <f t="shared" si="19"/>
        <v/>
      </c>
      <c r="E166">
        <f t="shared" si="21"/>
        <v>39235.551990740743</v>
      </c>
      <c r="F166" s="4">
        <f t="shared" si="20"/>
        <v>22</v>
      </c>
      <c r="G166" s="4">
        <f t="shared" si="22"/>
        <v>11</v>
      </c>
      <c r="H166" s="5">
        <f t="shared" si="23"/>
        <v>22.350005224579942</v>
      </c>
      <c r="I166" s="14">
        <f t="shared" si="25"/>
        <v>4079.1819437766753</v>
      </c>
      <c r="J166" s="19">
        <f t="shared" si="26"/>
        <v>573257.25193023856</v>
      </c>
      <c r="K166" s="16">
        <f t="shared" si="24"/>
        <v>0.56767698714658765</v>
      </c>
    </row>
    <row r="167" spans="1:11" x14ac:dyDescent="0.15">
      <c r="A167" s="7">
        <v>39235.55201388889</v>
      </c>
      <c r="B167">
        <v>59.2</v>
      </c>
      <c r="C167" s="6">
        <f t="shared" si="18"/>
        <v>294.00000020395964</v>
      </c>
      <c r="D167" t="str">
        <f t="shared" si="19"/>
        <v/>
      </c>
      <c r="E167">
        <f t="shared" si="21"/>
        <v>39235.55201388889</v>
      </c>
      <c r="F167" s="4">
        <f t="shared" si="20"/>
        <v>21.6</v>
      </c>
      <c r="G167" s="4">
        <f t="shared" si="22"/>
        <v>10.8</v>
      </c>
      <c r="H167" s="5">
        <f t="shared" si="23"/>
        <v>21.799998243805021</v>
      </c>
      <c r="I167" s="14">
        <f t="shared" si="25"/>
        <v>3978.7981397290259</v>
      </c>
      <c r="J167" s="19">
        <f t="shared" si="26"/>
        <v>577236.05006996763</v>
      </c>
      <c r="K167" s="16">
        <f t="shared" si="24"/>
        <v>0.57161705442497013</v>
      </c>
    </row>
    <row r="168" spans="1:11" x14ac:dyDescent="0.15">
      <c r="A168" s="7">
        <v>39235.552037037036</v>
      </c>
      <c r="B168">
        <v>58.5</v>
      </c>
      <c r="C168" s="6">
        <f t="shared" si="18"/>
        <v>296.00000004284084</v>
      </c>
      <c r="D168" t="str">
        <f t="shared" si="19"/>
        <v/>
      </c>
      <c r="E168">
        <f t="shared" si="21"/>
        <v>39235.552037037036</v>
      </c>
      <c r="F168" s="4">
        <f t="shared" si="20"/>
        <v>20.9</v>
      </c>
      <c r="G168" s="4">
        <f t="shared" si="22"/>
        <v>10.45</v>
      </c>
      <c r="H168" s="5">
        <f t="shared" si="23"/>
        <v>21.249998288112693</v>
      </c>
      <c r="I168" s="14">
        <f t="shared" si="25"/>
        <v>3878.4156178551284</v>
      </c>
      <c r="J168" s="19">
        <f t="shared" si="26"/>
        <v>581114.46568782278</v>
      </c>
      <c r="K168" s="16">
        <f t="shared" si="24"/>
        <v>0.57545771633623755</v>
      </c>
    </row>
    <row r="169" spans="1:11" x14ac:dyDescent="0.15">
      <c r="A169" s="7">
        <v>39235.552060185182</v>
      </c>
      <c r="B169">
        <v>58.4</v>
      </c>
      <c r="C169" s="6">
        <f t="shared" si="18"/>
        <v>297.99999988172203</v>
      </c>
      <c r="D169" t="str">
        <f t="shared" si="19"/>
        <v/>
      </c>
      <c r="E169">
        <f t="shared" si="21"/>
        <v>39235.552060185182</v>
      </c>
      <c r="F169" s="4">
        <f t="shared" si="20"/>
        <v>20.799999999999997</v>
      </c>
      <c r="G169" s="4">
        <f t="shared" si="22"/>
        <v>10.399999999999999</v>
      </c>
      <c r="H169" s="5">
        <f t="shared" si="23"/>
        <v>20.84999832033645</v>
      </c>
      <c r="I169" s="14">
        <f t="shared" si="25"/>
        <v>3805.4101474013842</v>
      </c>
      <c r="J169" s="19">
        <f t="shared" si="26"/>
        <v>584919.87583522417</v>
      </c>
      <c r="K169" s="16">
        <f t="shared" si="24"/>
        <v>0.57922608343505755</v>
      </c>
    </row>
    <row r="170" spans="1:11" x14ac:dyDescent="0.15">
      <c r="A170" s="7">
        <v>39235.552083333336</v>
      </c>
      <c r="B170">
        <v>57.6</v>
      </c>
      <c r="C170" s="6">
        <f t="shared" si="18"/>
        <v>300.00000034924597</v>
      </c>
      <c r="D170" t="str">
        <f t="shared" si="19"/>
        <v/>
      </c>
      <c r="E170">
        <f t="shared" si="21"/>
        <v>39235.552083333336</v>
      </c>
      <c r="F170" s="4">
        <f t="shared" si="20"/>
        <v>20</v>
      </c>
      <c r="G170" s="4">
        <f t="shared" si="22"/>
        <v>10</v>
      </c>
      <c r="H170" s="5">
        <f t="shared" si="23"/>
        <v>20.400004768744111</v>
      </c>
      <c r="I170" s="14">
        <f t="shared" si="25"/>
        <v>3723.2801634471675</v>
      </c>
      <c r="J170" s="19">
        <f t="shared" si="26"/>
        <v>588643.15599867131</v>
      </c>
      <c r="K170" s="16">
        <f t="shared" si="24"/>
        <v>0.58291312002878837</v>
      </c>
    </row>
    <row r="171" spans="1:11" x14ac:dyDescent="0.15">
      <c r="A171" s="7">
        <v>39235.552106481482</v>
      </c>
      <c r="B171">
        <v>57.2</v>
      </c>
      <c r="C171" s="6">
        <f t="shared" si="18"/>
        <v>302.00000018812716</v>
      </c>
      <c r="D171" t="str">
        <f t="shared" si="19"/>
        <v/>
      </c>
      <c r="E171">
        <f t="shared" si="21"/>
        <v>39235.552106481482</v>
      </c>
      <c r="F171" s="4">
        <f t="shared" si="20"/>
        <v>19.600000000000001</v>
      </c>
      <c r="G171" s="4">
        <f t="shared" si="22"/>
        <v>9.8000000000000007</v>
      </c>
      <c r="H171" s="5">
        <f t="shared" si="23"/>
        <v>19.799998404923826</v>
      </c>
      <c r="I171" s="14">
        <f t="shared" si="25"/>
        <v>3613.7707874603079</v>
      </c>
      <c r="J171" s="19">
        <f t="shared" si="26"/>
        <v>592256.92678613157</v>
      </c>
      <c r="K171" s="16">
        <f t="shared" si="24"/>
        <v>0.58649171324493388</v>
      </c>
    </row>
    <row r="172" spans="1:11" x14ac:dyDescent="0.15">
      <c r="A172" s="7">
        <v>39235.552129629628</v>
      </c>
      <c r="B172">
        <v>56.7</v>
      </c>
      <c r="C172" s="6">
        <f t="shared" si="18"/>
        <v>304.00000002700835</v>
      </c>
      <c r="D172" t="str">
        <f t="shared" si="19"/>
        <v/>
      </c>
      <c r="E172">
        <f t="shared" si="21"/>
        <v>39235.552129629628</v>
      </c>
      <c r="F172" s="4">
        <f t="shared" si="20"/>
        <v>19.100000000000001</v>
      </c>
      <c r="G172" s="4">
        <f t="shared" si="22"/>
        <v>9.5500000000000007</v>
      </c>
      <c r="H172" s="5">
        <f t="shared" si="23"/>
        <v>19.349998441175558</v>
      </c>
      <c r="I172" s="14">
        <f t="shared" si="25"/>
        <v>3531.6396331998462</v>
      </c>
      <c r="J172" s="19">
        <f t="shared" si="26"/>
        <v>595788.56641933147</v>
      </c>
      <c r="K172" s="16">
        <f t="shared" si="24"/>
        <v>0.58998897479707624</v>
      </c>
    </row>
    <row r="173" spans="1:11" x14ac:dyDescent="0.15">
      <c r="A173" s="7">
        <v>39235.552152777775</v>
      </c>
      <c r="B173">
        <v>56.2</v>
      </c>
      <c r="C173" s="6">
        <f t="shared" si="18"/>
        <v>305.99999986588955</v>
      </c>
      <c r="D173" t="str">
        <f t="shared" si="19"/>
        <v/>
      </c>
      <c r="E173">
        <f t="shared" si="21"/>
        <v>39235.552152777775</v>
      </c>
      <c r="F173" s="4">
        <f t="shared" si="20"/>
        <v>18.600000000000001</v>
      </c>
      <c r="G173" s="4">
        <f t="shared" si="22"/>
        <v>9.3000000000000007</v>
      </c>
      <c r="H173" s="5">
        <f t="shared" si="23"/>
        <v>18.849998481455259</v>
      </c>
      <c r="I173" s="14">
        <f t="shared" si="25"/>
        <v>3440.3827951326666</v>
      </c>
      <c r="J173" s="19">
        <f t="shared" si="26"/>
        <v>599228.94921446417</v>
      </c>
      <c r="K173" s="16">
        <f t="shared" si="24"/>
        <v>0.59339586783365927</v>
      </c>
    </row>
    <row r="174" spans="1:11" x14ac:dyDescent="0.15">
      <c r="A174" s="7">
        <v>39235.552175925928</v>
      </c>
      <c r="B174">
        <v>55.6</v>
      </c>
      <c r="C174" s="6">
        <f t="shared" si="18"/>
        <v>308.00000033341348</v>
      </c>
      <c r="D174" t="str">
        <f t="shared" si="19"/>
        <v/>
      </c>
      <c r="E174">
        <f t="shared" si="21"/>
        <v>39235.552175925928</v>
      </c>
      <c r="F174" s="4">
        <f t="shared" si="20"/>
        <v>18</v>
      </c>
      <c r="G174" s="4">
        <f t="shared" si="22"/>
        <v>9</v>
      </c>
      <c r="H174" s="5">
        <f t="shared" si="23"/>
        <v>18.300004277843982</v>
      </c>
      <c r="I174" s="14">
        <f t="shared" si="25"/>
        <v>3340.0013230923118</v>
      </c>
      <c r="J174" s="19">
        <f t="shared" si="26"/>
        <v>602568.95053755643</v>
      </c>
      <c r="K174" s="16">
        <f t="shared" si="24"/>
        <v>0.59670335654274131</v>
      </c>
    </row>
    <row r="175" spans="1:11" x14ac:dyDescent="0.15">
      <c r="A175" s="7">
        <v>39235.552199074074</v>
      </c>
      <c r="B175">
        <v>55.1</v>
      </c>
      <c r="C175" s="6">
        <f t="shared" si="18"/>
        <v>310.00000017229468</v>
      </c>
      <c r="D175" t="str">
        <f t="shared" si="19"/>
        <v/>
      </c>
      <c r="E175">
        <f t="shared" si="21"/>
        <v>39235.552199074074</v>
      </c>
      <c r="F175" s="4">
        <f t="shared" si="20"/>
        <v>17.5</v>
      </c>
      <c r="G175" s="4">
        <f t="shared" si="22"/>
        <v>8.75</v>
      </c>
      <c r="H175" s="5">
        <f t="shared" si="23"/>
        <v>17.749998570070602</v>
      </c>
      <c r="I175" s="14">
        <f t="shared" si="25"/>
        <v>3239.617751384872</v>
      </c>
      <c r="J175" s="19">
        <f t="shared" si="26"/>
        <v>605808.56828894129</v>
      </c>
      <c r="K175" s="16">
        <f t="shared" si="24"/>
        <v>0.59991143884509401</v>
      </c>
    </row>
    <row r="176" spans="1:11" x14ac:dyDescent="0.15">
      <c r="A176" s="7">
        <v>39235.552222222221</v>
      </c>
      <c r="B176">
        <v>54.8</v>
      </c>
      <c r="C176" s="6">
        <f t="shared" si="18"/>
        <v>312.00000001117587</v>
      </c>
      <c r="D176" t="str">
        <f t="shared" si="19"/>
        <v/>
      </c>
      <c r="E176">
        <f t="shared" si="21"/>
        <v>39235.552222222221</v>
      </c>
      <c r="F176" s="4">
        <f t="shared" si="20"/>
        <v>17.199999999999996</v>
      </c>
      <c r="G176" s="4">
        <f t="shared" si="22"/>
        <v>8.5999999999999979</v>
      </c>
      <c r="H176" s="5">
        <f t="shared" si="23"/>
        <v>17.34999860229436</v>
      </c>
      <c r="I176" s="14">
        <f t="shared" si="25"/>
        <v>3166.6122809311278</v>
      </c>
      <c r="J176" s="19">
        <f t="shared" si="26"/>
        <v>608975.18056987238</v>
      </c>
      <c r="K176" s="16">
        <f t="shared" si="24"/>
        <v>0.6030472263349993</v>
      </c>
    </row>
    <row r="177" spans="1:11" x14ac:dyDescent="0.15">
      <c r="A177" s="7">
        <v>39235.552245370367</v>
      </c>
      <c r="B177">
        <v>54.2</v>
      </c>
      <c r="C177" s="6">
        <f t="shared" si="18"/>
        <v>313.99999985005707</v>
      </c>
      <c r="D177" t="str">
        <f t="shared" si="19"/>
        <v/>
      </c>
      <c r="E177">
        <f t="shared" si="21"/>
        <v>39235.552245370367</v>
      </c>
      <c r="F177" s="4">
        <f t="shared" si="20"/>
        <v>16.600000000000001</v>
      </c>
      <c r="G177" s="4">
        <f t="shared" si="22"/>
        <v>8.3000000000000007</v>
      </c>
      <c r="H177" s="5">
        <f t="shared" si="23"/>
        <v>16.899998638546094</v>
      </c>
      <c r="I177" s="14">
        <f t="shared" si="25"/>
        <v>3084.481126670667</v>
      </c>
      <c r="J177" s="19">
        <f t="shared" si="26"/>
        <v>612059.66169654299</v>
      </c>
      <c r="K177" s="16">
        <f t="shared" si="24"/>
        <v>0.60610168216090132</v>
      </c>
    </row>
    <row r="178" spans="1:11" x14ac:dyDescent="0.15">
      <c r="A178" s="7">
        <v>39235.552268518521</v>
      </c>
      <c r="B178">
        <v>53.9</v>
      </c>
      <c r="C178" s="6">
        <f t="shared" si="18"/>
        <v>316.000000317581</v>
      </c>
      <c r="D178" t="str">
        <f t="shared" si="19"/>
        <v/>
      </c>
      <c r="E178">
        <f t="shared" si="21"/>
        <v>39235.552268518521</v>
      </c>
      <c r="F178" s="4">
        <f t="shared" si="20"/>
        <v>16.299999999999997</v>
      </c>
      <c r="G178" s="4">
        <f t="shared" si="22"/>
        <v>8.1499999999999986</v>
      </c>
      <c r="H178" s="5">
        <f t="shared" si="23"/>
        <v>16.450003845384344</v>
      </c>
      <c r="I178" s="14">
        <f t="shared" si="25"/>
        <v>3002.3509161130346</v>
      </c>
      <c r="J178" s="19">
        <f t="shared" si="26"/>
        <v>615062.01261265599</v>
      </c>
      <c r="K178" s="16">
        <f t="shared" si="24"/>
        <v>0.60907480725731655</v>
      </c>
    </row>
    <row r="179" spans="1:11" x14ac:dyDescent="0.15">
      <c r="A179" s="7">
        <v>39235.552291666667</v>
      </c>
      <c r="B179">
        <v>53.5</v>
      </c>
      <c r="C179" s="6">
        <f t="shared" si="18"/>
        <v>318.00000015646219</v>
      </c>
      <c r="D179" t="str">
        <f t="shared" si="19"/>
        <v/>
      </c>
      <c r="E179">
        <f t="shared" si="21"/>
        <v>39235.552291666667</v>
      </c>
      <c r="F179" s="4">
        <f t="shared" si="20"/>
        <v>15.899999999999999</v>
      </c>
      <c r="G179" s="4">
        <f t="shared" si="22"/>
        <v>7.9499999999999993</v>
      </c>
      <c r="H179" s="5">
        <f t="shared" si="23"/>
        <v>16.099998702993613</v>
      </c>
      <c r="I179" s="14">
        <f t="shared" si="25"/>
        <v>2938.470185763179</v>
      </c>
      <c r="J179" s="19">
        <f t="shared" si="26"/>
        <v>618000.48279841919</v>
      </c>
      <c r="K179" s="16">
        <f t="shared" si="24"/>
        <v>0.61198467345832386</v>
      </c>
    </row>
    <row r="180" spans="1:11" x14ac:dyDescent="0.15">
      <c r="A180" s="7">
        <v>39235.552314814813</v>
      </c>
      <c r="B180">
        <v>53.5</v>
      </c>
      <c r="C180" s="6">
        <f t="shared" si="18"/>
        <v>319.99999999534339</v>
      </c>
      <c r="D180" t="str">
        <f t="shared" si="19"/>
        <v/>
      </c>
      <c r="E180">
        <f t="shared" si="21"/>
        <v>39235.552314814813</v>
      </c>
      <c r="F180" s="4">
        <f t="shared" si="20"/>
        <v>15.899999999999999</v>
      </c>
      <c r="G180" s="4">
        <f t="shared" si="22"/>
        <v>7.9499999999999993</v>
      </c>
      <c r="H180" s="5">
        <f t="shared" si="23"/>
        <v>15.899998719105495</v>
      </c>
      <c r="I180" s="14">
        <f t="shared" si="25"/>
        <v>2901.9674505363073</v>
      </c>
      <c r="J180" s="19">
        <f t="shared" si="26"/>
        <v>620902.45024895552</v>
      </c>
      <c r="K180" s="16">
        <f t="shared" si="24"/>
        <v>0.61485839225310746</v>
      </c>
    </row>
    <row r="181" spans="1:11" x14ac:dyDescent="0.15">
      <c r="A181" s="7">
        <v>39235.552337962959</v>
      </c>
      <c r="B181">
        <v>53.4</v>
      </c>
      <c r="C181" s="6">
        <f t="shared" si="18"/>
        <v>321.99999983422458</v>
      </c>
      <c r="D181" t="str">
        <f t="shared" si="19"/>
        <v/>
      </c>
      <c r="E181">
        <f t="shared" si="21"/>
        <v>39235.552337962959</v>
      </c>
      <c r="F181" s="4">
        <f t="shared" si="20"/>
        <v>15.799999999999997</v>
      </c>
      <c r="G181" s="4">
        <f t="shared" si="22"/>
        <v>7.8999999999999986</v>
      </c>
      <c r="H181" s="5">
        <f t="shared" si="23"/>
        <v>15.849998723133465</v>
      </c>
      <c r="I181" s="14">
        <f t="shared" si="25"/>
        <v>2892.8417667295894</v>
      </c>
      <c r="J181" s="19">
        <f t="shared" si="26"/>
        <v>623795.29201568512</v>
      </c>
      <c r="K181" s="16">
        <f t="shared" si="24"/>
        <v>0.6177230741963351</v>
      </c>
    </row>
    <row r="182" spans="1:11" x14ac:dyDescent="0.15">
      <c r="A182" s="7">
        <v>39235.552361111113</v>
      </c>
      <c r="B182">
        <v>53.4</v>
      </c>
      <c r="C182" s="6">
        <f t="shared" si="18"/>
        <v>324.00000030174851</v>
      </c>
      <c r="D182" t="str">
        <f t="shared" si="19"/>
        <v/>
      </c>
      <c r="E182">
        <f t="shared" si="21"/>
        <v>39235.552361111113</v>
      </c>
      <c r="F182" s="4">
        <f t="shared" si="20"/>
        <v>15.799999999999997</v>
      </c>
      <c r="G182" s="4">
        <f t="shared" si="22"/>
        <v>7.8999999999999986</v>
      </c>
      <c r="H182" s="5">
        <f t="shared" si="23"/>
        <v>15.800003693439063</v>
      </c>
      <c r="I182" s="14">
        <f t="shared" si="25"/>
        <v>2883.7169893365312</v>
      </c>
      <c r="J182" s="19">
        <f t="shared" si="26"/>
        <v>626679.00900502165</v>
      </c>
      <c r="K182" s="16">
        <f t="shared" si="24"/>
        <v>0.62057872018559723</v>
      </c>
    </row>
    <row r="183" spans="1:11" x14ac:dyDescent="0.15">
      <c r="A183" s="7">
        <v>39235.552384259259</v>
      </c>
      <c r="B183">
        <v>53.1</v>
      </c>
      <c r="C183" s="6">
        <f t="shared" si="18"/>
        <v>326.00000014062971</v>
      </c>
      <c r="D183" t="str">
        <f t="shared" si="19"/>
        <v/>
      </c>
      <c r="E183">
        <f t="shared" si="21"/>
        <v>39235.552384259259</v>
      </c>
      <c r="F183" s="4">
        <f t="shared" si="20"/>
        <v>15.5</v>
      </c>
      <c r="G183" s="4">
        <f t="shared" si="22"/>
        <v>7.75</v>
      </c>
      <c r="H183" s="5">
        <f t="shared" si="23"/>
        <v>15.649998739245346</v>
      </c>
      <c r="I183" s="14">
        <f t="shared" si="25"/>
        <v>2856.3390315027177</v>
      </c>
      <c r="J183" s="19">
        <f t="shared" si="26"/>
        <v>629535.34803652437</v>
      </c>
      <c r="K183" s="16">
        <f t="shared" si="24"/>
        <v>0.62340725472260117</v>
      </c>
    </row>
    <row r="184" spans="1:11" x14ac:dyDescent="0.15">
      <c r="A184" s="7">
        <v>39235.552407407406</v>
      </c>
      <c r="B184">
        <v>52.7</v>
      </c>
      <c r="C184" s="6">
        <f t="shared" si="18"/>
        <v>327.9999999795109</v>
      </c>
      <c r="D184" t="str">
        <f t="shared" si="19"/>
        <v/>
      </c>
      <c r="E184">
        <f t="shared" si="21"/>
        <v>39235.552407407406</v>
      </c>
      <c r="F184" s="4">
        <f t="shared" si="20"/>
        <v>15.100000000000001</v>
      </c>
      <c r="G184" s="4">
        <f t="shared" si="22"/>
        <v>7.5500000000000007</v>
      </c>
      <c r="H184" s="5">
        <f t="shared" si="23"/>
        <v>15.299998767441139</v>
      </c>
      <c r="I184" s="14">
        <f t="shared" si="25"/>
        <v>2792.4592448556923</v>
      </c>
      <c r="J184" s="19">
        <f t="shared" si="26"/>
        <v>632327.80728138005</v>
      </c>
      <c r="K184" s="16">
        <f t="shared" si="24"/>
        <v>0.62617253129871375</v>
      </c>
    </row>
    <row r="185" spans="1:11" x14ac:dyDescent="0.15">
      <c r="A185" s="7">
        <v>39235.552430555559</v>
      </c>
      <c r="B185">
        <v>52.5</v>
      </c>
      <c r="C185" s="6">
        <f t="shared" si="18"/>
        <v>330.00000044703484</v>
      </c>
      <c r="D185" t="str">
        <f t="shared" si="19"/>
        <v/>
      </c>
      <c r="E185">
        <f t="shared" si="21"/>
        <v>39235.552430555559</v>
      </c>
      <c r="F185" s="4">
        <f t="shared" si="20"/>
        <v>14.899999999999999</v>
      </c>
      <c r="G185" s="4">
        <f t="shared" si="22"/>
        <v>7.4499999999999993</v>
      </c>
      <c r="H185" s="5">
        <f t="shared" si="23"/>
        <v>15.000003506429493</v>
      </c>
      <c r="I185" s="14">
        <f t="shared" si="25"/>
        <v>2737.7060025346818</v>
      </c>
      <c r="J185" s="19">
        <f t="shared" si="26"/>
        <v>635065.51328391477</v>
      </c>
      <c r="K185" s="16">
        <f t="shared" si="24"/>
        <v>0.62888358761763341</v>
      </c>
    </row>
    <row r="186" spans="1:11" x14ac:dyDescent="0.15">
      <c r="A186" s="7">
        <v>39235.552453703705</v>
      </c>
      <c r="B186">
        <v>52.4</v>
      </c>
      <c r="C186" s="6">
        <f t="shared" si="18"/>
        <v>332.00000028591603</v>
      </c>
      <c r="D186" t="str">
        <f t="shared" si="19"/>
        <v/>
      </c>
      <c r="E186">
        <f t="shared" si="21"/>
        <v>39235.552453703705</v>
      </c>
      <c r="F186" s="4">
        <f t="shared" si="20"/>
        <v>14.799999999999997</v>
      </c>
      <c r="G186" s="4">
        <f t="shared" si="22"/>
        <v>7.3999999999999986</v>
      </c>
      <c r="H186" s="5">
        <f t="shared" si="23"/>
        <v>14.849998803692868</v>
      </c>
      <c r="I186" s="14">
        <f t="shared" si="25"/>
        <v>2710.3280905952306</v>
      </c>
      <c r="J186" s="19">
        <f t="shared" si="26"/>
        <v>637775.84137450997</v>
      </c>
      <c r="K186" s="16">
        <f t="shared" si="24"/>
        <v>0.63156753252974263</v>
      </c>
    </row>
    <row r="187" spans="1:11" x14ac:dyDescent="0.15">
      <c r="A187" s="7">
        <v>39235.552476851852</v>
      </c>
      <c r="B187">
        <v>52.4</v>
      </c>
      <c r="C187" s="6">
        <f t="shared" si="18"/>
        <v>334.00000012479722</v>
      </c>
      <c r="D187" t="str">
        <f t="shared" si="19"/>
        <v/>
      </c>
      <c r="E187">
        <f t="shared" si="21"/>
        <v>39235.552476851852</v>
      </c>
      <c r="F187" s="4">
        <f t="shared" si="20"/>
        <v>14.799999999999997</v>
      </c>
      <c r="G187" s="4">
        <f t="shared" si="22"/>
        <v>7.3999999999999986</v>
      </c>
      <c r="H187" s="5">
        <f t="shared" si="23"/>
        <v>14.799998807720836</v>
      </c>
      <c r="I187" s="14">
        <f t="shared" si="25"/>
        <v>2701.2024067885122</v>
      </c>
      <c r="J187" s="19">
        <f t="shared" si="26"/>
        <v>640477.04378129845</v>
      </c>
      <c r="K187" s="16">
        <f t="shared" si="24"/>
        <v>0.63424244059029589</v>
      </c>
    </row>
    <row r="188" spans="1:11" x14ac:dyDescent="0.15">
      <c r="A188" s="7">
        <v>39235.552499999998</v>
      </c>
      <c r="B188">
        <v>51.5</v>
      </c>
      <c r="C188" s="6">
        <f t="shared" si="18"/>
        <v>335.99999996367842</v>
      </c>
      <c r="D188" t="str">
        <f t="shared" si="19"/>
        <v/>
      </c>
      <c r="E188">
        <f t="shared" si="21"/>
        <v>39235.552499999998</v>
      </c>
      <c r="F188" s="4">
        <f t="shared" si="20"/>
        <v>13.899999999999999</v>
      </c>
      <c r="G188" s="4">
        <f t="shared" si="22"/>
        <v>6.9499999999999993</v>
      </c>
      <c r="H188" s="5">
        <f t="shared" si="23"/>
        <v>14.349998843972569</v>
      </c>
      <c r="I188" s="14">
        <f t="shared" si="25"/>
        <v>2619.071252528051</v>
      </c>
      <c r="J188" s="19">
        <f t="shared" si="26"/>
        <v>643096.11503382644</v>
      </c>
      <c r="K188" s="16">
        <f t="shared" si="24"/>
        <v>0.63683601698684578</v>
      </c>
    </row>
    <row r="189" spans="1:11" x14ac:dyDescent="0.15">
      <c r="A189" s="7">
        <v>39235.552523148152</v>
      </c>
      <c r="B189">
        <v>51.5</v>
      </c>
      <c r="C189" s="6">
        <f t="shared" si="18"/>
        <v>338.00000043120235</v>
      </c>
      <c r="D189" t="str">
        <f t="shared" si="19"/>
        <v/>
      </c>
      <c r="E189">
        <f t="shared" si="21"/>
        <v>39235.552523148152</v>
      </c>
      <c r="F189" s="4">
        <f t="shared" si="20"/>
        <v>13.899999999999999</v>
      </c>
      <c r="G189" s="4">
        <f t="shared" si="22"/>
        <v>6.9499999999999993</v>
      </c>
      <c r="H189" s="5">
        <f t="shared" si="23"/>
        <v>13.900003249291329</v>
      </c>
      <c r="I189" s="14">
        <f t="shared" si="25"/>
        <v>2536.9408956821385</v>
      </c>
      <c r="J189" s="19">
        <f t="shared" si="26"/>
        <v>645633.05592950853</v>
      </c>
      <c r="K189" s="16">
        <f t="shared" si="24"/>
        <v>0.63934826250904464</v>
      </c>
    </row>
    <row r="190" spans="1:11" x14ac:dyDescent="0.15">
      <c r="A190" s="7">
        <v>39235.552546296298</v>
      </c>
      <c r="B190">
        <v>51.5</v>
      </c>
      <c r="C190" s="6">
        <f t="shared" si="18"/>
        <v>340.00000027008355</v>
      </c>
      <c r="D190" t="str">
        <f t="shared" si="19"/>
        <v/>
      </c>
      <c r="E190">
        <f t="shared" si="21"/>
        <v>39235.552546296298</v>
      </c>
      <c r="F190" s="4">
        <f t="shared" si="20"/>
        <v>13.899999999999999</v>
      </c>
      <c r="G190" s="4">
        <f t="shared" si="22"/>
        <v>6.9499999999999993</v>
      </c>
      <c r="H190" s="5">
        <f t="shared" si="23"/>
        <v>13.899998880224301</v>
      </c>
      <c r="I190" s="14">
        <f t="shared" si="25"/>
        <v>2536.9400982675893</v>
      </c>
      <c r="J190" s="19">
        <f t="shared" si="26"/>
        <v>648169.99602777616</v>
      </c>
      <c r="K190" s="16">
        <f t="shared" si="24"/>
        <v>0.64186050724159127</v>
      </c>
    </row>
    <row r="191" spans="1:11" x14ac:dyDescent="0.15">
      <c r="A191" s="7">
        <v>39235.552569444444</v>
      </c>
      <c r="B191">
        <v>51.1</v>
      </c>
      <c r="C191" s="6">
        <f t="shared" si="18"/>
        <v>342.00000010896474</v>
      </c>
      <c r="D191" t="str">
        <f t="shared" si="19"/>
        <v/>
      </c>
      <c r="E191">
        <f t="shared" si="21"/>
        <v>39235.552569444444</v>
      </c>
      <c r="F191" s="4">
        <f t="shared" si="20"/>
        <v>13.5</v>
      </c>
      <c r="G191" s="4">
        <f t="shared" si="22"/>
        <v>6.75</v>
      </c>
      <c r="H191" s="5">
        <f t="shared" si="23"/>
        <v>13.699998896336183</v>
      </c>
      <c r="I191" s="14">
        <f t="shared" si="25"/>
        <v>2500.4373630407181</v>
      </c>
      <c r="J191" s="19">
        <f t="shared" si="26"/>
        <v>650670.43339081691</v>
      </c>
      <c r="K191" s="16">
        <f t="shared" si="24"/>
        <v>0.64433660456791431</v>
      </c>
    </row>
    <row r="192" spans="1:11" x14ac:dyDescent="0.15">
      <c r="A192" s="7">
        <v>39235.55259259259</v>
      </c>
      <c r="B192">
        <v>51.1</v>
      </c>
      <c r="C192" s="6">
        <f t="shared" si="18"/>
        <v>343.99999994784594</v>
      </c>
      <c r="D192" t="str">
        <f t="shared" si="19"/>
        <v/>
      </c>
      <c r="E192">
        <f t="shared" si="21"/>
        <v>39235.55259259259</v>
      </c>
      <c r="F192" s="4">
        <f t="shared" si="20"/>
        <v>13.5</v>
      </c>
      <c r="G192" s="4">
        <f t="shared" si="22"/>
        <v>6.75</v>
      </c>
      <c r="H192" s="5">
        <f t="shared" si="23"/>
        <v>13.499998912448063</v>
      </c>
      <c r="I192" s="14">
        <f t="shared" si="25"/>
        <v>2463.9346278138464</v>
      </c>
      <c r="J192" s="19">
        <f t="shared" si="26"/>
        <v>653134.36801863078</v>
      </c>
      <c r="K192" s="16">
        <f t="shared" si="24"/>
        <v>0.64677655448801363</v>
      </c>
    </row>
    <row r="193" spans="1:11" x14ac:dyDescent="0.15">
      <c r="A193" s="7">
        <v>39235.552615740744</v>
      </c>
      <c r="B193">
        <v>50.7</v>
      </c>
      <c r="C193" s="6">
        <f t="shared" si="18"/>
        <v>346.00000041536987</v>
      </c>
      <c r="D193" t="str">
        <f t="shared" si="19"/>
        <v/>
      </c>
      <c r="E193">
        <f t="shared" si="21"/>
        <v>39235.552615740744</v>
      </c>
      <c r="F193" s="4">
        <f t="shared" si="20"/>
        <v>13.100000000000001</v>
      </c>
      <c r="G193" s="4">
        <f t="shared" si="22"/>
        <v>6.5500000000000007</v>
      </c>
      <c r="H193" s="5">
        <f t="shared" si="23"/>
        <v>13.300003109034151</v>
      </c>
      <c r="I193" s="14">
        <f t="shared" si="25"/>
        <v>2427.4326555807515</v>
      </c>
      <c r="J193" s="19">
        <f t="shared" si="26"/>
        <v>655561.80067421158</v>
      </c>
      <c r="K193" s="16">
        <f t="shared" si="24"/>
        <v>0.64918035775745575</v>
      </c>
    </row>
    <row r="194" spans="1:11" x14ac:dyDescent="0.15">
      <c r="A194" s="7">
        <v>39235.55263888889</v>
      </c>
      <c r="B194">
        <v>50.5</v>
      </c>
      <c r="C194" s="6">
        <f t="shared" si="18"/>
        <v>348.00000025425106</v>
      </c>
      <c r="D194" t="str">
        <f t="shared" si="19"/>
        <v/>
      </c>
      <c r="E194">
        <f t="shared" si="21"/>
        <v>39235.55263888889</v>
      </c>
      <c r="F194" s="4">
        <f t="shared" si="20"/>
        <v>12.899999999999999</v>
      </c>
      <c r="G194" s="4">
        <f t="shared" si="22"/>
        <v>6.4499999999999993</v>
      </c>
      <c r="H194" s="5">
        <f t="shared" si="23"/>
        <v>12.999998952727765</v>
      </c>
      <c r="I194" s="14">
        <f t="shared" si="25"/>
        <v>2372.6777897466668</v>
      </c>
      <c r="J194" s="19">
        <f t="shared" si="26"/>
        <v>657934.47846395825</v>
      </c>
      <c r="K194" s="16">
        <f t="shared" si="24"/>
        <v>0.65152993916199586</v>
      </c>
    </row>
    <row r="195" spans="1:11" x14ac:dyDescent="0.15">
      <c r="A195" s="7">
        <v>39235.552662037036</v>
      </c>
      <c r="B195">
        <v>50.4</v>
      </c>
      <c r="C195" s="6">
        <f t="shared" si="18"/>
        <v>350.00000009313226</v>
      </c>
      <c r="D195" t="str">
        <f t="shared" si="19"/>
        <v/>
      </c>
      <c r="E195">
        <f t="shared" si="21"/>
        <v>39235.552662037036</v>
      </c>
      <c r="F195" s="4">
        <f t="shared" si="20"/>
        <v>12.799999999999997</v>
      </c>
      <c r="G195" s="4">
        <f t="shared" si="22"/>
        <v>6.3999999999999986</v>
      </c>
      <c r="H195" s="5">
        <f t="shared" si="23"/>
        <v>12.849998964811673</v>
      </c>
      <c r="I195" s="14">
        <f t="shared" si="25"/>
        <v>2345.3007383265126</v>
      </c>
      <c r="J195" s="19">
        <f t="shared" si="26"/>
        <v>660279.77920228476</v>
      </c>
      <c r="K195" s="16">
        <f t="shared" si="24"/>
        <v>0.65385241001186811</v>
      </c>
    </row>
    <row r="196" spans="1:11" x14ac:dyDescent="0.15">
      <c r="A196" s="7">
        <v>39235.552685185183</v>
      </c>
      <c r="B196">
        <v>50.2</v>
      </c>
      <c r="C196" s="6">
        <f t="shared" si="18"/>
        <v>351.99999993201345</v>
      </c>
      <c r="D196" t="str">
        <f t="shared" si="19"/>
        <v/>
      </c>
      <c r="E196">
        <f t="shared" si="21"/>
        <v>39235.552685185183</v>
      </c>
      <c r="F196" s="4">
        <f t="shared" si="20"/>
        <v>12.600000000000001</v>
      </c>
      <c r="G196" s="4">
        <f t="shared" si="22"/>
        <v>6.3000000000000007</v>
      </c>
      <c r="H196" s="5">
        <f t="shared" si="23"/>
        <v>12.699998976895586</v>
      </c>
      <c r="I196" s="14">
        <f t="shared" si="25"/>
        <v>2317.9236869063589</v>
      </c>
      <c r="J196" s="19">
        <f t="shared" si="26"/>
        <v>662597.7028891911</v>
      </c>
      <c r="K196" s="16">
        <f t="shared" si="24"/>
        <v>0.65614777030707261</v>
      </c>
    </row>
    <row r="197" spans="1:11" x14ac:dyDescent="0.15">
      <c r="A197" s="7">
        <v>39235.552708333336</v>
      </c>
      <c r="B197">
        <v>50.1</v>
      </c>
      <c r="C197" s="6">
        <f t="shared" si="18"/>
        <v>354.00000039953738</v>
      </c>
      <c r="D197" t="str">
        <f t="shared" si="19"/>
        <v/>
      </c>
      <c r="E197">
        <f t="shared" si="21"/>
        <v>39235.552708333336</v>
      </c>
      <c r="F197" s="4">
        <f t="shared" si="20"/>
        <v>12.5</v>
      </c>
      <c r="G197" s="4">
        <f t="shared" si="22"/>
        <v>6.25</v>
      </c>
      <c r="H197" s="5">
        <f t="shared" si="23"/>
        <v>12.550002933712676</v>
      </c>
      <c r="I197" s="14">
        <f t="shared" si="25"/>
        <v>2290.5473554540172</v>
      </c>
      <c r="J197" s="19">
        <f t="shared" si="26"/>
        <v>664888.25024464517</v>
      </c>
      <c r="K197" s="16">
        <f t="shared" si="24"/>
        <v>0.65841602076056882</v>
      </c>
    </row>
    <row r="198" spans="1:11" x14ac:dyDescent="0.15">
      <c r="A198" s="7">
        <v>39235.552731481483</v>
      </c>
      <c r="B198">
        <v>49.8</v>
      </c>
      <c r="C198" s="6">
        <f t="shared" si="18"/>
        <v>356.00000023841858</v>
      </c>
      <c r="D198" t="str">
        <f t="shared" si="19"/>
        <v/>
      </c>
      <c r="E198">
        <f t="shared" si="21"/>
        <v>39235.552731481483</v>
      </c>
      <c r="F198" s="4">
        <f t="shared" si="20"/>
        <v>12.199999999999996</v>
      </c>
      <c r="G198" s="4">
        <f t="shared" si="22"/>
        <v>6.0999999999999979</v>
      </c>
      <c r="H198" s="5">
        <f t="shared" si="23"/>
        <v>12.349999005091375</v>
      </c>
      <c r="I198" s="14">
        <f t="shared" si="25"/>
        <v>2254.043900259333</v>
      </c>
      <c r="J198" s="19">
        <f t="shared" si="26"/>
        <v>667142.29414490447</v>
      </c>
      <c r="K198" s="16">
        <f t="shared" si="24"/>
        <v>0.66064812309488175</v>
      </c>
    </row>
    <row r="199" spans="1:11" x14ac:dyDescent="0.15">
      <c r="A199" s="7">
        <v>39235.552754629629</v>
      </c>
      <c r="B199">
        <v>49.8</v>
      </c>
      <c r="C199" s="6">
        <f t="shared" si="18"/>
        <v>358.00000007729977</v>
      </c>
      <c r="D199" t="str">
        <f t="shared" si="19"/>
        <v/>
      </c>
      <c r="E199">
        <f t="shared" si="21"/>
        <v>39235.552754629629</v>
      </c>
      <c r="F199" s="4">
        <f t="shared" si="20"/>
        <v>12.199999999999996</v>
      </c>
      <c r="G199" s="4">
        <f t="shared" si="22"/>
        <v>6.0999999999999979</v>
      </c>
      <c r="H199" s="5">
        <f t="shared" si="23"/>
        <v>12.199999017175283</v>
      </c>
      <c r="I199" s="14">
        <f t="shared" si="25"/>
        <v>2226.6668488391788</v>
      </c>
      <c r="J199" s="19">
        <f t="shared" si="26"/>
        <v>669368.96099374362</v>
      </c>
      <c r="K199" s="16">
        <f t="shared" si="24"/>
        <v>0.66285311487452703</v>
      </c>
    </row>
    <row r="200" spans="1:11" x14ac:dyDescent="0.15">
      <c r="A200" s="7">
        <v>39235.552777777775</v>
      </c>
      <c r="B200">
        <v>49.7</v>
      </c>
      <c r="C200" s="6">
        <f t="shared" si="18"/>
        <v>359.99999991618097</v>
      </c>
      <c r="D200" t="str">
        <f t="shared" si="19"/>
        <v/>
      </c>
      <c r="E200">
        <f t="shared" si="21"/>
        <v>39235.552777777775</v>
      </c>
      <c r="F200" s="4">
        <f t="shared" si="20"/>
        <v>12.100000000000001</v>
      </c>
      <c r="G200" s="4">
        <f t="shared" si="22"/>
        <v>6.0500000000000007</v>
      </c>
      <c r="H200" s="5">
        <f t="shared" si="23"/>
        <v>12.149999021203255</v>
      </c>
      <c r="I200" s="14">
        <f t="shared" si="25"/>
        <v>2217.5411650324613</v>
      </c>
      <c r="J200" s="19">
        <f t="shared" si="26"/>
        <v>671586.50215877604</v>
      </c>
      <c r="K200" s="16">
        <f t="shared" si="24"/>
        <v>0.66504906980261635</v>
      </c>
    </row>
    <row r="201" spans="1:11" x14ac:dyDescent="0.15">
      <c r="A201" s="7">
        <v>39235.552800925929</v>
      </c>
      <c r="B201">
        <v>49.8</v>
      </c>
      <c r="C201" s="6">
        <f t="shared" si="18"/>
        <v>362.0000003837049</v>
      </c>
      <c r="D201" t="str">
        <f t="shared" si="19"/>
        <v/>
      </c>
      <c r="E201">
        <f t="shared" si="21"/>
        <v>39235.552800925929</v>
      </c>
      <c r="F201" s="4">
        <f t="shared" si="20"/>
        <v>12.199999999999996</v>
      </c>
      <c r="G201" s="4">
        <f t="shared" si="22"/>
        <v>6.0999999999999979</v>
      </c>
      <c r="H201" s="5">
        <f t="shared" si="23"/>
        <v>12.150002840207888</v>
      </c>
      <c r="I201" s="14">
        <f t="shared" si="25"/>
        <v>2217.5418620530922</v>
      </c>
      <c r="J201" s="19">
        <f t="shared" si="26"/>
        <v>673804.04402082914</v>
      </c>
      <c r="K201" s="16">
        <f t="shared" si="24"/>
        <v>0.66724502542094133</v>
      </c>
    </row>
    <row r="202" spans="1:11" x14ac:dyDescent="0.15">
      <c r="A202" s="7">
        <v>39235.552824074075</v>
      </c>
      <c r="B202">
        <v>49.5</v>
      </c>
      <c r="C202" s="6">
        <f t="shared" si="18"/>
        <v>364.0000002225861</v>
      </c>
      <c r="D202" t="str">
        <f t="shared" si="19"/>
        <v/>
      </c>
      <c r="E202">
        <f t="shared" si="21"/>
        <v>39235.552824074075</v>
      </c>
      <c r="F202" s="4">
        <f t="shared" si="20"/>
        <v>11.899999999999999</v>
      </c>
      <c r="G202" s="4">
        <f t="shared" si="22"/>
        <v>5.9499999999999993</v>
      </c>
      <c r="H202" s="5">
        <f t="shared" si="23"/>
        <v>12.049999029259194</v>
      </c>
      <c r="I202" s="14">
        <f t="shared" si="25"/>
        <v>2199.289797419025</v>
      </c>
      <c r="J202" s="19">
        <f t="shared" si="26"/>
        <v>676003.33381824812</v>
      </c>
      <c r="K202" s="16">
        <f t="shared" si="24"/>
        <v>0.66942290664591875</v>
      </c>
    </row>
    <row r="203" spans="1:11" x14ac:dyDescent="0.15">
      <c r="A203" s="7">
        <v>39235.552847222221</v>
      </c>
      <c r="B203">
        <v>49.8</v>
      </c>
      <c r="C203" s="6">
        <f t="shared" si="18"/>
        <v>366.00000006146729</v>
      </c>
      <c r="D203" t="str">
        <f t="shared" si="19"/>
        <v/>
      </c>
      <c r="E203">
        <f t="shared" si="21"/>
        <v>39235.552847222221</v>
      </c>
      <c r="F203" s="4">
        <f t="shared" si="20"/>
        <v>12.199999999999996</v>
      </c>
      <c r="G203" s="4">
        <f t="shared" si="22"/>
        <v>6.0999999999999979</v>
      </c>
      <c r="H203" s="5">
        <f t="shared" si="23"/>
        <v>12.049999029259194</v>
      </c>
      <c r="I203" s="14">
        <f t="shared" si="25"/>
        <v>2199.289797419025</v>
      </c>
      <c r="J203" s="19">
        <f t="shared" si="26"/>
        <v>678202.62361566711</v>
      </c>
      <c r="K203" s="16">
        <f t="shared" si="24"/>
        <v>0.67160078787089617</v>
      </c>
    </row>
    <row r="204" spans="1:11" x14ac:dyDescent="0.15">
      <c r="A204" s="7">
        <v>39235.552870370368</v>
      </c>
      <c r="B204">
        <v>49.5</v>
      </c>
      <c r="C204" s="6">
        <f t="shared" si="18"/>
        <v>367.99999990034848</v>
      </c>
      <c r="D204" t="str">
        <f t="shared" si="19"/>
        <v/>
      </c>
      <c r="E204">
        <f t="shared" si="21"/>
        <v>39235.552870370368</v>
      </c>
      <c r="F204" s="4">
        <f t="shared" si="20"/>
        <v>11.899999999999999</v>
      </c>
      <c r="G204" s="4">
        <f t="shared" si="22"/>
        <v>5.9499999999999993</v>
      </c>
      <c r="H204" s="5">
        <f t="shared" si="23"/>
        <v>12.049999029259194</v>
      </c>
      <c r="I204" s="14">
        <f t="shared" si="25"/>
        <v>2199.289797419025</v>
      </c>
      <c r="J204" s="19">
        <f t="shared" si="26"/>
        <v>680401.91341308609</v>
      </c>
      <c r="K204" s="16">
        <f t="shared" si="24"/>
        <v>0.67377866909587369</v>
      </c>
    </row>
    <row r="205" spans="1:11" x14ac:dyDescent="0.15">
      <c r="A205" s="7">
        <v>39235.552893518521</v>
      </c>
      <c r="B205">
        <v>49.7</v>
      </c>
      <c r="C205" s="6">
        <f t="shared" si="18"/>
        <v>370.00000036787242</v>
      </c>
      <c r="D205" t="str">
        <f t="shared" si="19"/>
        <v/>
      </c>
      <c r="E205">
        <f t="shared" si="21"/>
        <v>39235.552893518521</v>
      </c>
      <c r="F205" s="4">
        <f t="shared" si="20"/>
        <v>12.100000000000001</v>
      </c>
      <c r="G205" s="4">
        <f t="shared" si="22"/>
        <v>6.0500000000000007</v>
      </c>
      <c r="H205" s="5">
        <f t="shared" si="23"/>
        <v>12.000002805143595</v>
      </c>
      <c r="I205" s="14">
        <f t="shared" si="25"/>
        <v>2190.1648020277457</v>
      </c>
      <c r="J205" s="19">
        <f t="shared" si="26"/>
        <v>682592.07821511384</v>
      </c>
      <c r="K205" s="16">
        <f t="shared" si="24"/>
        <v>0.6759475141510094</v>
      </c>
    </row>
    <row r="206" spans="1:11" x14ac:dyDescent="0.15">
      <c r="A206" s="7">
        <v>39235.552916666667</v>
      </c>
      <c r="B206">
        <v>49.7</v>
      </c>
      <c r="C206" s="6">
        <f t="shared" si="18"/>
        <v>372.00000020675361</v>
      </c>
      <c r="D206" t="str">
        <f t="shared" si="19"/>
        <v/>
      </c>
      <c r="E206">
        <f t="shared" si="21"/>
        <v>39235.552916666667</v>
      </c>
      <c r="F206" s="4">
        <f t="shared" si="20"/>
        <v>12.100000000000001</v>
      </c>
      <c r="G206" s="4">
        <f t="shared" si="22"/>
        <v>6.0500000000000007</v>
      </c>
      <c r="H206" s="5">
        <f t="shared" si="23"/>
        <v>12.099999025231229</v>
      </c>
      <c r="I206" s="14">
        <f t="shared" si="25"/>
        <v>2208.4154812257439</v>
      </c>
      <c r="J206" s="19">
        <f t="shared" si="26"/>
        <v>684800.49369633954</v>
      </c>
      <c r="K206" s="16">
        <f t="shared" si="24"/>
        <v>0.67813443222754277</v>
      </c>
    </row>
    <row r="207" spans="1:11" x14ac:dyDescent="0.15">
      <c r="A207" s="7">
        <v>39235.552939814814</v>
      </c>
      <c r="B207">
        <v>49.7</v>
      </c>
      <c r="C207" s="6">
        <f t="shared" si="18"/>
        <v>374.00000004563481</v>
      </c>
      <c r="D207" t="str">
        <f t="shared" si="19"/>
        <v/>
      </c>
      <c r="E207">
        <f t="shared" si="21"/>
        <v>39235.552939814814</v>
      </c>
      <c r="F207" s="4">
        <f t="shared" si="20"/>
        <v>12.100000000000001</v>
      </c>
      <c r="G207" s="4">
        <f t="shared" si="22"/>
        <v>6.0500000000000007</v>
      </c>
      <c r="H207" s="5">
        <f t="shared" si="23"/>
        <v>12.099999025231229</v>
      </c>
      <c r="I207" s="14">
        <f t="shared" si="25"/>
        <v>2208.4154812257439</v>
      </c>
      <c r="J207" s="19">
        <f t="shared" si="26"/>
        <v>687008.90917756525</v>
      </c>
      <c r="K207" s="16">
        <f t="shared" si="24"/>
        <v>0.68032135030407614</v>
      </c>
    </row>
    <row r="208" spans="1:11" x14ac:dyDescent="0.15">
      <c r="A208" s="7">
        <v>39235.55296296296</v>
      </c>
      <c r="B208">
        <v>49.7</v>
      </c>
      <c r="C208" s="6">
        <f t="shared" si="18"/>
        <v>375.999999884516</v>
      </c>
      <c r="D208" t="str">
        <f t="shared" si="19"/>
        <v/>
      </c>
      <c r="E208">
        <f t="shared" si="21"/>
        <v>39235.55296296296</v>
      </c>
      <c r="F208" s="4">
        <f t="shared" si="20"/>
        <v>12.100000000000001</v>
      </c>
      <c r="G208" s="4">
        <f t="shared" si="22"/>
        <v>6.0500000000000007</v>
      </c>
      <c r="H208" s="5">
        <f t="shared" si="23"/>
        <v>12.099999025231229</v>
      </c>
      <c r="I208" s="14">
        <f t="shared" si="25"/>
        <v>2208.4154812257439</v>
      </c>
      <c r="J208" s="19">
        <f t="shared" si="26"/>
        <v>689217.32465879095</v>
      </c>
      <c r="K208" s="16">
        <f t="shared" si="24"/>
        <v>0.68250826838060952</v>
      </c>
    </row>
    <row r="209" spans="1:11" x14ac:dyDescent="0.15">
      <c r="A209" s="7">
        <v>39235.552986111114</v>
      </c>
      <c r="B209">
        <v>49.5</v>
      </c>
      <c r="C209" s="6">
        <f t="shared" si="18"/>
        <v>378.00000035203993</v>
      </c>
      <c r="D209" t="str">
        <f t="shared" si="19"/>
        <v/>
      </c>
      <c r="E209">
        <f t="shared" si="21"/>
        <v>39235.552986111114</v>
      </c>
      <c r="F209" s="4">
        <f t="shared" si="20"/>
        <v>11.899999999999999</v>
      </c>
      <c r="G209" s="4">
        <f t="shared" si="22"/>
        <v>5.9499999999999993</v>
      </c>
      <c r="H209" s="5">
        <f t="shared" si="23"/>
        <v>12.000002805143595</v>
      </c>
      <c r="I209" s="14">
        <f t="shared" si="25"/>
        <v>2190.1648020277457</v>
      </c>
      <c r="J209" s="19">
        <f t="shared" si="26"/>
        <v>691407.4894608187</v>
      </c>
      <c r="K209" s="16">
        <f t="shared" si="24"/>
        <v>0.68467711343574533</v>
      </c>
    </row>
    <row r="210" spans="1:11" x14ac:dyDescent="0.15">
      <c r="A210" s="7">
        <v>39235.55300925926</v>
      </c>
      <c r="B210">
        <v>49.4</v>
      </c>
      <c r="C210" s="6">
        <f t="shared" si="18"/>
        <v>380.00000019092113</v>
      </c>
      <c r="D210" t="str">
        <f t="shared" si="19"/>
        <v/>
      </c>
      <c r="E210">
        <f t="shared" si="21"/>
        <v>39235.55300925926</v>
      </c>
      <c r="F210" s="4">
        <f t="shared" si="20"/>
        <v>11.799999999999997</v>
      </c>
      <c r="G210" s="4">
        <f t="shared" si="22"/>
        <v>5.8999999999999986</v>
      </c>
      <c r="H210" s="5">
        <f t="shared" si="23"/>
        <v>11.849999045371076</v>
      </c>
      <c r="I210" s="14">
        <f t="shared" si="25"/>
        <v>2162.7870621921538</v>
      </c>
      <c r="J210" s="19">
        <f t="shared" si="26"/>
        <v>693570.27652301081</v>
      </c>
      <c r="K210" s="16">
        <f t="shared" si="24"/>
        <v>0.68681884725449904</v>
      </c>
    </row>
    <row r="211" spans="1:11" x14ac:dyDescent="0.15">
      <c r="A211" s="7">
        <v>39235.553032407406</v>
      </c>
      <c r="B211">
        <v>49.4</v>
      </c>
      <c r="C211" s="6">
        <f t="shared" si="18"/>
        <v>382.00000002980232</v>
      </c>
      <c r="D211" t="str">
        <f t="shared" si="19"/>
        <v/>
      </c>
      <c r="E211">
        <f t="shared" si="21"/>
        <v>39235.553032407406</v>
      </c>
      <c r="F211" s="4">
        <f t="shared" si="20"/>
        <v>11.799999999999997</v>
      </c>
      <c r="G211" s="4">
        <f t="shared" si="22"/>
        <v>5.8999999999999986</v>
      </c>
      <c r="H211" s="5">
        <f t="shared" si="23"/>
        <v>11.799999049399045</v>
      </c>
      <c r="I211" s="14">
        <f t="shared" si="25"/>
        <v>2153.6613783854355</v>
      </c>
      <c r="J211" s="19">
        <f t="shared" si="26"/>
        <v>695723.93790139619</v>
      </c>
      <c r="K211" s="16">
        <f t="shared" si="24"/>
        <v>0.68895154422169691</v>
      </c>
    </row>
    <row r="212" spans="1:11" x14ac:dyDescent="0.15">
      <c r="A212" s="7">
        <v>39235.553055555552</v>
      </c>
      <c r="B212">
        <v>49.1</v>
      </c>
      <c r="C212" s="6">
        <f t="shared" ref="C212:C275" si="27">(A212-$B$4)*24*60*60</f>
        <v>383.99999986868352</v>
      </c>
      <c r="D212" t="str">
        <f t="shared" ref="D212:D275" si="28">IF(F212=$B$8,A212,"")</f>
        <v/>
      </c>
      <c r="E212">
        <f t="shared" si="21"/>
        <v>39235.553055555552</v>
      </c>
      <c r="F212" s="4">
        <f t="shared" ref="F212:F275" si="29">IF((B212-$B$6)&gt;0,B212-$B$6,0)</f>
        <v>11.5</v>
      </c>
      <c r="G212" s="4">
        <f t="shared" si="22"/>
        <v>5.75</v>
      </c>
      <c r="H212" s="5">
        <f t="shared" si="23"/>
        <v>11.649999061482957</v>
      </c>
      <c r="I212" s="14">
        <f t="shared" si="25"/>
        <v>2126.2843269652817</v>
      </c>
      <c r="J212" s="19">
        <f t="shared" si="26"/>
        <v>697850.22222836153</v>
      </c>
      <c r="K212" s="16">
        <f t="shared" si="24"/>
        <v>0.69105713063422702</v>
      </c>
    </row>
    <row r="213" spans="1:11" x14ac:dyDescent="0.15">
      <c r="A213" s="7">
        <v>39235.553078703706</v>
      </c>
      <c r="B213">
        <v>48.8</v>
      </c>
      <c r="C213" s="6">
        <f t="shared" si="27"/>
        <v>386.00000033620745</v>
      </c>
      <c r="D213" t="str">
        <f t="shared" si="28"/>
        <v/>
      </c>
      <c r="E213">
        <f t="shared" ref="E213:E276" si="30">IF(B213-$B$6&gt;0,A213," ")</f>
        <v>39235.553078703706</v>
      </c>
      <c r="F213" s="4">
        <f t="shared" si="29"/>
        <v>11.199999999999996</v>
      </c>
      <c r="G213" s="4">
        <f t="shared" ref="G213:G276" si="31">F213/2</f>
        <v>5.5999999999999979</v>
      </c>
      <c r="H213" s="5">
        <f t="shared" ref="H213:H276" si="32">AVERAGE(G212:G213)*(C213-C212)</f>
        <v>11.350002653198315</v>
      </c>
      <c r="I213" s="14">
        <f t="shared" si="25"/>
        <v>2071.5308752512424</v>
      </c>
      <c r="J213" s="19">
        <f t="shared" si="26"/>
        <v>699921.75310361281</v>
      </c>
      <c r="K213" s="16">
        <f t="shared" ref="K213:K276" si="33">J213/($B$12*1000)</f>
        <v>0.69310849658220963</v>
      </c>
    </row>
    <row r="214" spans="1:11" x14ac:dyDescent="0.15">
      <c r="A214" s="7">
        <v>39235.553101851852</v>
      </c>
      <c r="B214">
        <v>48.7</v>
      </c>
      <c r="C214" s="6">
        <f t="shared" si="27"/>
        <v>388.00000017508864</v>
      </c>
      <c r="D214" t="str">
        <f t="shared" si="28"/>
        <v/>
      </c>
      <c r="E214">
        <f t="shared" si="30"/>
        <v>39235.553101851852</v>
      </c>
      <c r="F214" s="4">
        <f t="shared" si="29"/>
        <v>11.100000000000001</v>
      </c>
      <c r="G214" s="4">
        <f t="shared" si="31"/>
        <v>5.5500000000000007</v>
      </c>
      <c r="H214" s="5">
        <f t="shared" si="32"/>
        <v>11.149999101762658</v>
      </c>
      <c r="I214" s="14">
        <f t="shared" ref="I214:I277" si="34">H214*$B$14</f>
        <v>2035.0274888981023</v>
      </c>
      <c r="J214" s="19">
        <f t="shared" ref="J214:J277" si="35">J213+I214</f>
        <v>701956.78059251094</v>
      </c>
      <c r="K214" s="16">
        <f t="shared" si="33"/>
        <v>0.69512371447918064</v>
      </c>
    </row>
    <row r="215" spans="1:11" x14ac:dyDescent="0.15">
      <c r="A215" s="7">
        <v>39235.553124999999</v>
      </c>
      <c r="B215">
        <v>48.7</v>
      </c>
      <c r="C215" s="6">
        <f t="shared" si="27"/>
        <v>390.00000001396984</v>
      </c>
      <c r="D215" t="str">
        <f t="shared" si="28"/>
        <v/>
      </c>
      <c r="E215">
        <f t="shared" si="30"/>
        <v>39235.553124999999</v>
      </c>
      <c r="F215" s="4">
        <f t="shared" si="29"/>
        <v>11.100000000000001</v>
      </c>
      <c r="G215" s="4">
        <f t="shared" si="31"/>
        <v>5.5500000000000007</v>
      </c>
      <c r="H215" s="5">
        <f t="shared" si="32"/>
        <v>11.099999105790632</v>
      </c>
      <c r="I215" s="14">
        <f t="shared" si="34"/>
        <v>2025.9018050913851</v>
      </c>
      <c r="J215" s="19">
        <f t="shared" si="35"/>
        <v>703982.68239760236</v>
      </c>
      <c r="K215" s="16">
        <f t="shared" si="33"/>
        <v>0.69712989552459559</v>
      </c>
    </row>
    <row r="216" spans="1:11" x14ac:dyDescent="0.15">
      <c r="A216" s="7">
        <v>39235.553148148145</v>
      </c>
      <c r="B216">
        <v>48.5</v>
      </c>
      <c r="C216" s="6">
        <f t="shared" si="27"/>
        <v>391.99999985285103</v>
      </c>
      <c r="D216" t="str">
        <f t="shared" si="28"/>
        <v/>
      </c>
      <c r="E216">
        <f t="shared" si="30"/>
        <v>39235.553148148145</v>
      </c>
      <c r="F216" s="4">
        <f t="shared" si="29"/>
        <v>10.899999999999999</v>
      </c>
      <c r="G216" s="4">
        <f t="shared" si="31"/>
        <v>5.4499999999999993</v>
      </c>
      <c r="H216" s="5">
        <f t="shared" si="32"/>
        <v>10.99999911384657</v>
      </c>
      <c r="I216" s="14">
        <f t="shared" si="34"/>
        <v>2007.6504374779488</v>
      </c>
      <c r="J216" s="19">
        <f t="shared" si="35"/>
        <v>705990.33283508033</v>
      </c>
      <c r="K216" s="16">
        <f t="shared" si="33"/>
        <v>0.69911800286689874</v>
      </c>
    </row>
    <row r="217" spans="1:11" x14ac:dyDescent="0.15">
      <c r="A217" s="7">
        <v>39235.553171296298</v>
      </c>
      <c r="B217">
        <v>48.3</v>
      </c>
      <c r="C217" s="6">
        <f t="shared" si="27"/>
        <v>394.00000032037497</v>
      </c>
      <c r="D217" t="str">
        <f t="shared" si="28"/>
        <v/>
      </c>
      <c r="E217">
        <f t="shared" si="30"/>
        <v>39235.553171296298</v>
      </c>
      <c r="F217" s="4">
        <f t="shared" si="29"/>
        <v>10.699999999999996</v>
      </c>
      <c r="G217" s="4">
        <f t="shared" si="31"/>
        <v>5.3499999999999979</v>
      </c>
      <c r="H217" s="5">
        <f t="shared" si="32"/>
        <v>10.800002524629232</v>
      </c>
      <c r="I217" s="14">
        <f t="shared" si="34"/>
        <v>1971.1483218249705</v>
      </c>
      <c r="J217" s="19">
        <f t="shared" si="35"/>
        <v>707961.4811569053</v>
      </c>
      <c r="K217" s="16">
        <f t="shared" si="33"/>
        <v>0.70106996341652095</v>
      </c>
    </row>
    <row r="218" spans="1:11" x14ac:dyDescent="0.15">
      <c r="A218" s="7">
        <v>39235.553194444445</v>
      </c>
      <c r="B218">
        <v>48</v>
      </c>
      <c r="C218" s="6">
        <f t="shared" si="27"/>
        <v>396.00000015925616</v>
      </c>
      <c r="D218" t="str">
        <f t="shared" si="28"/>
        <v/>
      </c>
      <c r="E218">
        <f t="shared" si="30"/>
        <v>39235.553194444445</v>
      </c>
      <c r="F218" s="4">
        <f t="shared" si="29"/>
        <v>10.399999999999999</v>
      </c>
      <c r="G218" s="4">
        <f t="shared" si="31"/>
        <v>5.1999999999999993</v>
      </c>
      <c r="H218" s="5">
        <f t="shared" si="32"/>
        <v>10.549999150098298</v>
      </c>
      <c r="I218" s="14">
        <f t="shared" si="34"/>
        <v>1925.5192832174866</v>
      </c>
      <c r="J218" s="19">
        <f t="shared" si="35"/>
        <v>709887.00044012279</v>
      </c>
      <c r="K218" s="16">
        <f t="shared" si="33"/>
        <v>0.70297673909482072</v>
      </c>
    </row>
    <row r="219" spans="1:11" x14ac:dyDescent="0.15">
      <c r="A219" s="7">
        <v>39235.553217592591</v>
      </c>
      <c r="B219">
        <v>48</v>
      </c>
      <c r="C219" s="6">
        <f t="shared" si="27"/>
        <v>397.99999999813735</v>
      </c>
      <c r="D219" t="str">
        <f t="shared" si="28"/>
        <v/>
      </c>
      <c r="E219">
        <f t="shared" si="30"/>
        <v>39235.553217592591</v>
      </c>
      <c r="F219" s="4">
        <f t="shared" si="29"/>
        <v>10.399999999999999</v>
      </c>
      <c r="G219" s="4">
        <f t="shared" si="31"/>
        <v>5.1999999999999993</v>
      </c>
      <c r="H219" s="5">
        <f t="shared" si="32"/>
        <v>10.39999916218221</v>
      </c>
      <c r="I219" s="14">
        <f t="shared" si="34"/>
        <v>1898.1422317973331</v>
      </c>
      <c r="J219" s="19">
        <f t="shared" si="35"/>
        <v>711785.14267192013</v>
      </c>
      <c r="K219" s="16">
        <f t="shared" si="33"/>
        <v>0.70485640421845275</v>
      </c>
    </row>
    <row r="220" spans="1:11" x14ac:dyDescent="0.15">
      <c r="A220" s="7">
        <v>39235.553240740737</v>
      </c>
      <c r="B220">
        <v>47.8</v>
      </c>
      <c r="C220" s="6">
        <f t="shared" si="27"/>
        <v>399.99999983701855</v>
      </c>
      <c r="D220" t="str">
        <f t="shared" si="28"/>
        <v/>
      </c>
      <c r="E220">
        <f t="shared" si="30"/>
        <v>39235.553240740737</v>
      </c>
      <c r="F220" s="4">
        <f t="shared" si="29"/>
        <v>10.199999999999996</v>
      </c>
      <c r="G220" s="4">
        <f t="shared" si="31"/>
        <v>5.0999999999999979</v>
      </c>
      <c r="H220" s="5">
        <f t="shared" si="32"/>
        <v>10.299999170238149</v>
      </c>
      <c r="I220" s="14">
        <f t="shared" si="34"/>
        <v>1879.8908641838968</v>
      </c>
      <c r="J220" s="19">
        <f t="shared" si="35"/>
        <v>713665.03353610402</v>
      </c>
      <c r="K220" s="16">
        <f t="shared" si="33"/>
        <v>0.70671799563897286</v>
      </c>
    </row>
    <row r="221" spans="1:11" x14ac:dyDescent="0.15">
      <c r="A221" s="7">
        <v>39235.553263888891</v>
      </c>
      <c r="B221">
        <v>47.8</v>
      </c>
      <c r="C221" s="6">
        <f t="shared" si="27"/>
        <v>402.00000030454248</v>
      </c>
      <c r="D221" t="str">
        <f t="shared" si="28"/>
        <v/>
      </c>
      <c r="E221">
        <f t="shared" si="30"/>
        <v>39235.553263888891</v>
      </c>
      <c r="F221" s="4">
        <f t="shared" si="29"/>
        <v>10.199999999999996</v>
      </c>
      <c r="G221" s="4">
        <f t="shared" si="31"/>
        <v>5.0999999999999979</v>
      </c>
      <c r="H221" s="5">
        <f t="shared" si="32"/>
        <v>10.200002384372052</v>
      </c>
      <c r="I221" s="14">
        <f t="shared" si="34"/>
        <v>1861.6400817235831</v>
      </c>
      <c r="J221" s="19">
        <f t="shared" si="35"/>
        <v>715526.67361782759</v>
      </c>
      <c r="K221" s="16">
        <f t="shared" si="33"/>
        <v>0.70856151393583833</v>
      </c>
    </row>
    <row r="222" spans="1:11" x14ac:dyDescent="0.15">
      <c r="A222" s="7">
        <v>39235.553287037037</v>
      </c>
      <c r="B222">
        <v>48.2</v>
      </c>
      <c r="C222" s="6">
        <f t="shared" si="27"/>
        <v>404.00000014342368</v>
      </c>
      <c r="D222" t="str">
        <f t="shared" si="28"/>
        <v/>
      </c>
      <c r="E222">
        <f t="shared" si="30"/>
        <v>39235.553287037037</v>
      </c>
      <c r="F222" s="4">
        <f t="shared" si="29"/>
        <v>10.600000000000001</v>
      </c>
      <c r="G222" s="4">
        <f t="shared" si="31"/>
        <v>5.3000000000000007</v>
      </c>
      <c r="H222" s="5">
        <f t="shared" si="32"/>
        <v>10.39999916218221</v>
      </c>
      <c r="I222" s="14">
        <f t="shared" si="34"/>
        <v>1898.1422317973331</v>
      </c>
      <c r="J222" s="19">
        <f t="shared" si="35"/>
        <v>717424.81584962492</v>
      </c>
      <c r="K222" s="16">
        <f t="shared" si="33"/>
        <v>0.71044117905947035</v>
      </c>
    </row>
    <row r="223" spans="1:11" x14ac:dyDescent="0.15">
      <c r="A223" s="7">
        <v>39235.553310185183</v>
      </c>
      <c r="B223">
        <v>47.4</v>
      </c>
      <c r="C223" s="6">
        <f t="shared" si="27"/>
        <v>405.99999998230487</v>
      </c>
      <c r="D223" t="str">
        <f t="shared" si="28"/>
        <v/>
      </c>
      <c r="E223">
        <f t="shared" si="30"/>
        <v>39235.553310185183</v>
      </c>
      <c r="F223" s="4">
        <f t="shared" si="29"/>
        <v>9.7999999999999972</v>
      </c>
      <c r="G223" s="4">
        <f t="shared" si="31"/>
        <v>4.8999999999999986</v>
      </c>
      <c r="H223" s="5">
        <f t="shared" si="32"/>
        <v>10.199999178294092</v>
      </c>
      <c r="I223" s="14">
        <f t="shared" si="34"/>
        <v>1861.6394965704617</v>
      </c>
      <c r="J223" s="19">
        <f t="shared" si="35"/>
        <v>719286.45534619538</v>
      </c>
      <c r="K223" s="16">
        <f t="shared" si="33"/>
        <v>0.71228469677687867</v>
      </c>
    </row>
    <row r="224" spans="1:11" x14ac:dyDescent="0.15">
      <c r="A224" s="7">
        <v>39235.553333333337</v>
      </c>
      <c r="B224">
        <v>48.2</v>
      </c>
      <c r="C224" s="6">
        <f t="shared" si="27"/>
        <v>408.0000004498288</v>
      </c>
      <c r="D224" t="str">
        <f t="shared" si="28"/>
        <v/>
      </c>
      <c r="E224">
        <f t="shared" si="30"/>
        <v>39235.553333333337</v>
      </c>
      <c r="F224" s="4">
        <f t="shared" si="29"/>
        <v>10.600000000000001</v>
      </c>
      <c r="G224" s="4">
        <f t="shared" si="31"/>
        <v>5.3000000000000007</v>
      </c>
      <c r="H224" s="5">
        <f t="shared" si="32"/>
        <v>10.200002384372056</v>
      </c>
      <c r="I224" s="14">
        <f t="shared" si="34"/>
        <v>1861.6400817235838</v>
      </c>
      <c r="J224" s="19">
        <f t="shared" si="35"/>
        <v>721148.09542791895</v>
      </c>
      <c r="K224" s="16">
        <f t="shared" si="33"/>
        <v>0.71412821507374402</v>
      </c>
    </row>
    <row r="225" spans="1:11" x14ac:dyDescent="0.15">
      <c r="A225" s="7">
        <v>39235.553356481483</v>
      </c>
      <c r="B225">
        <v>48.3</v>
      </c>
      <c r="C225" s="6">
        <f t="shared" si="27"/>
        <v>410.00000028871</v>
      </c>
      <c r="D225" t="str">
        <f t="shared" si="28"/>
        <v/>
      </c>
      <c r="E225">
        <f t="shared" si="30"/>
        <v>39235.553356481483</v>
      </c>
      <c r="F225" s="4">
        <f t="shared" si="29"/>
        <v>10.699999999999996</v>
      </c>
      <c r="G225" s="4">
        <f t="shared" si="31"/>
        <v>5.3499999999999979</v>
      </c>
      <c r="H225" s="5">
        <f t="shared" si="32"/>
        <v>10.649999142042359</v>
      </c>
      <c r="I225" s="14">
        <f t="shared" si="34"/>
        <v>1943.7706508309229</v>
      </c>
      <c r="J225" s="19">
        <f t="shared" si="35"/>
        <v>723091.86607874988</v>
      </c>
      <c r="K225" s="16">
        <f t="shared" si="33"/>
        <v>0.71605306445515571</v>
      </c>
    </row>
    <row r="226" spans="1:11" x14ac:dyDescent="0.15">
      <c r="A226" s="7">
        <v>39235.553379629629</v>
      </c>
      <c r="B226">
        <v>48</v>
      </c>
      <c r="C226" s="6">
        <f t="shared" si="27"/>
        <v>412.00000012759119</v>
      </c>
      <c r="D226" t="str">
        <f t="shared" si="28"/>
        <v/>
      </c>
      <c r="E226">
        <f t="shared" si="30"/>
        <v>39235.553379629629</v>
      </c>
      <c r="F226" s="4">
        <f t="shared" si="29"/>
        <v>10.399999999999999</v>
      </c>
      <c r="G226" s="4">
        <f t="shared" si="31"/>
        <v>5.1999999999999993</v>
      </c>
      <c r="H226" s="5">
        <f t="shared" si="32"/>
        <v>10.549999150098298</v>
      </c>
      <c r="I226" s="14">
        <f t="shared" si="34"/>
        <v>1925.5192832174866</v>
      </c>
      <c r="J226" s="19">
        <f t="shared" si="35"/>
        <v>725017.38536196738</v>
      </c>
      <c r="K226" s="16">
        <f t="shared" si="33"/>
        <v>0.71795984013345548</v>
      </c>
    </row>
    <row r="227" spans="1:11" x14ac:dyDescent="0.15">
      <c r="A227" s="7">
        <v>39235.553402777776</v>
      </c>
      <c r="B227">
        <v>47.7</v>
      </c>
      <c r="C227" s="6">
        <f t="shared" si="27"/>
        <v>413.99999996647239</v>
      </c>
      <c r="D227" t="str">
        <f t="shared" si="28"/>
        <v/>
      </c>
      <c r="E227">
        <f t="shared" si="30"/>
        <v>39235.553402777776</v>
      </c>
      <c r="F227" s="4">
        <f t="shared" si="29"/>
        <v>10.100000000000001</v>
      </c>
      <c r="G227" s="4">
        <f t="shared" si="31"/>
        <v>5.0500000000000007</v>
      </c>
      <c r="H227" s="5">
        <f t="shared" si="32"/>
        <v>10.249999174266122</v>
      </c>
      <c r="I227" s="14">
        <f t="shared" si="34"/>
        <v>1870.7651803771796</v>
      </c>
      <c r="J227" s="19">
        <f t="shared" si="35"/>
        <v>726888.15054234455</v>
      </c>
      <c r="K227" s="16">
        <f t="shared" si="33"/>
        <v>0.71981239470241976</v>
      </c>
    </row>
    <row r="228" spans="1:11" x14ac:dyDescent="0.15">
      <c r="A228" s="7">
        <v>39235.553425925929</v>
      </c>
      <c r="B228">
        <v>47.8</v>
      </c>
      <c r="C228" s="6">
        <f t="shared" si="27"/>
        <v>416.00000043399632</v>
      </c>
      <c r="D228" t="str">
        <f t="shared" si="28"/>
        <v/>
      </c>
      <c r="E228">
        <f t="shared" si="30"/>
        <v>39235.553425925929</v>
      </c>
      <c r="F228" s="4">
        <f t="shared" si="29"/>
        <v>10.199999999999996</v>
      </c>
      <c r="G228" s="4">
        <f t="shared" si="31"/>
        <v>5.0999999999999979</v>
      </c>
      <c r="H228" s="5">
        <f t="shared" si="32"/>
        <v>10.150002372683955</v>
      </c>
      <c r="I228" s="14">
        <f t="shared" si="34"/>
        <v>1852.5143950484678</v>
      </c>
      <c r="J228" s="19">
        <f t="shared" si="35"/>
        <v>728740.66493739304</v>
      </c>
      <c r="K228" s="16">
        <f t="shared" si="33"/>
        <v>0.72164687614488876</v>
      </c>
    </row>
    <row r="229" spans="1:11" x14ac:dyDescent="0.15">
      <c r="A229" s="7">
        <v>39235.553449074076</v>
      </c>
      <c r="B229">
        <v>47.8</v>
      </c>
      <c r="C229" s="6">
        <f t="shared" si="27"/>
        <v>418.00000027287751</v>
      </c>
      <c r="D229" t="str">
        <f t="shared" si="28"/>
        <v/>
      </c>
      <c r="E229">
        <f t="shared" si="30"/>
        <v>39235.553449074076</v>
      </c>
      <c r="F229" s="4">
        <f t="shared" si="29"/>
        <v>10.199999999999996</v>
      </c>
      <c r="G229" s="4">
        <f t="shared" si="31"/>
        <v>5.0999999999999979</v>
      </c>
      <c r="H229" s="5">
        <f t="shared" si="32"/>
        <v>10.199999178294089</v>
      </c>
      <c r="I229" s="14">
        <f t="shared" si="34"/>
        <v>1861.639496570461</v>
      </c>
      <c r="J229" s="19">
        <f t="shared" si="35"/>
        <v>730602.30443396349</v>
      </c>
      <c r="K229" s="16">
        <f t="shared" si="33"/>
        <v>0.72349039386229708</v>
      </c>
    </row>
    <row r="230" spans="1:11" x14ac:dyDescent="0.15">
      <c r="A230" s="7">
        <v>39235.553472222222</v>
      </c>
      <c r="B230">
        <v>47.5</v>
      </c>
      <c r="C230" s="6">
        <f t="shared" si="27"/>
        <v>420.00000011175871</v>
      </c>
      <c r="D230" t="str">
        <f t="shared" si="28"/>
        <v/>
      </c>
      <c r="E230">
        <f t="shared" si="30"/>
        <v>39235.553472222222</v>
      </c>
      <c r="F230" s="4">
        <f t="shared" si="29"/>
        <v>9.8999999999999986</v>
      </c>
      <c r="G230" s="4">
        <f t="shared" si="31"/>
        <v>4.9499999999999993</v>
      </c>
      <c r="H230" s="5">
        <f t="shared" si="32"/>
        <v>10.049999190377999</v>
      </c>
      <c r="I230" s="14">
        <f t="shared" si="34"/>
        <v>1834.262445150307</v>
      </c>
      <c r="J230" s="19">
        <f t="shared" si="35"/>
        <v>732436.56687911379</v>
      </c>
      <c r="K230" s="16">
        <f t="shared" si="33"/>
        <v>0.72530680102503764</v>
      </c>
    </row>
    <row r="231" spans="1:11" x14ac:dyDescent="0.15">
      <c r="A231" s="7">
        <v>39235.553495370368</v>
      </c>
      <c r="B231">
        <v>47.7</v>
      </c>
      <c r="C231" s="6">
        <f t="shared" si="27"/>
        <v>421.9999999506399</v>
      </c>
      <c r="D231" t="str">
        <f t="shared" si="28"/>
        <v/>
      </c>
      <c r="E231">
        <f t="shared" si="30"/>
        <v>39235.553495370368</v>
      </c>
      <c r="F231" s="4">
        <f t="shared" si="29"/>
        <v>10.100000000000001</v>
      </c>
      <c r="G231" s="4">
        <f t="shared" si="31"/>
        <v>5.0500000000000007</v>
      </c>
      <c r="H231" s="5">
        <f t="shared" si="32"/>
        <v>9.999999194405973</v>
      </c>
      <c r="I231" s="14">
        <f t="shared" si="34"/>
        <v>1825.1367613435898</v>
      </c>
      <c r="J231" s="19">
        <f t="shared" si="35"/>
        <v>734261.70364045736</v>
      </c>
      <c r="K231" s="16">
        <f t="shared" si="33"/>
        <v>0.72711417133622225</v>
      </c>
    </row>
    <row r="232" spans="1:11" x14ac:dyDescent="0.15">
      <c r="A232" s="7">
        <v>39235.553518518522</v>
      </c>
      <c r="B232">
        <v>47.5</v>
      </c>
      <c r="C232" s="6">
        <f t="shared" si="27"/>
        <v>424.00000041816384</v>
      </c>
      <c r="D232" t="str">
        <f t="shared" si="28"/>
        <v/>
      </c>
      <c r="E232">
        <f t="shared" si="30"/>
        <v>39235.553518518522</v>
      </c>
      <c r="F232" s="4">
        <f t="shared" si="29"/>
        <v>9.8999999999999986</v>
      </c>
      <c r="G232" s="4">
        <f t="shared" si="31"/>
        <v>4.9499999999999993</v>
      </c>
      <c r="H232" s="5">
        <f t="shared" si="32"/>
        <v>10.000002337619662</v>
      </c>
      <c r="I232" s="14">
        <f t="shared" si="34"/>
        <v>1825.1373350231213</v>
      </c>
      <c r="J232" s="19">
        <f t="shared" si="35"/>
        <v>736086.8409754805</v>
      </c>
      <c r="K232" s="16">
        <f t="shared" si="33"/>
        <v>0.72892154221550209</v>
      </c>
    </row>
    <row r="233" spans="1:11" x14ac:dyDescent="0.15">
      <c r="A233" s="7">
        <v>39235.553541666668</v>
      </c>
      <c r="B233">
        <v>47.2</v>
      </c>
      <c r="C233" s="6">
        <f t="shared" si="27"/>
        <v>426.00000025704503</v>
      </c>
      <c r="D233" t="str">
        <f t="shared" si="28"/>
        <v/>
      </c>
      <c r="E233">
        <f t="shared" si="30"/>
        <v>39235.553541666668</v>
      </c>
      <c r="F233" s="4">
        <f t="shared" si="29"/>
        <v>9.6000000000000014</v>
      </c>
      <c r="G233" s="4">
        <f t="shared" si="31"/>
        <v>4.8000000000000007</v>
      </c>
      <c r="H233" s="5">
        <f t="shared" si="32"/>
        <v>9.7499992145458236</v>
      </c>
      <c r="I233" s="14">
        <f t="shared" si="34"/>
        <v>1779.50834231</v>
      </c>
      <c r="J233" s="19">
        <f t="shared" si="35"/>
        <v>737866.34931779047</v>
      </c>
      <c r="K233" s="16">
        <f t="shared" si="33"/>
        <v>0.73068372826890715</v>
      </c>
    </row>
    <row r="234" spans="1:11" x14ac:dyDescent="0.15">
      <c r="A234" s="7">
        <v>39235.553564814814</v>
      </c>
      <c r="B234">
        <v>47.4</v>
      </c>
      <c r="C234" s="6">
        <f t="shared" si="27"/>
        <v>428.00000009592623</v>
      </c>
      <c r="D234" t="str">
        <f t="shared" si="28"/>
        <v/>
      </c>
      <c r="E234">
        <f t="shared" si="30"/>
        <v>39235.553564814814</v>
      </c>
      <c r="F234" s="4">
        <f t="shared" si="29"/>
        <v>9.7999999999999972</v>
      </c>
      <c r="G234" s="4">
        <f t="shared" si="31"/>
        <v>4.8999999999999986</v>
      </c>
      <c r="H234" s="5">
        <f t="shared" si="32"/>
        <v>9.6999992185737938</v>
      </c>
      <c r="I234" s="14">
        <f t="shared" si="34"/>
        <v>1770.3826585032821</v>
      </c>
      <c r="J234" s="19">
        <f t="shared" si="35"/>
        <v>739636.73197629373</v>
      </c>
      <c r="K234" s="16">
        <f t="shared" si="33"/>
        <v>0.73243687747075614</v>
      </c>
    </row>
    <row r="235" spans="1:11" x14ac:dyDescent="0.15">
      <c r="A235" s="7">
        <v>39235.553587962961</v>
      </c>
      <c r="B235">
        <v>47.3</v>
      </c>
      <c r="C235" s="6">
        <f t="shared" si="27"/>
        <v>429.99999993480742</v>
      </c>
      <c r="D235" t="str">
        <f t="shared" si="28"/>
        <v/>
      </c>
      <c r="E235">
        <f t="shared" si="30"/>
        <v>39235.553587962961</v>
      </c>
      <c r="F235" s="4">
        <f t="shared" si="29"/>
        <v>9.6999999999999957</v>
      </c>
      <c r="G235" s="4">
        <f t="shared" si="31"/>
        <v>4.8499999999999979</v>
      </c>
      <c r="H235" s="5">
        <f t="shared" si="32"/>
        <v>9.7499992145458201</v>
      </c>
      <c r="I235" s="14">
        <f t="shared" si="34"/>
        <v>1779.5083423099993</v>
      </c>
      <c r="J235" s="19">
        <f t="shared" si="35"/>
        <v>741416.2403186037</v>
      </c>
      <c r="K235" s="16">
        <f t="shared" si="33"/>
        <v>0.7341990635241612</v>
      </c>
    </row>
    <row r="236" spans="1:11" x14ac:dyDescent="0.15">
      <c r="A236" s="7">
        <v>39235.553611111114</v>
      </c>
      <c r="B236">
        <v>47.4</v>
      </c>
      <c r="C236" s="6">
        <f t="shared" si="27"/>
        <v>432.00000040233135</v>
      </c>
      <c r="D236" t="str">
        <f t="shared" si="28"/>
        <v/>
      </c>
      <c r="E236">
        <f t="shared" si="30"/>
        <v>39235.553611111114</v>
      </c>
      <c r="F236" s="4">
        <f t="shared" si="29"/>
        <v>9.7999999999999972</v>
      </c>
      <c r="G236" s="4">
        <f t="shared" si="31"/>
        <v>4.8999999999999986</v>
      </c>
      <c r="H236" s="5">
        <f t="shared" si="32"/>
        <v>9.7500022791791672</v>
      </c>
      <c r="I236" s="14">
        <f t="shared" si="34"/>
        <v>1779.5089016475426</v>
      </c>
      <c r="J236" s="19">
        <f t="shared" si="35"/>
        <v>743195.74922025122</v>
      </c>
      <c r="K236" s="16">
        <f t="shared" si="33"/>
        <v>0.73596125013145897</v>
      </c>
    </row>
    <row r="237" spans="1:11" x14ac:dyDescent="0.15">
      <c r="A237" s="7">
        <v>39235.55363425926</v>
      </c>
      <c r="B237">
        <v>47.4</v>
      </c>
      <c r="C237" s="6">
        <f t="shared" si="27"/>
        <v>434.00000024121255</v>
      </c>
      <c r="D237" t="str">
        <f t="shared" si="28"/>
        <v/>
      </c>
      <c r="E237">
        <f t="shared" si="30"/>
        <v>39235.55363425926</v>
      </c>
      <c r="F237" s="4">
        <f t="shared" si="29"/>
        <v>9.7999999999999972</v>
      </c>
      <c r="G237" s="4">
        <f t="shared" si="31"/>
        <v>4.8999999999999986</v>
      </c>
      <c r="H237" s="5">
        <f t="shared" si="32"/>
        <v>9.7999992105178499</v>
      </c>
      <c r="I237" s="14">
        <f t="shared" si="34"/>
        <v>1788.6340261167175</v>
      </c>
      <c r="J237" s="19">
        <f t="shared" si="35"/>
        <v>744984.38324636791</v>
      </c>
      <c r="K237" s="16">
        <f t="shared" si="33"/>
        <v>0.73773247303641987</v>
      </c>
    </row>
    <row r="238" spans="1:11" x14ac:dyDescent="0.15">
      <c r="A238" s="7">
        <v>39235.553657407407</v>
      </c>
      <c r="B238">
        <v>47.1</v>
      </c>
      <c r="C238" s="6">
        <f t="shared" si="27"/>
        <v>436.00000008009374</v>
      </c>
      <c r="D238" t="str">
        <f t="shared" si="28"/>
        <v/>
      </c>
      <c r="E238">
        <f t="shared" si="30"/>
        <v>39235.553657407407</v>
      </c>
      <c r="F238" s="4">
        <f t="shared" si="29"/>
        <v>9.5</v>
      </c>
      <c r="G238" s="4">
        <f t="shared" si="31"/>
        <v>4.75</v>
      </c>
      <c r="H238" s="5">
        <f t="shared" si="32"/>
        <v>9.6499992226017621</v>
      </c>
      <c r="I238" s="14">
        <f t="shared" si="34"/>
        <v>1761.2569746965639</v>
      </c>
      <c r="J238" s="19">
        <f t="shared" si="35"/>
        <v>746745.64022106444</v>
      </c>
      <c r="K238" s="16">
        <f t="shared" si="33"/>
        <v>0.73947658538671301</v>
      </c>
    </row>
    <row r="239" spans="1:11" x14ac:dyDescent="0.15">
      <c r="A239" s="7">
        <v>39235.553680555553</v>
      </c>
      <c r="B239">
        <v>47.3</v>
      </c>
      <c r="C239" s="6">
        <f t="shared" si="27"/>
        <v>437.99999991897494</v>
      </c>
      <c r="D239" t="str">
        <f t="shared" si="28"/>
        <v/>
      </c>
      <c r="E239">
        <f t="shared" si="30"/>
        <v>39235.553680555553</v>
      </c>
      <c r="F239" s="4">
        <f t="shared" si="29"/>
        <v>9.6999999999999957</v>
      </c>
      <c r="G239" s="4">
        <f t="shared" si="31"/>
        <v>4.8499999999999979</v>
      </c>
      <c r="H239" s="5">
        <f t="shared" si="32"/>
        <v>9.5999992266297323</v>
      </c>
      <c r="I239" s="14">
        <f t="shared" si="34"/>
        <v>1752.1312908898458</v>
      </c>
      <c r="J239" s="19">
        <f t="shared" si="35"/>
        <v>748497.77151195426</v>
      </c>
      <c r="K239" s="16">
        <f t="shared" si="33"/>
        <v>0.74121166088545032</v>
      </c>
    </row>
    <row r="240" spans="1:11" x14ac:dyDescent="0.15">
      <c r="A240" s="7">
        <v>39235.553703703707</v>
      </c>
      <c r="B240">
        <v>47.1</v>
      </c>
      <c r="C240" s="6">
        <f t="shared" si="27"/>
        <v>440.00000038649887</v>
      </c>
      <c r="D240" t="str">
        <f t="shared" si="28"/>
        <v/>
      </c>
      <c r="E240">
        <f t="shared" si="30"/>
        <v>39235.553703703707</v>
      </c>
      <c r="F240" s="4">
        <f t="shared" si="29"/>
        <v>9.5</v>
      </c>
      <c r="G240" s="4">
        <f t="shared" si="31"/>
        <v>4.75</v>
      </c>
      <c r="H240" s="5">
        <f t="shared" si="32"/>
        <v>9.600002244114874</v>
      </c>
      <c r="I240" s="14">
        <f t="shared" si="34"/>
        <v>1752.1318416221961</v>
      </c>
      <c r="J240" s="19">
        <f t="shared" si="35"/>
        <v>750249.90335357643</v>
      </c>
      <c r="K240" s="16">
        <f t="shared" si="33"/>
        <v>0.74294673692955882</v>
      </c>
    </row>
    <row r="241" spans="1:11" x14ac:dyDescent="0.15">
      <c r="A241" s="7">
        <v>39235.553726851853</v>
      </c>
      <c r="B241">
        <v>47.1</v>
      </c>
      <c r="C241" s="6">
        <f t="shared" si="27"/>
        <v>442.00000022538006</v>
      </c>
      <c r="D241" t="str">
        <f t="shared" si="28"/>
        <v/>
      </c>
      <c r="E241">
        <f t="shared" si="30"/>
        <v>39235.553726851853</v>
      </c>
      <c r="F241" s="4">
        <f t="shared" si="29"/>
        <v>9.5</v>
      </c>
      <c r="G241" s="4">
        <f t="shared" si="31"/>
        <v>4.75</v>
      </c>
      <c r="H241" s="5">
        <f t="shared" si="32"/>
        <v>9.4999992346856743</v>
      </c>
      <c r="I241" s="14">
        <f t="shared" si="34"/>
        <v>1733.8799232764104</v>
      </c>
      <c r="J241" s="19">
        <f t="shared" si="35"/>
        <v>751983.7832768528</v>
      </c>
      <c r="K241" s="16">
        <f t="shared" si="33"/>
        <v>0.74466373872518421</v>
      </c>
    </row>
    <row r="242" spans="1:11" x14ac:dyDescent="0.15">
      <c r="A242" s="7">
        <v>39235.553749999999</v>
      </c>
      <c r="B242">
        <v>47.1</v>
      </c>
      <c r="C242" s="6">
        <f t="shared" si="27"/>
        <v>444.00000006426126</v>
      </c>
      <c r="D242" t="str">
        <f t="shared" si="28"/>
        <v/>
      </c>
      <c r="E242">
        <f t="shared" si="30"/>
        <v>39235.553749999999</v>
      </c>
      <c r="F242" s="4">
        <f t="shared" si="29"/>
        <v>9.5</v>
      </c>
      <c r="G242" s="4">
        <f t="shared" si="31"/>
        <v>4.75</v>
      </c>
      <c r="H242" s="5">
        <f t="shared" si="32"/>
        <v>9.4999992346856743</v>
      </c>
      <c r="I242" s="14">
        <f t="shared" si="34"/>
        <v>1733.8799232764104</v>
      </c>
      <c r="J242" s="19">
        <f t="shared" si="35"/>
        <v>753717.66320012917</v>
      </c>
      <c r="K242" s="16">
        <f t="shared" si="33"/>
        <v>0.7463807405208096</v>
      </c>
    </row>
    <row r="243" spans="1:11" x14ac:dyDescent="0.15">
      <c r="A243" s="7">
        <v>39235.553773148145</v>
      </c>
      <c r="B243">
        <v>47.4</v>
      </c>
      <c r="C243" s="6">
        <f t="shared" si="27"/>
        <v>445.99999990314245</v>
      </c>
      <c r="D243" t="str">
        <f t="shared" si="28"/>
        <v/>
      </c>
      <c r="E243">
        <f t="shared" si="30"/>
        <v>39235.553773148145</v>
      </c>
      <c r="F243" s="4">
        <f t="shared" si="29"/>
        <v>9.7999999999999972</v>
      </c>
      <c r="G243" s="4">
        <f t="shared" si="31"/>
        <v>4.8999999999999986</v>
      </c>
      <c r="H243" s="5">
        <f t="shared" si="32"/>
        <v>9.6499992226017621</v>
      </c>
      <c r="I243" s="14">
        <f t="shared" si="34"/>
        <v>1761.2569746965639</v>
      </c>
      <c r="J243" s="19">
        <f t="shared" si="35"/>
        <v>755478.9201748257</v>
      </c>
      <c r="K243" s="16">
        <f t="shared" si="33"/>
        <v>0.74812485287110275</v>
      </c>
    </row>
    <row r="244" spans="1:11" x14ac:dyDescent="0.15">
      <c r="A244" s="7">
        <v>39235.553796296299</v>
      </c>
      <c r="B244">
        <v>47.2</v>
      </c>
      <c r="C244" s="6">
        <f t="shared" si="27"/>
        <v>448.00000037066638</v>
      </c>
      <c r="D244" t="str">
        <f t="shared" si="28"/>
        <v/>
      </c>
      <c r="E244">
        <f t="shared" si="30"/>
        <v>39235.553796296299</v>
      </c>
      <c r="F244" s="4">
        <f t="shared" si="29"/>
        <v>9.6000000000000014</v>
      </c>
      <c r="G244" s="4">
        <f t="shared" si="31"/>
        <v>4.8000000000000007</v>
      </c>
      <c r="H244" s="5">
        <f t="shared" si="32"/>
        <v>9.7000022674910724</v>
      </c>
      <c r="I244" s="14">
        <f t="shared" si="34"/>
        <v>1770.3832149724276</v>
      </c>
      <c r="J244" s="19">
        <f t="shared" si="35"/>
        <v>757249.30338979815</v>
      </c>
      <c r="K244" s="16">
        <f t="shared" si="33"/>
        <v>0.74987800262400417</v>
      </c>
    </row>
    <row r="245" spans="1:11" x14ac:dyDescent="0.15">
      <c r="A245" s="7">
        <v>39235.553819444445</v>
      </c>
      <c r="B245">
        <v>47.2</v>
      </c>
      <c r="C245" s="6">
        <f t="shared" si="27"/>
        <v>450.00000020954758</v>
      </c>
      <c r="D245" t="str">
        <f t="shared" si="28"/>
        <v/>
      </c>
      <c r="E245">
        <f t="shared" si="30"/>
        <v>39235.553819444445</v>
      </c>
      <c r="F245" s="4">
        <f t="shared" si="29"/>
        <v>9.6000000000000014</v>
      </c>
      <c r="G245" s="4">
        <f t="shared" si="31"/>
        <v>4.8000000000000007</v>
      </c>
      <c r="H245" s="5">
        <f t="shared" si="32"/>
        <v>9.5999992266297358</v>
      </c>
      <c r="I245" s="14">
        <f t="shared" si="34"/>
        <v>1752.1312908898465</v>
      </c>
      <c r="J245" s="19">
        <f t="shared" si="35"/>
        <v>759001.43468068796</v>
      </c>
      <c r="K245" s="16">
        <f t="shared" si="33"/>
        <v>0.75161307812274136</v>
      </c>
    </row>
    <row r="246" spans="1:11" x14ac:dyDescent="0.15">
      <c r="A246" s="7">
        <v>39235.553842592592</v>
      </c>
      <c r="B246">
        <v>47.4</v>
      </c>
      <c r="C246" s="6">
        <f t="shared" si="27"/>
        <v>452.00000004842877</v>
      </c>
      <c r="D246" t="str">
        <f t="shared" si="28"/>
        <v/>
      </c>
      <c r="E246">
        <f t="shared" si="30"/>
        <v>39235.553842592592</v>
      </c>
      <c r="F246" s="4">
        <f t="shared" si="29"/>
        <v>9.7999999999999972</v>
      </c>
      <c r="G246" s="4">
        <f t="shared" si="31"/>
        <v>4.8999999999999986</v>
      </c>
      <c r="H246" s="5">
        <f t="shared" si="32"/>
        <v>9.6999992185737938</v>
      </c>
      <c r="I246" s="14">
        <f t="shared" si="34"/>
        <v>1770.3826585032821</v>
      </c>
      <c r="J246" s="19">
        <f t="shared" si="35"/>
        <v>760771.81733919121</v>
      </c>
      <c r="K246" s="16">
        <f t="shared" si="33"/>
        <v>0.75336622732459047</v>
      </c>
    </row>
    <row r="247" spans="1:11" x14ac:dyDescent="0.15">
      <c r="A247" s="7">
        <v>39235.553865740738</v>
      </c>
      <c r="B247">
        <v>47.2</v>
      </c>
      <c r="C247" s="6">
        <f t="shared" si="27"/>
        <v>453.99999988730997</v>
      </c>
      <c r="D247" t="str">
        <f t="shared" si="28"/>
        <v/>
      </c>
      <c r="E247">
        <f t="shared" si="30"/>
        <v>39235.553865740738</v>
      </c>
      <c r="F247" s="4">
        <f t="shared" si="29"/>
        <v>9.6000000000000014</v>
      </c>
      <c r="G247" s="4">
        <f t="shared" si="31"/>
        <v>4.8000000000000007</v>
      </c>
      <c r="H247" s="5">
        <f t="shared" si="32"/>
        <v>9.6999992185737938</v>
      </c>
      <c r="I247" s="14">
        <f t="shared" si="34"/>
        <v>1770.3826585032821</v>
      </c>
      <c r="J247" s="19">
        <f t="shared" si="35"/>
        <v>762542.19999769446</v>
      </c>
      <c r="K247" s="16">
        <f t="shared" si="33"/>
        <v>0.75511937652643957</v>
      </c>
    </row>
    <row r="248" spans="1:11" x14ac:dyDescent="0.15">
      <c r="A248" s="7">
        <v>39235.553888888891</v>
      </c>
      <c r="B248">
        <v>47.1</v>
      </c>
      <c r="C248" s="6">
        <f t="shared" si="27"/>
        <v>456.0000003548339</v>
      </c>
      <c r="D248" t="str">
        <f t="shared" si="28"/>
        <v/>
      </c>
      <c r="E248">
        <f t="shared" si="30"/>
        <v>39235.553888888891</v>
      </c>
      <c r="F248" s="4">
        <f t="shared" si="29"/>
        <v>9.5</v>
      </c>
      <c r="G248" s="4">
        <f t="shared" si="31"/>
        <v>4.75</v>
      </c>
      <c r="H248" s="5">
        <f t="shared" si="32"/>
        <v>9.5500022324267775</v>
      </c>
      <c r="I248" s="14">
        <f t="shared" si="34"/>
        <v>1743.0061549470809</v>
      </c>
      <c r="J248" s="19">
        <f t="shared" si="35"/>
        <v>764285.20615264156</v>
      </c>
      <c r="K248" s="16">
        <f t="shared" si="33"/>
        <v>0.75684541571615183</v>
      </c>
    </row>
    <row r="249" spans="1:11" x14ac:dyDescent="0.15">
      <c r="A249" s="7">
        <v>39235.553912037038</v>
      </c>
      <c r="B249">
        <v>46.9</v>
      </c>
      <c r="C249" s="6">
        <f t="shared" si="27"/>
        <v>458.0000001937151</v>
      </c>
      <c r="D249" t="str">
        <f t="shared" si="28"/>
        <v/>
      </c>
      <c r="E249">
        <f t="shared" si="30"/>
        <v>39235.553912037038</v>
      </c>
      <c r="F249" s="4">
        <f t="shared" si="29"/>
        <v>9.2999999999999972</v>
      </c>
      <c r="G249" s="4">
        <f t="shared" si="31"/>
        <v>4.6499999999999986</v>
      </c>
      <c r="H249" s="5">
        <f t="shared" si="32"/>
        <v>9.3999992427416128</v>
      </c>
      <c r="I249" s="14">
        <f t="shared" si="34"/>
        <v>1715.6285556629741</v>
      </c>
      <c r="J249" s="19">
        <f t="shared" si="35"/>
        <v>766000.83470830449</v>
      </c>
      <c r="K249" s="16">
        <f t="shared" si="33"/>
        <v>0.75854434380866531</v>
      </c>
    </row>
    <row r="250" spans="1:11" x14ac:dyDescent="0.15">
      <c r="A250" s="7">
        <v>39235.553935185184</v>
      </c>
      <c r="B250">
        <v>46.8</v>
      </c>
      <c r="C250" s="6">
        <f t="shared" si="27"/>
        <v>460.00000003259629</v>
      </c>
      <c r="D250" t="str">
        <f t="shared" si="28"/>
        <v/>
      </c>
      <c r="E250">
        <f t="shared" si="30"/>
        <v>39235.553935185184</v>
      </c>
      <c r="F250" s="4">
        <f t="shared" si="29"/>
        <v>9.1999999999999957</v>
      </c>
      <c r="G250" s="4">
        <f t="shared" si="31"/>
        <v>4.5999999999999979</v>
      </c>
      <c r="H250" s="5">
        <f t="shared" si="32"/>
        <v>9.2499992548255214</v>
      </c>
      <c r="I250" s="14">
        <f t="shared" si="34"/>
        <v>1688.2515042428199</v>
      </c>
      <c r="J250" s="19">
        <f t="shared" si="35"/>
        <v>767689.08621254726</v>
      </c>
      <c r="K250" s="16">
        <f t="shared" si="33"/>
        <v>0.76021616134651104</v>
      </c>
    </row>
    <row r="251" spans="1:11" x14ac:dyDescent="0.15">
      <c r="A251" s="7">
        <v>39235.55395833333</v>
      </c>
      <c r="B251">
        <v>46.8</v>
      </c>
      <c r="C251" s="6">
        <f t="shared" si="27"/>
        <v>461.99999987147748</v>
      </c>
      <c r="D251" t="str">
        <f t="shared" si="28"/>
        <v/>
      </c>
      <c r="E251">
        <f t="shared" si="30"/>
        <v>39235.55395833333</v>
      </c>
      <c r="F251" s="4">
        <f t="shared" si="29"/>
        <v>9.1999999999999957</v>
      </c>
      <c r="G251" s="4">
        <f t="shared" si="31"/>
        <v>4.5999999999999979</v>
      </c>
      <c r="H251" s="5">
        <f t="shared" si="32"/>
        <v>9.1999992588534916</v>
      </c>
      <c r="I251" s="14">
        <f t="shared" si="34"/>
        <v>1679.125820436102</v>
      </c>
      <c r="J251" s="19">
        <f t="shared" si="35"/>
        <v>769368.21203298331</v>
      </c>
      <c r="K251" s="16">
        <f t="shared" si="33"/>
        <v>0.76187894203280093</v>
      </c>
    </row>
    <row r="252" spans="1:11" x14ac:dyDescent="0.15">
      <c r="A252" s="7">
        <v>39235.553981481484</v>
      </c>
      <c r="B252">
        <v>46.5</v>
      </c>
      <c r="C252" s="6">
        <f t="shared" si="27"/>
        <v>464.00000033900142</v>
      </c>
      <c r="D252" t="str">
        <f t="shared" si="28"/>
        <v/>
      </c>
      <c r="E252">
        <f t="shared" si="30"/>
        <v>39235.553981481484</v>
      </c>
      <c r="F252" s="4">
        <f t="shared" si="29"/>
        <v>8.8999999999999986</v>
      </c>
      <c r="G252" s="4">
        <f t="shared" si="31"/>
        <v>4.4499999999999993</v>
      </c>
      <c r="H252" s="5">
        <f t="shared" si="32"/>
        <v>9.0500021155457908</v>
      </c>
      <c r="I252" s="14">
        <f t="shared" si="34"/>
        <v>1651.7492881959242</v>
      </c>
      <c r="J252" s="19">
        <f t="shared" si="35"/>
        <v>771019.96132117929</v>
      </c>
      <c r="K252" s="16">
        <f t="shared" si="33"/>
        <v>0.76351461267854914</v>
      </c>
    </row>
    <row r="253" spans="1:11" x14ac:dyDescent="0.15">
      <c r="A253" s="7">
        <v>39235.55400462963</v>
      </c>
      <c r="B253">
        <v>46.5</v>
      </c>
      <c r="C253" s="6">
        <f t="shared" si="27"/>
        <v>466.00000017788261</v>
      </c>
      <c r="D253" t="str">
        <f t="shared" si="28"/>
        <v/>
      </c>
      <c r="E253">
        <f t="shared" si="30"/>
        <v>39235.55400462963</v>
      </c>
      <c r="F253" s="4">
        <f t="shared" si="29"/>
        <v>8.8999999999999986</v>
      </c>
      <c r="G253" s="4">
        <f t="shared" si="31"/>
        <v>4.4499999999999993</v>
      </c>
      <c r="H253" s="5">
        <f t="shared" si="32"/>
        <v>8.8999992830213142</v>
      </c>
      <c r="I253" s="14">
        <f t="shared" si="34"/>
        <v>1624.3717175957945</v>
      </c>
      <c r="J253" s="19">
        <f t="shared" si="35"/>
        <v>772644.33303877513</v>
      </c>
      <c r="K253" s="16">
        <f t="shared" si="33"/>
        <v>0.76512317225550353</v>
      </c>
    </row>
    <row r="254" spans="1:11" x14ac:dyDescent="0.15">
      <c r="A254" s="7">
        <v>39235.554027777776</v>
      </c>
      <c r="B254">
        <v>46.7</v>
      </c>
      <c r="C254" s="6">
        <f t="shared" si="27"/>
        <v>468.00000001676381</v>
      </c>
      <c r="D254" t="str">
        <f t="shared" si="28"/>
        <v/>
      </c>
      <c r="E254">
        <f t="shared" si="30"/>
        <v>39235.554027777776</v>
      </c>
      <c r="F254" s="4">
        <f t="shared" si="29"/>
        <v>9.1000000000000014</v>
      </c>
      <c r="G254" s="4">
        <f t="shared" si="31"/>
        <v>4.5500000000000007</v>
      </c>
      <c r="H254" s="5">
        <f t="shared" si="32"/>
        <v>8.9999992749653757</v>
      </c>
      <c r="I254" s="14">
        <f t="shared" si="34"/>
        <v>1642.6230852092308</v>
      </c>
      <c r="J254" s="19">
        <f t="shared" si="35"/>
        <v>774286.95612398442</v>
      </c>
      <c r="K254" s="16">
        <f t="shared" si="33"/>
        <v>0.76674980553556982</v>
      </c>
    </row>
    <row r="255" spans="1:11" x14ac:dyDescent="0.15">
      <c r="A255" s="7">
        <v>39235.554050925923</v>
      </c>
      <c r="B255">
        <v>46.3</v>
      </c>
      <c r="C255" s="6">
        <f t="shared" si="27"/>
        <v>469.999999855645</v>
      </c>
      <c r="D255" t="str">
        <f t="shared" si="28"/>
        <v/>
      </c>
      <c r="E255">
        <f t="shared" si="30"/>
        <v>39235.554050925923</v>
      </c>
      <c r="F255" s="4">
        <f t="shared" si="29"/>
        <v>8.6999999999999957</v>
      </c>
      <c r="G255" s="4">
        <f t="shared" si="31"/>
        <v>4.3499999999999979</v>
      </c>
      <c r="H255" s="5">
        <f t="shared" si="32"/>
        <v>8.8999992830213142</v>
      </c>
      <c r="I255" s="14">
        <f t="shared" si="34"/>
        <v>1624.3717175957945</v>
      </c>
      <c r="J255" s="19">
        <f t="shared" si="35"/>
        <v>775911.32784158026</v>
      </c>
      <c r="K255" s="16">
        <f t="shared" si="33"/>
        <v>0.7683583651125242</v>
      </c>
    </row>
    <row r="256" spans="1:11" x14ac:dyDescent="0.15">
      <c r="A256" s="7">
        <v>39235.554074074076</v>
      </c>
      <c r="B256">
        <v>46</v>
      </c>
      <c r="C256" s="6">
        <f t="shared" si="27"/>
        <v>472.00000032316893</v>
      </c>
      <c r="D256" t="str">
        <f t="shared" si="28"/>
        <v/>
      </c>
      <c r="E256">
        <f t="shared" si="30"/>
        <v>39235.554074074076</v>
      </c>
      <c r="F256" s="4">
        <f t="shared" si="29"/>
        <v>8.3999999999999986</v>
      </c>
      <c r="G256" s="4">
        <f t="shared" si="31"/>
        <v>4.1999999999999993</v>
      </c>
      <c r="H256" s="5">
        <f t="shared" si="32"/>
        <v>8.5500019986648077</v>
      </c>
      <c r="I256" s="14">
        <f t="shared" si="34"/>
        <v>1560.4924214447681</v>
      </c>
      <c r="J256" s="19">
        <f t="shared" si="35"/>
        <v>777471.820263025</v>
      </c>
      <c r="K256" s="16">
        <f t="shared" si="33"/>
        <v>0.76990366721430836</v>
      </c>
    </row>
    <row r="257" spans="1:11" x14ac:dyDescent="0.15">
      <c r="A257" s="7">
        <v>39235.554097222222</v>
      </c>
      <c r="B257">
        <v>46.1</v>
      </c>
      <c r="C257" s="6">
        <f t="shared" si="27"/>
        <v>474.00000016205013</v>
      </c>
      <c r="D257" t="str">
        <f t="shared" si="28"/>
        <v/>
      </c>
      <c r="E257">
        <f t="shared" si="30"/>
        <v>39235.554097222222</v>
      </c>
      <c r="F257" s="4">
        <f t="shared" si="29"/>
        <v>8.5</v>
      </c>
      <c r="G257" s="4">
        <f t="shared" si="31"/>
        <v>4.25</v>
      </c>
      <c r="H257" s="5">
        <f t="shared" si="32"/>
        <v>8.4499993192730471</v>
      </c>
      <c r="I257" s="14">
        <f t="shared" si="34"/>
        <v>1542.2405633353335</v>
      </c>
      <c r="J257" s="19">
        <f t="shared" si="35"/>
        <v>779014.06082636036</v>
      </c>
      <c r="K257" s="16">
        <f t="shared" si="33"/>
        <v>0.77143089512725938</v>
      </c>
    </row>
    <row r="258" spans="1:11" x14ac:dyDescent="0.15">
      <c r="A258" s="7">
        <v>39235.554120370369</v>
      </c>
      <c r="B258">
        <v>46.1</v>
      </c>
      <c r="C258" s="6">
        <f t="shared" si="27"/>
        <v>476.00000000093132</v>
      </c>
      <c r="D258" t="str">
        <f t="shared" si="28"/>
        <v/>
      </c>
      <c r="E258">
        <f t="shared" si="30"/>
        <v>39235.554120370369</v>
      </c>
      <c r="F258" s="4">
        <f t="shared" si="29"/>
        <v>8.5</v>
      </c>
      <c r="G258" s="4">
        <f t="shared" si="31"/>
        <v>4.25</v>
      </c>
      <c r="H258" s="5">
        <f t="shared" si="32"/>
        <v>8.499999315245077</v>
      </c>
      <c r="I258" s="14">
        <f t="shared" si="34"/>
        <v>1551.3662471420514</v>
      </c>
      <c r="J258" s="19">
        <f t="shared" si="35"/>
        <v>780565.42707350245</v>
      </c>
      <c r="K258" s="16">
        <f t="shared" si="33"/>
        <v>0.77296715989176634</v>
      </c>
    </row>
    <row r="259" spans="1:11" x14ac:dyDescent="0.15">
      <c r="A259" s="7">
        <v>39235.554143518515</v>
      </c>
      <c r="B259">
        <v>46.1</v>
      </c>
      <c r="C259" s="6">
        <f t="shared" si="27"/>
        <v>477.99999983981252</v>
      </c>
      <c r="D259" t="str">
        <f t="shared" si="28"/>
        <v/>
      </c>
      <c r="E259">
        <f t="shared" si="30"/>
        <v>39235.554143518515</v>
      </c>
      <c r="F259" s="4">
        <f t="shared" si="29"/>
        <v>8.5</v>
      </c>
      <c r="G259" s="4">
        <f t="shared" si="31"/>
        <v>4.25</v>
      </c>
      <c r="H259" s="5">
        <f t="shared" si="32"/>
        <v>8.499999315245077</v>
      </c>
      <c r="I259" s="14">
        <f t="shared" si="34"/>
        <v>1551.3662471420514</v>
      </c>
      <c r="J259" s="19">
        <f t="shared" si="35"/>
        <v>782116.79332064453</v>
      </c>
      <c r="K259" s="16">
        <f t="shared" si="33"/>
        <v>0.77450342465627331</v>
      </c>
    </row>
    <row r="260" spans="1:11" x14ac:dyDescent="0.15">
      <c r="A260" s="7">
        <v>39235.554166666669</v>
      </c>
      <c r="B260">
        <v>46</v>
      </c>
      <c r="C260" s="6">
        <f t="shared" si="27"/>
        <v>480.00000030733645</v>
      </c>
      <c r="D260" t="str">
        <f t="shared" si="28"/>
        <v/>
      </c>
      <c r="E260">
        <f t="shared" si="30"/>
        <v>39235.554166666669</v>
      </c>
      <c r="F260" s="4">
        <f t="shared" si="29"/>
        <v>8.3999999999999986</v>
      </c>
      <c r="G260" s="4">
        <f t="shared" si="31"/>
        <v>4.1999999999999993</v>
      </c>
      <c r="H260" s="5">
        <f t="shared" si="32"/>
        <v>8.4500019752886146</v>
      </c>
      <c r="I260" s="14">
        <f t="shared" si="34"/>
        <v>1542.2410480945375</v>
      </c>
      <c r="J260" s="19">
        <f t="shared" si="35"/>
        <v>783659.03436873911</v>
      </c>
      <c r="K260" s="16">
        <f t="shared" si="33"/>
        <v>0.77603065304926488</v>
      </c>
    </row>
    <row r="261" spans="1:11" x14ac:dyDescent="0.15">
      <c r="A261" s="7">
        <v>39235.554189814815</v>
      </c>
      <c r="B261">
        <v>45.8</v>
      </c>
      <c r="C261" s="6">
        <f t="shared" si="27"/>
        <v>482.00000014621764</v>
      </c>
      <c r="D261" t="str">
        <f t="shared" si="28"/>
        <v/>
      </c>
      <c r="E261">
        <f t="shared" si="30"/>
        <v>39235.554189814815</v>
      </c>
      <c r="F261" s="4">
        <f t="shared" si="29"/>
        <v>8.1999999999999957</v>
      </c>
      <c r="G261" s="4">
        <f t="shared" si="31"/>
        <v>4.0999999999999979</v>
      </c>
      <c r="H261" s="5">
        <f t="shared" si="32"/>
        <v>8.299999331356954</v>
      </c>
      <c r="I261" s="14">
        <f t="shared" si="34"/>
        <v>1514.8635119151788</v>
      </c>
      <c r="J261" s="19">
        <f t="shared" si="35"/>
        <v>785173.89788065432</v>
      </c>
      <c r="K261" s="16">
        <f t="shared" si="33"/>
        <v>0.77753077040754814</v>
      </c>
    </row>
    <row r="262" spans="1:11" x14ac:dyDescent="0.15">
      <c r="A262" s="7">
        <v>39235.554212962961</v>
      </c>
      <c r="B262">
        <v>45.4</v>
      </c>
      <c r="C262" s="6">
        <f t="shared" si="27"/>
        <v>483.99999998509884</v>
      </c>
      <c r="D262" t="str">
        <f t="shared" si="28"/>
        <v/>
      </c>
      <c r="E262">
        <f t="shared" si="30"/>
        <v>39235.554212962961</v>
      </c>
      <c r="F262" s="4">
        <f t="shared" si="29"/>
        <v>7.7999999999999972</v>
      </c>
      <c r="G262" s="4">
        <f t="shared" si="31"/>
        <v>3.8999999999999986</v>
      </c>
      <c r="H262" s="5">
        <f t="shared" si="32"/>
        <v>7.9999993555247748</v>
      </c>
      <c r="I262" s="14">
        <f t="shared" si="34"/>
        <v>1460.1094090748711</v>
      </c>
      <c r="J262" s="19">
        <f t="shared" si="35"/>
        <v>786634.0072897292</v>
      </c>
      <c r="K262" s="16">
        <f t="shared" si="33"/>
        <v>0.7789766666564959</v>
      </c>
    </row>
    <row r="263" spans="1:11" x14ac:dyDescent="0.15">
      <c r="A263" s="7">
        <v>39235.554236111115</v>
      </c>
      <c r="B263">
        <v>45.4</v>
      </c>
      <c r="C263" s="6">
        <f t="shared" si="27"/>
        <v>486.00000045262277</v>
      </c>
      <c r="D263" t="str">
        <f t="shared" si="28"/>
        <v/>
      </c>
      <c r="E263">
        <f t="shared" si="30"/>
        <v>39235.554236111115</v>
      </c>
      <c r="F263" s="4">
        <f t="shared" si="29"/>
        <v>7.7999999999999972</v>
      </c>
      <c r="G263" s="4">
        <f t="shared" si="31"/>
        <v>3.8999999999999986</v>
      </c>
      <c r="H263" s="5">
        <f t="shared" si="32"/>
        <v>7.8000018233433339</v>
      </c>
      <c r="I263" s="14">
        <f t="shared" si="34"/>
        <v>1423.6071213180342</v>
      </c>
      <c r="J263" s="19">
        <f t="shared" si="35"/>
        <v>788057.61441104719</v>
      </c>
      <c r="K263" s="16">
        <f t="shared" si="33"/>
        <v>0.78038641594233404</v>
      </c>
    </row>
    <row r="264" spans="1:11" x14ac:dyDescent="0.15">
      <c r="A264" s="7">
        <v>39235.554259259261</v>
      </c>
      <c r="B264">
        <v>45.4</v>
      </c>
      <c r="C264" s="6">
        <f t="shared" si="27"/>
        <v>488.00000029150397</v>
      </c>
      <c r="D264" t="str">
        <f t="shared" si="28"/>
        <v/>
      </c>
      <c r="E264">
        <f t="shared" si="30"/>
        <v>39235.554259259261</v>
      </c>
      <c r="F264" s="4">
        <f t="shared" si="29"/>
        <v>7.7999999999999972</v>
      </c>
      <c r="G264" s="4">
        <f t="shared" si="31"/>
        <v>3.8999999999999986</v>
      </c>
      <c r="H264" s="5">
        <f t="shared" si="32"/>
        <v>7.7999993716366562</v>
      </c>
      <c r="I264" s="14">
        <f t="shared" si="34"/>
        <v>1423.6066738479997</v>
      </c>
      <c r="J264" s="19">
        <f t="shared" si="35"/>
        <v>789481.22108489519</v>
      </c>
      <c r="K264" s="16">
        <f t="shared" si="33"/>
        <v>0.78179616478505809</v>
      </c>
    </row>
    <row r="265" spans="1:11" x14ac:dyDescent="0.15">
      <c r="A265" s="7">
        <v>39235.554282407407</v>
      </c>
      <c r="B265">
        <v>45</v>
      </c>
      <c r="C265" s="6">
        <f t="shared" si="27"/>
        <v>490.00000013038516</v>
      </c>
      <c r="D265" t="str">
        <f t="shared" si="28"/>
        <v/>
      </c>
      <c r="E265">
        <f t="shared" si="30"/>
        <v>39235.554282407407</v>
      </c>
      <c r="F265" s="4">
        <f t="shared" si="29"/>
        <v>7.3999999999999986</v>
      </c>
      <c r="G265" s="4">
        <f t="shared" si="31"/>
        <v>3.6999999999999993</v>
      </c>
      <c r="H265" s="5">
        <f t="shared" si="32"/>
        <v>7.5999993877485377</v>
      </c>
      <c r="I265" s="14">
        <f t="shared" si="34"/>
        <v>1387.103938621128</v>
      </c>
      <c r="J265" s="19">
        <f t="shared" si="35"/>
        <v>790868.32502351631</v>
      </c>
      <c r="K265" s="16">
        <f t="shared" si="33"/>
        <v>0.78316976622155843</v>
      </c>
    </row>
    <row r="266" spans="1:11" x14ac:dyDescent="0.15">
      <c r="A266" s="7">
        <v>39235.554305555554</v>
      </c>
      <c r="B266">
        <v>45</v>
      </c>
      <c r="C266" s="6">
        <f t="shared" si="27"/>
        <v>491.99999996926636</v>
      </c>
      <c r="D266" t="str">
        <f t="shared" si="28"/>
        <v/>
      </c>
      <c r="E266">
        <f t="shared" si="30"/>
        <v>39235.554305555554</v>
      </c>
      <c r="F266" s="4">
        <f t="shared" si="29"/>
        <v>7.3999999999999986</v>
      </c>
      <c r="G266" s="4">
        <f t="shared" si="31"/>
        <v>3.6999999999999993</v>
      </c>
      <c r="H266" s="5">
        <f t="shared" si="32"/>
        <v>7.3999994038604182</v>
      </c>
      <c r="I266" s="14">
        <f t="shared" si="34"/>
        <v>1350.6012033942561</v>
      </c>
      <c r="J266" s="19">
        <f t="shared" si="35"/>
        <v>792218.92622691055</v>
      </c>
      <c r="K266" s="16">
        <f t="shared" si="33"/>
        <v>0.78450722025183506</v>
      </c>
    </row>
    <row r="267" spans="1:11" x14ac:dyDescent="0.15">
      <c r="A267" s="7">
        <v>39235.554328703707</v>
      </c>
      <c r="B267">
        <v>45</v>
      </c>
      <c r="C267" s="6">
        <f t="shared" si="27"/>
        <v>494.00000043679029</v>
      </c>
      <c r="D267" t="str">
        <f t="shared" si="28"/>
        <v/>
      </c>
      <c r="E267">
        <f t="shared" si="30"/>
        <v>39235.554328703707</v>
      </c>
      <c r="F267" s="4">
        <f t="shared" si="29"/>
        <v>7.3999999999999986</v>
      </c>
      <c r="G267" s="4">
        <f t="shared" si="31"/>
        <v>3.6999999999999993</v>
      </c>
      <c r="H267" s="5">
        <f t="shared" si="32"/>
        <v>7.4000017298385483</v>
      </c>
      <c r="I267" s="14">
        <f t="shared" si="34"/>
        <v>1350.6016279171095</v>
      </c>
      <c r="J267" s="19">
        <f t="shared" si="35"/>
        <v>793569.5278548277</v>
      </c>
      <c r="K267" s="16">
        <f t="shared" si="33"/>
        <v>0.78584467470250208</v>
      </c>
    </row>
    <row r="268" spans="1:11" x14ac:dyDescent="0.15">
      <c r="A268" s="7">
        <v>39235.554351851853</v>
      </c>
      <c r="B268">
        <v>44.5</v>
      </c>
      <c r="C268" s="6">
        <f t="shared" si="27"/>
        <v>496.00000027567148</v>
      </c>
      <c r="D268" t="str">
        <f t="shared" si="28"/>
        <v/>
      </c>
      <c r="E268">
        <f t="shared" si="30"/>
        <v>39235.554351851853</v>
      </c>
      <c r="F268" s="4">
        <f t="shared" si="29"/>
        <v>6.8999999999999986</v>
      </c>
      <c r="G268" s="4">
        <f t="shared" si="31"/>
        <v>3.4499999999999993</v>
      </c>
      <c r="H268" s="5">
        <f t="shared" si="32"/>
        <v>7.1499994240002689</v>
      </c>
      <c r="I268" s="14">
        <f t="shared" si="34"/>
        <v>1304.9727843606663</v>
      </c>
      <c r="J268" s="19">
        <f t="shared" si="35"/>
        <v>794874.50063918834</v>
      </c>
      <c r="K268" s="16">
        <f t="shared" si="33"/>
        <v>0.78713694447499905</v>
      </c>
    </row>
    <row r="269" spans="1:11" x14ac:dyDescent="0.15">
      <c r="A269" s="7">
        <v>39235.554375</v>
      </c>
      <c r="B269">
        <v>44.3</v>
      </c>
      <c r="C269" s="6">
        <f t="shared" si="27"/>
        <v>498.00000011455268</v>
      </c>
      <c r="D269" t="str">
        <f t="shared" si="28"/>
        <v/>
      </c>
      <c r="E269">
        <f t="shared" si="30"/>
        <v>39235.554375</v>
      </c>
      <c r="F269" s="4">
        <f t="shared" si="29"/>
        <v>6.6999999999999957</v>
      </c>
      <c r="G269" s="4">
        <f t="shared" si="31"/>
        <v>3.3499999999999979</v>
      </c>
      <c r="H269" s="5">
        <f t="shared" si="32"/>
        <v>6.7999994521960589</v>
      </c>
      <c r="I269" s="14">
        <f t="shared" si="34"/>
        <v>1241.0929977136407</v>
      </c>
      <c r="J269" s="19">
        <f t="shared" si="35"/>
        <v>796115.59363690193</v>
      </c>
      <c r="K269" s="16">
        <f t="shared" si="33"/>
        <v>0.78836595628660466</v>
      </c>
    </row>
    <row r="270" spans="1:11" x14ac:dyDescent="0.15">
      <c r="A270" s="7">
        <v>39235.554398148146</v>
      </c>
      <c r="B270">
        <v>44.3</v>
      </c>
      <c r="C270" s="6">
        <f t="shared" si="27"/>
        <v>499.99999995343387</v>
      </c>
      <c r="D270" t="str">
        <f t="shared" si="28"/>
        <v/>
      </c>
      <c r="E270">
        <f t="shared" si="30"/>
        <v>39235.554398148146</v>
      </c>
      <c r="F270" s="4">
        <f t="shared" si="29"/>
        <v>6.6999999999999957</v>
      </c>
      <c r="G270" s="4">
        <f t="shared" si="31"/>
        <v>3.3499999999999979</v>
      </c>
      <c r="H270" s="5">
        <f t="shared" si="32"/>
        <v>6.6999994602519974</v>
      </c>
      <c r="I270" s="14">
        <f t="shared" si="34"/>
        <v>1222.8416301002044</v>
      </c>
      <c r="J270" s="19">
        <f t="shared" si="35"/>
        <v>797338.43526700209</v>
      </c>
      <c r="K270" s="16">
        <f t="shared" si="33"/>
        <v>0.78957689439509826</v>
      </c>
    </row>
    <row r="271" spans="1:11" x14ac:dyDescent="0.15">
      <c r="A271" s="7">
        <v>39235.5544212963</v>
      </c>
      <c r="B271">
        <v>44.1</v>
      </c>
      <c r="C271" s="6">
        <f t="shared" si="27"/>
        <v>502.0000004209578</v>
      </c>
      <c r="D271" t="str">
        <f t="shared" si="28"/>
        <v/>
      </c>
      <c r="E271">
        <f t="shared" si="30"/>
        <v>39235.5544212963</v>
      </c>
      <c r="F271" s="4">
        <f t="shared" si="29"/>
        <v>6.5</v>
      </c>
      <c r="G271" s="4">
        <f t="shared" si="31"/>
        <v>3.25</v>
      </c>
      <c r="H271" s="5">
        <f t="shared" si="32"/>
        <v>6.6000015428289753</v>
      </c>
      <c r="I271" s="14">
        <f t="shared" si="34"/>
        <v>1204.5906411152598</v>
      </c>
      <c r="J271" s="19">
        <f t="shared" si="35"/>
        <v>798543.0259081173</v>
      </c>
      <c r="K271" s="16">
        <f t="shared" si="33"/>
        <v>0.79076975917542291</v>
      </c>
    </row>
    <row r="272" spans="1:11" x14ac:dyDescent="0.15">
      <c r="A272" s="7">
        <v>39235.554444444446</v>
      </c>
      <c r="B272">
        <v>44</v>
      </c>
      <c r="C272" s="6">
        <f t="shared" si="27"/>
        <v>504.000000259839</v>
      </c>
      <c r="D272" t="str">
        <f t="shared" si="28"/>
        <v/>
      </c>
      <c r="E272">
        <f t="shared" si="30"/>
        <v>39235.554444444446</v>
      </c>
      <c r="F272" s="4">
        <f t="shared" si="29"/>
        <v>6.3999999999999986</v>
      </c>
      <c r="G272" s="4">
        <f t="shared" si="31"/>
        <v>3.1999999999999993</v>
      </c>
      <c r="H272" s="5">
        <f t="shared" si="32"/>
        <v>6.4499994803918517</v>
      </c>
      <c r="I272" s="14">
        <f t="shared" si="34"/>
        <v>1177.2132110666153</v>
      </c>
      <c r="J272" s="19">
        <f t="shared" si="35"/>
        <v>799720.23911918397</v>
      </c>
      <c r="K272" s="16">
        <f t="shared" si="33"/>
        <v>0.79193551302613707</v>
      </c>
    </row>
    <row r="273" spans="1:11" x14ac:dyDescent="0.15">
      <c r="A273" s="7">
        <v>39235.554467592592</v>
      </c>
      <c r="B273">
        <v>44</v>
      </c>
      <c r="C273" s="6">
        <f t="shared" si="27"/>
        <v>506.00000009872019</v>
      </c>
      <c r="D273" t="str">
        <f t="shared" si="28"/>
        <v/>
      </c>
      <c r="E273">
        <f t="shared" si="30"/>
        <v>39235.554467592592</v>
      </c>
      <c r="F273" s="4">
        <f t="shared" si="29"/>
        <v>6.3999999999999986</v>
      </c>
      <c r="G273" s="4">
        <f t="shared" si="31"/>
        <v>3.1999999999999993</v>
      </c>
      <c r="H273" s="5">
        <f t="shared" si="32"/>
        <v>6.3999994844198209</v>
      </c>
      <c r="I273" s="14">
        <f t="shared" si="34"/>
        <v>1168.0875272598971</v>
      </c>
      <c r="J273" s="19">
        <f t="shared" si="35"/>
        <v>800888.32664644392</v>
      </c>
      <c r="K273" s="16">
        <f t="shared" si="33"/>
        <v>0.79309223002529528</v>
      </c>
    </row>
    <row r="274" spans="1:11" x14ac:dyDescent="0.15">
      <c r="A274" s="7">
        <v>39235.554490740738</v>
      </c>
      <c r="B274">
        <v>43.5</v>
      </c>
      <c r="C274" s="6">
        <f t="shared" si="27"/>
        <v>507.99999993760139</v>
      </c>
      <c r="D274" t="str">
        <f t="shared" si="28"/>
        <v/>
      </c>
      <c r="E274">
        <f t="shared" si="30"/>
        <v>39235.554490740738</v>
      </c>
      <c r="F274" s="4">
        <f t="shared" si="29"/>
        <v>5.8999999999999986</v>
      </c>
      <c r="G274" s="4">
        <f t="shared" si="31"/>
        <v>2.9499999999999993</v>
      </c>
      <c r="H274" s="5">
        <f t="shared" si="32"/>
        <v>6.1499995045596716</v>
      </c>
      <c r="I274" s="14">
        <f t="shared" si="34"/>
        <v>1122.4591082263073</v>
      </c>
      <c r="J274" s="19">
        <f t="shared" si="35"/>
        <v>802010.78575467027</v>
      </c>
      <c r="K274" s="16">
        <f t="shared" si="33"/>
        <v>0.79420376276667382</v>
      </c>
    </row>
    <row r="275" spans="1:11" x14ac:dyDescent="0.15">
      <c r="A275" s="7">
        <v>39235.554513888892</v>
      </c>
      <c r="B275">
        <v>43.6</v>
      </c>
      <c r="C275" s="6">
        <f t="shared" si="27"/>
        <v>510.00000040512532</v>
      </c>
      <c r="D275" t="str">
        <f t="shared" si="28"/>
        <v/>
      </c>
      <c r="E275">
        <f t="shared" si="30"/>
        <v>39235.554513888892</v>
      </c>
      <c r="F275" s="4">
        <f t="shared" si="29"/>
        <v>6</v>
      </c>
      <c r="G275" s="4">
        <f t="shared" si="31"/>
        <v>3</v>
      </c>
      <c r="H275" s="5">
        <f t="shared" si="32"/>
        <v>5.9500013908836982</v>
      </c>
      <c r="I275" s="14">
        <f t="shared" si="34"/>
        <v>1085.9567143387571</v>
      </c>
      <c r="J275" s="19">
        <f t="shared" si="35"/>
        <v>803096.74246900901</v>
      </c>
      <c r="K275" s="16">
        <f t="shared" si="33"/>
        <v>0.79527914843984537</v>
      </c>
    </row>
    <row r="276" spans="1:11" x14ac:dyDescent="0.15">
      <c r="A276" s="7">
        <v>39235.554537037038</v>
      </c>
      <c r="B276">
        <v>43.4</v>
      </c>
      <c r="C276" s="6">
        <f t="shared" ref="C276:C295" si="36">(A276-$B$4)*24*60*60</f>
        <v>512.00000024400651</v>
      </c>
      <c r="D276" t="str">
        <f t="shared" ref="D276:D295" si="37">IF(F276=$B$8,A276,"")</f>
        <v/>
      </c>
      <c r="E276">
        <f t="shared" si="30"/>
        <v>39235.554537037038</v>
      </c>
      <c r="F276" s="4">
        <f t="shared" ref="F276:F295" si="38">IF((B276-$B$6)&gt;0,B276-$B$6,0)</f>
        <v>5.7999999999999972</v>
      </c>
      <c r="G276" s="4">
        <f t="shared" si="31"/>
        <v>2.8999999999999986</v>
      </c>
      <c r="H276" s="5">
        <f t="shared" si="32"/>
        <v>5.8999995246995223</v>
      </c>
      <c r="I276" s="14">
        <f t="shared" si="34"/>
        <v>1076.8306891927177</v>
      </c>
      <c r="J276" s="19">
        <f t="shared" si="35"/>
        <v>804173.57315820176</v>
      </c>
      <c r="K276" s="16">
        <f t="shared" si="33"/>
        <v>0.79634549692344425</v>
      </c>
    </row>
    <row r="277" spans="1:11" x14ac:dyDescent="0.15">
      <c r="A277" s="7">
        <v>39235.554560185185</v>
      </c>
      <c r="B277">
        <v>43</v>
      </c>
      <c r="C277" s="6">
        <f t="shared" si="36"/>
        <v>514.00000008288771</v>
      </c>
      <c r="D277" t="str">
        <f t="shared" si="37"/>
        <v/>
      </c>
      <c r="E277">
        <f t="shared" ref="E277:E340" si="39">IF(B277-$B$6&gt;0,A277," ")</f>
        <v>39235.554560185185</v>
      </c>
      <c r="F277" s="4">
        <f t="shared" si="38"/>
        <v>5.3999999999999986</v>
      </c>
      <c r="G277" s="4">
        <f t="shared" ref="G277:G295" si="40">F277/2</f>
        <v>2.6999999999999993</v>
      </c>
      <c r="H277" s="5">
        <f t="shared" ref="H277:H295" si="41">AVERAGE(G276:G277)*(C277-C276)</f>
        <v>5.5999995488673431</v>
      </c>
      <c r="I277" s="14">
        <f t="shared" si="34"/>
        <v>1022.07658635241</v>
      </c>
      <c r="J277" s="19">
        <f t="shared" si="35"/>
        <v>805195.64974455419</v>
      </c>
      <c r="K277" s="16">
        <f t="shared" ref="K277:K295" si="42">J277/($B$12*1000)</f>
        <v>0.79735762429770773</v>
      </c>
    </row>
    <row r="278" spans="1:11" x14ac:dyDescent="0.15">
      <c r="A278" s="7">
        <v>39235.554583333331</v>
      </c>
      <c r="B278">
        <v>43</v>
      </c>
      <c r="C278" s="6">
        <f t="shared" si="36"/>
        <v>515.9999999217689</v>
      </c>
      <c r="D278" t="str">
        <f t="shared" si="37"/>
        <v/>
      </c>
      <c r="E278">
        <f t="shared" si="39"/>
        <v>39235.554583333331</v>
      </c>
      <c r="F278" s="4">
        <f t="shared" si="38"/>
        <v>5.3999999999999986</v>
      </c>
      <c r="G278" s="4">
        <f t="shared" si="40"/>
        <v>2.6999999999999993</v>
      </c>
      <c r="H278" s="5">
        <f t="shared" si="41"/>
        <v>5.3999995649792236</v>
      </c>
      <c r="I278" s="14">
        <f t="shared" ref="I278:I295" si="43">H278*$B$14</f>
        <v>985.57385112553823</v>
      </c>
      <c r="J278" s="19">
        <f t="shared" ref="J278:J295" si="44">J277+I278</f>
        <v>806181.22359567974</v>
      </c>
      <c r="K278" s="16">
        <f t="shared" si="42"/>
        <v>0.7983336042657474</v>
      </c>
    </row>
    <row r="279" spans="1:11" x14ac:dyDescent="0.15">
      <c r="A279" s="7">
        <v>39235.554606481484</v>
      </c>
      <c r="B279">
        <v>43</v>
      </c>
      <c r="C279" s="6">
        <f t="shared" si="36"/>
        <v>518.00000038929284</v>
      </c>
      <c r="D279" t="str">
        <f t="shared" si="37"/>
        <v/>
      </c>
      <c r="E279">
        <f t="shared" si="39"/>
        <v>39235.554606481484</v>
      </c>
      <c r="F279" s="4">
        <f t="shared" si="38"/>
        <v>5.3999999999999986</v>
      </c>
      <c r="G279" s="4">
        <f t="shared" si="40"/>
        <v>2.6999999999999993</v>
      </c>
      <c r="H279" s="5">
        <f t="shared" si="41"/>
        <v>5.4000012623146159</v>
      </c>
      <c r="I279" s="14">
        <f t="shared" si="43"/>
        <v>985.57416091248524</v>
      </c>
      <c r="J279" s="19">
        <f t="shared" si="44"/>
        <v>807166.79775659228</v>
      </c>
      <c r="K279" s="16">
        <f t="shared" si="42"/>
        <v>0.79930958454055856</v>
      </c>
    </row>
    <row r="280" spans="1:11" x14ac:dyDescent="0.15">
      <c r="A280" s="7">
        <v>39235.554629629631</v>
      </c>
      <c r="B280">
        <v>43</v>
      </c>
      <c r="C280" s="6">
        <f t="shared" si="36"/>
        <v>520.00000022817403</v>
      </c>
      <c r="D280" t="str">
        <f t="shared" si="37"/>
        <v/>
      </c>
      <c r="E280">
        <f t="shared" si="39"/>
        <v>39235.554629629631</v>
      </c>
      <c r="F280" s="4">
        <f t="shared" si="38"/>
        <v>5.3999999999999986</v>
      </c>
      <c r="G280" s="4">
        <f t="shared" si="40"/>
        <v>2.6999999999999993</v>
      </c>
      <c r="H280" s="5">
        <f t="shared" si="41"/>
        <v>5.3999995649792236</v>
      </c>
      <c r="I280" s="14">
        <f t="shared" si="43"/>
        <v>985.57385112553823</v>
      </c>
      <c r="J280" s="19">
        <f t="shared" si="44"/>
        <v>808152.37160771783</v>
      </c>
      <c r="K280" s="16">
        <f t="shared" si="42"/>
        <v>0.80028556450859833</v>
      </c>
    </row>
    <row r="281" spans="1:11" x14ac:dyDescent="0.15">
      <c r="A281" s="7">
        <v>39235.554652777777</v>
      </c>
      <c r="B281">
        <v>42.8</v>
      </c>
      <c r="C281" s="6">
        <f t="shared" si="36"/>
        <v>522.00000006705523</v>
      </c>
      <c r="D281" t="str">
        <f t="shared" si="37"/>
        <v/>
      </c>
      <c r="E281">
        <f t="shared" si="39"/>
        <v>39235.554652777777</v>
      </c>
      <c r="F281" s="4">
        <f t="shared" si="38"/>
        <v>5.1999999999999957</v>
      </c>
      <c r="G281" s="4">
        <f t="shared" si="40"/>
        <v>2.5999999999999979</v>
      </c>
      <c r="H281" s="5">
        <f t="shared" si="41"/>
        <v>5.299999573035163</v>
      </c>
      <c r="I281" s="14">
        <f t="shared" si="43"/>
        <v>967.32248351210217</v>
      </c>
      <c r="J281" s="19">
        <f t="shared" si="44"/>
        <v>809119.69409122993</v>
      </c>
      <c r="K281" s="16">
        <f t="shared" si="42"/>
        <v>0.8012434707735262</v>
      </c>
    </row>
    <row r="282" spans="1:11" x14ac:dyDescent="0.15">
      <c r="A282" s="7">
        <v>39235.554675925923</v>
      </c>
      <c r="B282">
        <v>42.7</v>
      </c>
      <c r="C282" s="6">
        <f t="shared" si="36"/>
        <v>523.99999990593642</v>
      </c>
      <c r="D282" t="str">
        <f t="shared" si="37"/>
        <v/>
      </c>
      <c r="E282">
        <f t="shared" si="39"/>
        <v>39235.554675925923</v>
      </c>
      <c r="F282" s="4">
        <f t="shared" si="38"/>
        <v>5.1000000000000014</v>
      </c>
      <c r="G282" s="4">
        <f t="shared" si="40"/>
        <v>2.5500000000000007</v>
      </c>
      <c r="H282" s="5">
        <f t="shared" si="41"/>
        <v>5.1499995851190743</v>
      </c>
      <c r="I282" s="14">
        <f t="shared" si="43"/>
        <v>939.94543209194842</v>
      </c>
      <c r="J282" s="19">
        <f t="shared" si="44"/>
        <v>810059.63952332188</v>
      </c>
      <c r="K282" s="16">
        <f t="shared" si="42"/>
        <v>0.80217426648378631</v>
      </c>
    </row>
    <row r="283" spans="1:11" x14ac:dyDescent="0.15">
      <c r="A283" s="7">
        <v>39235.554699074077</v>
      </c>
      <c r="B283">
        <v>42.7</v>
      </c>
      <c r="C283" s="6">
        <f t="shared" si="36"/>
        <v>526.00000037346035</v>
      </c>
      <c r="D283" t="str">
        <f t="shared" si="37"/>
        <v/>
      </c>
      <c r="E283">
        <f t="shared" si="39"/>
        <v>39235.554699074077</v>
      </c>
      <c r="F283" s="4">
        <f t="shared" si="38"/>
        <v>5.1000000000000014</v>
      </c>
      <c r="G283" s="4">
        <f t="shared" si="40"/>
        <v>2.5500000000000007</v>
      </c>
      <c r="H283" s="5">
        <f t="shared" si="41"/>
        <v>5.1000011921860295</v>
      </c>
      <c r="I283" s="14">
        <f t="shared" si="43"/>
        <v>930.82004086179222</v>
      </c>
      <c r="J283" s="19">
        <f t="shared" si="44"/>
        <v>810990.45956418372</v>
      </c>
      <c r="K283" s="16">
        <f t="shared" si="42"/>
        <v>0.80309602563221905</v>
      </c>
    </row>
    <row r="284" spans="1:11" x14ac:dyDescent="0.15">
      <c r="A284" s="7">
        <v>39235.554722222223</v>
      </c>
      <c r="B284">
        <v>42.6</v>
      </c>
      <c r="C284" s="6">
        <f t="shared" si="36"/>
        <v>528.00000021234155</v>
      </c>
      <c r="D284" t="str">
        <f t="shared" si="37"/>
        <v/>
      </c>
      <c r="E284">
        <f t="shared" si="39"/>
        <v>39235.554722222223</v>
      </c>
      <c r="F284" s="4">
        <f t="shared" si="38"/>
        <v>5</v>
      </c>
      <c r="G284" s="4">
        <f t="shared" si="40"/>
        <v>2.5</v>
      </c>
      <c r="H284" s="5">
        <f t="shared" si="41"/>
        <v>5.0499995931750172</v>
      </c>
      <c r="I284" s="14">
        <f t="shared" si="43"/>
        <v>921.69406447851304</v>
      </c>
      <c r="J284" s="19">
        <f t="shared" si="44"/>
        <v>811912.15362866223</v>
      </c>
      <c r="K284" s="16">
        <f t="shared" si="42"/>
        <v>0.80400874763936725</v>
      </c>
    </row>
    <row r="285" spans="1:11" x14ac:dyDescent="0.15">
      <c r="A285" s="7">
        <v>39235.554745370369</v>
      </c>
      <c r="B285">
        <v>42.7</v>
      </c>
      <c r="C285" s="6">
        <f t="shared" si="36"/>
        <v>530.00000005122274</v>
      </c>
      <c r="D285" t="str">
        <f t="shared" si="37"/>
        <v/>
      </c>
      <c r="E285">
        <f t="shared" si="39"/>
        <v>39235.554745370369</v>
      </c>
      <c r="F285" s="4">
        <f t="shared" si="38"/>
        <v>5.1000000000000014</v>
      </c>
      <c r="G285" s="4">
        <f t="shared" si="40"/>
        <v>2.5500000000000007</v>
      </c>
      <c r="H285" s="5">
        <f t="shared" si="41"/>
        <v>5.0499995931750172</v>
      </c>
      <c r="I285" s="14">
        <f t="shared" si="43"/>
        <v>921.69406447851304</v>
      </c>
      <c r="J285" s="19">
        <f t="shared" si="44"/>
        <v>812833.84769314073</v>
      </c>
      <c r="K285" s="16">
        <f t="shared" si="42"/>
        <v>0.80492146964651545</v>
      </c>
    </row>
    <row r="286" spans="1:11" x14ac:dyDescent="0.15">
      <c r="A286" s="7">
        <v>39235.554768518516</v>
      </c>
      <c r="B286">
        <v>42.6</v>
      </c>
      <c r="C286" s="6">
        <f t="shared" si="36"/>
        <v>531.99999989010394</v>
      </c>
      <c r="D286" t="str">
        <f t="shared" si="37"/>
        <v/>
      </c>
      <c r="E286">
        <f t="shared" si="39"/>
        <v>39235.554768518516</v>
      </c>
      <c r="F286" s="4">
        <f t="shared" si="38"/>
        <v>5</v>
      </c>
      <c r="G286" s="4">
        <f t="shared" si="40"/>
        <v>2.5</v>
      </c>
      <c r="H286" s="5">
        <f t="shared" si="41"/>
        <v>5.0499995931750172</v>
      </c>
      <c r="I286" s="14">
        <f t="shared" si="43"/>
        <v>921.69406447851304</v>
      </c>
      <c r="J286" s="19">
        <f t="shared" si="44"/>
        <v>813755.54175761924</v>
      </c>
      <c r="K286" s="16">
        <f t="shared" si="42"/>
        <v>0.80583419165366377</v>
      </c>
    </row>
    <row r="287" spans="1:11" x14ac:dyDescent="0.15">
      <c r="A287" s="7">
        <v>39235.554791666669</v>
      </c>
      <c r="B287">
        <v>42.6</v>
      </c>
      <c r="C287" s="6">
        <f t="shared" si="36"/>
        <v>534.00000035762787</v>
      </c>
      <c r="D287" t="str">
        <f t="shared" si="37"/>
        <v/>
      </c>
      <c r="E287">
        <f t="shared" si="39"/>
        <v>39235.554791666669</v>
      </c>
      <c r="F287" s="4">
        <f t="shared" si="38"/>
        <v>5</v>
      </c>
      <c r="G287" s="4">
        <f t="shared" si="40"/>
        <v>2.5</v>
      </c>
      <c r="H287" s="5">
        <f t="shared" si="41"/>
        <v>5.0000011688098311</v>
      </c>
      <c r="I287" s="14">
        <f t="shared" si="43"/>
        <v>912.56866751156065</v>
      </c>
      <c r="J287" s="19">
        <f t="shared" si="44"/>
        <v>814668.11042513081</v>
      </c>
      <c r="K287" s="16">
        <f t="shared" si="42"/>
        <v>0.80673787709330369</v>
      </c>
    </row>
    <row r="288" spans="1:11" x14ac:dyDescent="0.15">
      <c r="A288" s="7">
        <v>39235.554814814815</v>
      </c>
      <c r="B288">
        <v>42.6</v>
      </c>
      <c r="C288" s="6">
        <f t="shared" si="36"/>
        <v>536.00000019650906</v>
      </c>
      <c r="D288" t="str">
        <f t="shared" si="37"/>
        <v/>
      </c>
      <c r="E288">
        <f t="shared" si="39"/>
        <v>39235.554814814815</v>
      </c>
      <c r="F288" s="4">
        <f t="shared" si="38"/>
        <v>5</v>
      </c>
      <c r="G288" s="4">
        <f t="shared" si="40"/>
        <v>2.5</v>
      </c>
      <c r="H288" s="5">
        <f t="shared" si="41"/>
        <v>4.9999995972029865</v>
      </c>
      <c r="I288" s="14">
        <f t="shared" si="43"/>
        <v>912.5683806717949</v>
      </c>
      <c r="J288" s="19">
        <f t="shared" si="44"/>
        <v>815580.6788058026</v>
      </c>
      <c r="K288" s="16">
        <f t="shared" si="42"/>
        <v>0.80764156224889594</v>
      </c>
    </row>
    <row r="289" spans="1:11" x14ac:dyDescent="0.15">
      <c r="A289" s="7">
        <v>39235.554837962962</v>
      </c>
      <c r="B289">
        <v>42.6</v>
      </c>
      <c r="C289" s="6">
        <f t="shared" si="36"/>
        <v>538.00000003539026</v>
      </c>
      <c r="D289" t="str">
        <f t="shared" si="37"/>
        <v/>
      </c>
      <c r="E289">
        <f t="shared" si="39"/>
        <v>39235.554837962962</v>
      </c>
      <c r="F289" s="4">
        <f t="shared" si="38"/>
        <v>5</v>
      </c>
      <c r="G289" s="4">
        <f t="shared" si="40"/>
        <v>2.5</v>
      </c>
      <c r="H289" s="5">
        <f t="shared" si="41"/>
        <v>4.9999995972029865</v>
      </c>
      <c r="I289" s="14">
        <f t="shared" si="43"/>
        <v>912.5683806717949</v>
      </c>
      <c r="J289" s="19">
        <f t="shared" si="44"/>
        <v>816493.24718647439</v>
      </c>
      <c r="K289" s="16">
        <f t="shared" si="42"/>
        <v>0.8085452474044883</v>
      </c>
    </row>
    <row r="290" spans="1:11" x14ac:dyDescent="0.15">
      <c r="A290" s="7">
        <v>39235.554861111108</v>
      </c>
      <c r="B290">
        <v>42.6</v>
      </c>
      <c r="C290" s="6">
        <f t="shared" si="36"/>
        <v>539.99999987427145</v>
      </c>
      <c r="D290" t="str">
        <f t="shared" si="37"/>
        <v/>
      </c>
      <c r="E290">
        <f t="shared" si="39"/>
        <v>39235.554861111108</v>
      </c>
      <c r="F290" s="4">
        <f t="shared" si="38"/>
        <v>5</v>
      </c>
      <c r="G290" s="4">
        <f t="shared" si="40"/>
        <v>2.5</v>
      </c>
      <c r="H290" s="5">
        <f t="shared" si="41"/>
        <v>4.9999995972029865</v>
      </c>
      <c r="I290" s="14">
        <f t="shared" si="43"/>
        <v>912.5683806717949</v>
      </c>
      <c r="J290" s="19">
        <f t="shared" si="44"/>
        <v>817405.81556714617</v>
      </c>
      <c r="K290" s="16">
        <f t="shared" si="42"/>
        <v>0.80944893256008055</v>
      </c>
    </row>
    <row r="291" spans="1:11" x14ac:dyDescent="0.15">
      <c r="A291" s="7">
        <v>39235.554884259262</v>
      </c>
      <c r="B291">
        <v>42.6</v>
      </c>
      <c r="C291" s="6">
        <f t="shared" si="36"/>
        <v>542.00000034179538</v>
      </c>
      <c r="D291" t="str">
        <f t="shared" si="37"/>
        <v/>
      </c>
      <c r="E291">
        <f t="shared" si="39"/>
        <v>39235.554884259262</v>
      </c>
      <c r="F291" s="4">
        <f t="shared" si="38"/>
        <v>5</v>
      </c>
      <c r="G291" s="4">
        <f t="shared" si="40"/>
        <v>2.5</v>
      </c>
      <c r="H291" s="5">
        <f t="shared" si="41"/>
        <v>5.0000011688098311</v>
      </c>
      <c r="I291" s="14">
        <f t="shared" si="43"/>
        <v>912.56866751156065</v>
      </c>
      <c r="J291" s="19">
        <f t="shared" si="44"/>
        <v>818318.38423465774</v>
      </c>
      <c r="K291" s="16">
        <f t="shared" si="42"/>
        <v>0.81035261799972047</v>
      </c>
    </row>
    <row r="292" spans="1:11" x14ac:dyDescent="0.15">
      <c r="A292" s="7">
        <v>39235.554907407408</v>
      </c>
      <c r="B292">
        <v>42.3</v>
      </c>
      <c r="C292" s="6">
        <f t="shared" si="36"/>
        <v>544.00000018067658</v>
      </c>
      <c r="D292" t="str">
        <f t="shared" si="37"/>
        <v/>
      </c>
      <c r="E292">
        <f t="shared" si="39"/>
        <v>39235.554907407408</v>
      </c>
      <c r="F292" s="4">
        <f t="shared" si="38"/>
        <v>4.6999999999999957</v>
      </c>
      <c r="G292" s="4">
        <f t="shared" si="40"/>
        <v>2.3499999999999979</v>
      </c>
      <c r="H292" s="5">
        <f t="shared" si="41"/>
        <v>4.8499996092868951</v>
      </c>
      <c r="I292" s="14">
        <f t="shared" si="43"/>
        <v>885.1913292516407</v>
      </c>
      <c r="J292" s="19">
        <f t="shared" si="44"/>
        <v>819203.57556390937</v>
      </c>
      <c r="K292" s="16">
        <f t="shared" si="42"/>
        <v>0.81122919260064508</v>
      </c>
    </row>
    <row r="293" spans="1:11" x14ac:dyDescent="0.15">
      <c r="A293" s="7">
        <v>39235.554930555554</v>
      </c>
      <c r="B293">
        <v>42.3</v>
      </c>
      <c r="C293" s="6">
        <f t="shared" si="36"/>
        <v>546.00000001955777</v>
      </c>
      <c r="D293" t="str">
        <f t="shared" si="37"/>
        <v/>
      </c>
      <c r="E293">
        <f t="shared" si="39"/>
        <v>39235.554930555554</v>
      </c>
      <c r="F293" s="4">
        <f t="shared" si="38"/>
        <v>4.6999999999999957</v>
      </c>
      <c r="G293" s="4">
        <f t="shared" si="40"/>
        <v>2.3499999999999979</v>
      </c>
      <c r="H293" s="5">
        <f t="shared" si="41"/>
        <v>4.6999996213708028</v>
      </c>
      <c r="I293" s="14">
        <f t="shared" si="43"/>
        <v>857.81427783148638</v>
      </c>
      <c r="J293" s="19">
        <f t="shared" si="44"/>
        <v>820061.38984174083</v>
      </c>
      <c r="K293" s="16">
        <f t="shared" si="42"/>
        <v>0.81207865664690182</v>
      </c>
    </row>
    <row r="294" spans="1:11" x14ac:dyDescent="0.15">
      <c r="A294" s="7">
        <v>39235.5549537037</v>
      </c>
      <c r="B294">
        <v>42.6</v>
      </c>
      <c r="C294" s="6">
        <f t="shared" si="36"/>
        <v>547.99999985843897</v>
      </c>
      <c r="D294" t="str">
        <f t="shared" si="37"/>
        <v/>
      </c>
      <c r="E294">
        <f t="shared" si="39"/>
        <v>39235.5549537037</v>
      </c>
      <c r="F294" s="4">
        <f t="shared" si="38"/>
        <v>5</v>
      </c>
      <c r="G294" s="4">
        <f t="shared" si="40"/>
        <v>2.5</v>
      </c>
      <c r="H294" s="5">
        <f t="shared" si="41"/>
        <v>4.8499996092868951</v>
      </c>
      <c r="I294" s="14">
        <f t="shared" si="43"/>
        <v>885.1913292516407</v>
      </c>
      <c r="J294" s="19">
        <f t="shared" si="44"/>
        <v>820946.58117099246</v>
      </c>
      <c r="K294" s="16">
        <f t="shared" si="42"/>
        <v>0.81295523124782632</v>
      </c>
    </row>
    <row r="295" spans="1:11" x14ac:dyDescent="0.15">
      <c r="A295" s="7">
        <v>39235.554976851854</v>
      </c>
      <c r="B295">
        <v>42.3</v>
      </c>
      <c r="C295" s="6">
        <f t="shared" si="36"/>
        <v>550.0000003259629</v>
      </c>
      <c r="D295" t="str">
        <f t="shared" si="37"/>
        <v/>
      </c>
      <c r="E295">
        <f t="shared" si="39"/>
        <v>39235.554976851854</v>
      </c>
      <c r="F295" s="4">
        <f t="shared" si="38"/>
        <v>4.6999999999999957</v>
      </c>
      <c r="G295" s="4">
        <f t="shared" si="40"/>
        <v>2.3499999999999979</v>
      </c>
      <c r="H295" s="5">
        <f t="shared" si="41"/>
        <v>4.8500011337455344</v>
      </c>
      <c r="I295" s="14">
        <f t="shared" si="43"/>
        <v>885.19160748621357</v>
      </c>
      <c r="J295" s="19">
        <f t="shared" si="44"/>
        <v>821831.77277847868</v>
      </c>
      <c r="K295" s="16">
        <f t="shared" si="42"/>
        <v>0.81383180612427708</v>
      </c>
    </row>
    <row r="296" spans="1:11" x14ac:dyDescent="0.15">
      <c r="A296" s="7">
        <v>39235.555</v>
      </c>
      <c r="B296">
        <v>42.6</v>
      </c>
      <c r="C296" s="6">
        <f t="shared" ref="C296:C359" si="45">(A296-$B$4)*24*60*60</f>
        <v>552.0000001648441</v>
      </c>
      <c r="D296" t="str">
        <f t="shared" ref="D296:D359" si="46">IF(F296=$B$8,A296,"")</f>
        <v/>
      </c>
      <c r="E296">
        <f t="shared" si="39"/>
        <v>39235.555</v>
      </c>
      <c r="F296" s="4">
        <f t="shared" ref="F296:F359" si="47">IF((B296-$B$6)&gt;0,B296-$B$6,0)</f>
        <v>5</v>
      </c>
      <c r="G296" s="4">
        <f t="shared" ref="G296:G359" si="48">F296/2</f>
        <v>2.5</v>
      </c>
      <c r="H296" s="5">
        <f t="shared" ref="H296:H359" si="49">AVERAGE(G295:G296)*(C296-C295)</f>
        <v>4.8499996092868951</v>
      </c>
      <c r="I296" s="14">
        <f t="shared" ref="I296:I359" si="50">H296*$B$14</f>
        <v>885.1913292516407</v>
      </c>
      <c r="J296" s="19">
        <f t="shared" ref="J296:J359" si="51">J295+I296</f>
        <v>822716.96410773031</v>
      </c>
      <c r="K296" s="16">
        <f t="shared" ref="K296:K359" si="52">J296/($B$12*1000)</f>
        <v>0.81470838072520158</v>
      </c>
    </row>
    <row r="297" spans="1:11" x14ac:dyDescent="0.15">
      <c r="A297" s="7">
        <v>39235.555023148147</v>
      </c>
      <c r="B297">
        <v>42.4</v>
      </c>
      <c r="C297" s="6">
        <f t="shared" si="45"/>
        <v>554.00000000372529</v>
      </c>
      <c r="D297" t="str">
        <f t="shared" si="46"/>
        <v/>
      </c>
      <c r="E297">
        <f t="shared" si="39"/>
        <v>39235.555023148147</v>
      </c>
      <c r="F297" s="4">
        <f t="shared" si="47"/>
        <v>4.7999999999999972</v>
      </c>
      <c r="G297" s="4">
        <f t="shared" si="48"/>
        <v>2.3999999999999986</v>
      </c>
      <c r="H297" s="5">
        <f t="shared" si="49"/>
        <v>4.899999605258925</v>
      </c>
      <c r="I297" s="14">
        <f t="shared" si="50"/>
        <v>894.31701305835873</v>
      </c>
      <c r="J297" s="19">
        <f t="shared" si="51"/>
        <v>823611.28112078866</v>
      </c>
      <c r="K297" s="16">
        <f t="shared" si="52"/>
        <v>0.81559399217768203</v>
      </c>
    </row>
    <row r="298" spans="1:11" x14ac:dyDescent="0.15">
      <c r="A298" s="7">
        <v>39235.555046296293</v>
      </c>
      <c r="B298">
        <v>42.3</v>
      </c>
      <c r="C298" s="6">
        <f t="shared" si="45"/>
        <v>555.99999984260648</v>
      </c>
      <c r="D298" t="str">
        <f t="shared" si="46"/>
        <v/>
      </c>
      <c r="E298">
        <f t="shared" si="39"/>
        <v>39235.555046296293</v>
      </c>
      <c r="F298" s="4">
        <f t="shared" si="47"/>
        <v>4.6999999999999957</v>
      </c>
      <c r="G298" s="4">
        <f t="shared" si="48"/>
        <v>2.3499999999999979</v>
      </c>
      <c r="H298" s="5">
        <f t="shared" si="49"/>
        <v>4.7499996173428336</v>
      </c>
      <c r="I298" s="14">
        <f t="shared" si="50"/>
        <v>866.93996163820452</v>
      </c>
      <c r="J298" s="19">
        <f t="shared" si="51"/>
        <v>824478.22108242684</v>
      </c>
      <c r="K298" s="16">
        <f t="shared" si="52"/>
        <v>0.81645249307549472</v>
      </c>
    </row>
    <row r="299" spans="1:11" x14ac:dyDescent="0.15">
      <c r="A299" s="7">
        <v>39235.555069444446</v>
      </c>
      <c r="B299">
        <v>42.1</v>
      </c>
      <c r="C299" s="6">
        <f t="shared" si="45"/>
        <v>558.00000031013042</v>
      </c>
      <c r="D299" t="str">
        <f t="shared" si="46"/>
        <v/>
      </c>
      <c r="E299">
        <f t="shared" si="39"/>
        <v>39235.555069444446</v>
      </c>
      <c r="F299" s="4">
        <f t="shared" si="47"/>
        <v>4.5</v>
      </c>
      <c r="G299" s="4">
        <f t="shared" si="48"/>
        <v>2.25</v>
      </c>
      <c r="H299" s="5">
        <f t="shared" si="49"/>
        <v>4.6000010753050429</v>
      </c>
      <c r="I299" s="14">
        <f t="shared" si="50"/>
        <v>839.56317411063549</v>
      </c>
      <c r="J299" s="19">
        <f t="shared" si="51"/>
        <v>825317.78425653744</v>
      </c>
      <c r="K299" s="16">
        <f t="shared" si="52"/>
        <v>0.81728388367996341</v>
      </c>
    </row>
    <row r="300" spans="1:11" x14ac:dyDescent="0.15">
      <c r="A300" s="7">
        <v>39235.555092592593</v>
      </c>
      <c r="B300">
        <v>42.4</v>
      </c>
      <c r="C300" s="6">
        <f t="shared" si="45"/>
        <v>560.00000014901161</v>
      </c>
      <c r="D300" t="str">
        <f t="shared" si="46"/>
        <v/>
      </c>
      <c r="E300">
        <f t="shared" si="39"/>
        <v>39235.555092592593</v>
      </c>
      <c r="F300" s="4">
        <f t="shared" si="47"/>
        <v>4.7999999999999972</v>
      </c>
      <c r="G300" s="4">
        <f t="shared" si="48"/>
        <v>2.3999999999999986</v>
      </c>
      <c r="H300" s="5">
        <f t="shared" si="49"/>
        <v>4.6499996253987756</v>
      </c>
      <c r="I300" s="14">
        <f t="shared" si="50"/>
        <v>848.68859402476892</v>
      </c>
      <c r="J300" s="19">
        <f t="shared" si="51"/>
        <v>826166.47285056219</v>
      </c>
      <c r="K300" s="16">
        <f t="shared" si="52"/>
        <v>0.8181243108746642</v>
      </c>
    </row>
    <row r="301" spans="1:11" x14ac:dyDescent="0.15">
      <c r="A301" s="7">
        <v>39235.555115740739</v>
      </c>
      <c r="B301">
        <v>42.1</v>
      </c>
      <c r="C301" s="6">
        <f t="shared" si="45"/>
        <v>561.99999998789281</v>
      </c>
      <c r="D301" t="str">
        <f t="shared" si="46"/>
        <v/>
      </c>
      <c r="E301">
        <f t="shared" si="39"/>
        <v>39235.555115740739</v>
      </c>
      <c r="F301" s="4">
        <f t="shared" si="47"/>
        <v>4.5</v>
      </c>
      <c r="G301" s="4">
        <f t="shared" si="48"/>
        <v>2.25</v>
      </c>
      <c r="H301" s="5">
        <f t="shared" si="49"/>
        <v>4.6499996253987756</v>
      </c>
      <c r="I301" s="14">
        <f t="shared" si="50"/>
        <v>848.68859402476892</v>
      </c>
      <c r="J301" s="19">
        <f t="shared" si="51"/>
        <v>827015.16144458693</v>
      </c>
      <c r="K301" s="16">
        <f t="shared" si="52"/>
        <v>0.81896473806936509</v>
      </c>
    </row>
    <row r="302" spans="1:11" x14ac:dyDescent="0.15">
      <c r="A302" s="7">
        <v>39235.555138888885</v>
      </c>
      <c r="B302">
        <v>42.1</v>
      </c>
      <c r="C302" s="6">
        <f t="shared" si="45"/>
        <v>563.999999826774</v>
      </c>
      <c r="D302" t="str">
        <f t="shared" si="46"/>
        <v/>
      </c>
      <c r="E302">
        <f t="shared" si="39"/>
        <v>39235.555138888885</v>
      </c>
      <c r="F302" s="4">
        <f t="shared" si="47"/>
        <v>4.5</v>
      </c>
      <c r="G302" s="4">
        <f t="shared" si="48"/>
        <v>2.25</v>
      </c>
      <c r="H302" s="5">
        <f t="shared" si="49"/>
        <v>4.4999996374826878</v>
      </c>
      <c r="I302" s="14">
        <f t="shared" si="50"/>
        <v>821.3115426046154</v>
      </c>
      <c r="J302" s="19">
        <f t="shared" si="51"/>
        <v>827836.47298719152</v>
      </c>
      <c r="K302" s="16">
        <f t="shared" si="52"/>
        <v>0.81977805470939813</v>
      </c>
    </row>
    <row r="303" spans="1:11" x14ac:dyDescent="0.15">
      <c r="A303" s="7">
        <v>39235.555162037039</v>
      </c>
      <c r="B303">
        <v>42.1</v>
      </c>
      <c r="C303" s="6">
        <f t="shared" si="45"/>
        <v>566.00000029429793</v>
      </c>
      <c r="D303" t="str">
        <f t="shared" si="46"/>
        <v/>
      </c>
      <c r="E303">
        <f t="shared" si="39"/>
        <v>39235.555162037039</v>
      </c>
      <c r="F303" s="4">
        <f t="shared" si="47"/>
        <v>4.5</v>
      </c>
      <c r="G303" s="4">
        <f t="shared" si="48"/>
        <v>2.25</v>
      </c>
      <c r="H303" s="5">
        <f t="shared" si="49"/>
        <v>4.500001051928848</v>
      </c>
      <c r="I303" s="14">
        <f t="shared" si="50"/>
        <v>821.31180076040459</v>
      </c>
      <c r="J303" s="19">
        <f t="shared" si="51"/>
        <v>828657.78478795197</v>
      </c>
      <c r="K303" s="16">
        <f t="shared" si="52"/>
        <v>0.82059137160507412</v>
      </c>
    </row>
    <row r="304" spans="1:11" x14ac:dyDescent="0.15">
      <c r="A304" s="7">
        <v>39235.555185185185</v>
      </c>
      <c r="B304">
        <v>42.1</v>
      </c>
      <c r="C304" s="6">
        <f t="shared" si="45"/>
        <v>568.00000013317913</v>
      </c>
      <c r="D304" t="str">
        <f t="shared" si="46"/>
        <v/>
      </c>
      <c r="E304">
        <f t="shared" si="39"/>
        <v>39235.555185185185</v>
      </c>
      <c r="F304" s="4">
        <f t="shared" si="47"/>
        <v>4.5</v>
      </c>
      <c r="G304" s="4">
        <f t="shared" si="48"/>
        <v>2.25</v>
      </c>
      <c r="H304" s="5">
        <f t="shared" si="49"/>
        <v>4.4999996374826878</v>
      </c>
      <c r="I304" s="14">
        <f t="shared" si="50"/>
        <v>821.3115426046154</v>
      </c>
      <c r="J304" s="19">
        <f t="shared" si="51"/>
        <v>829479.09633055655</v>
      </c>
      <c r="K304" s="16">
        <f t="shared" si="52"/>
        <v>0.82140468824510715</v>
      </c>
    </row>
    <row r="305" spans="1:11" x14ac:dyDescent="0.15">
      <c r="A305" s="7">
        <v>39235.555208333331</v>
      </c>
      <c r="B305">
        <v>42.1</v>
      </c>
      <c r="C305" s="6">
        <f t="shared" si="45"/>
        <v>569.99999997206032</v>
      </c>
      <c r="D305" t="str">
        <f t="shared" si="46"/>
        <v/>
      </c>
      <c r="E305">
        <f t="shared" si="39"/>
        <v>39235.555208333331</v>
      </c>
      <c r="F305" s="4">
        <f t="shared" si="47"/>
        <v>4.5</v>
      </c>
      <c r="G305" s="4">
        <f t="shared" si="48"/>
        <v>2.25</v>
      </c>
      <c r="H305" s="5">
        <f t="shared" si="49"/>
        <v>4.4999996374826878</v>
      </c>
      <c r="I305" s="14">
        <f t="shared" si="50"/>
        <v>821.3115426046154</v>
      </c>
      <c r="J305" s="19">
        <f t="shared" si="51"/>
        <v>830300.40787316114</v>
      </c>
      <c r="K305" s="16">
        <f t="shared" si="52"/>
        <v>0.82221800488514019</v>
      </c>
    </row>
    <row r="306" spans="1:11" x14ac:dyDescent="0.15">
      <c r="A306" s="7">
        <v>39235.555231481485</v>
      </c>
      <c r="B306">
        <v>42.1</v>
      </c>
      <c r="C306" s="6">
        <f t="shared" si="45"/>
        <v>572.00000043958426</v>
      </c>
      <c r="D306" t="str">
        <f t="shared" si="46"/>
        <v/>
      </c>
      <c r="E306">
        <f t="shared" si="39"/>
        <v>39235.555231481485</v>
      </c>
      <c r="F306" s="4">
        <f t="shared" si="47"/>
        <v>4.5</v>
      </c>
      <c r="G306" s="4">
        <f t="shared" si="48"/>
        <v>2.25</v>
      </c>
      <c r="H306" s="5">
        <f t="shared" si="49"/>
        <v>4.500001051928848</v>
      </c>
      <c r="I306" s="14">
        <f t="shared" si="50"/>
        <v>821.31180076040459</v>
      </c>
      <c r="J306" s="19">
        <f t="shared" si="51"/>
        <v>831121.71967392159</v>
      </c>
      <c r="K306" s="16">
        <f t="shared" si="52"/>
        <v>0.82303132178081617</v>
      </c>
    </row>
    <row r="307" spans="1:11" x14ac:dyDescent="0.15">
      <c r="A307" s="7">
        <v>39235.555254629631</v>
      </c>
      <c r="B307">
        <v>41.8</v>
      </c>
      <c r="C307" s="6">
        <f t="shared" si="45"/>
        <v>574.00000027846545</v>
      </c>
      <c r="D307" t="str">
        <f t="shared" si="46"/>
        <v/>
      </c>
      <c r="E307">
        <f t="shared" si="39"/>
        <v>39235.555254629631</v>
      </c>
      <c r="F307" s="4">
        <f t="shared" si="47"/>
        <v>4.1999999999999957</v>
      </c>
      <c r="G307" s="4">
        <f t="shared" si="48"/>
        <v>2.0999999999999979</v>
      </c>
      <c r="H307" s="5">
        <f t="shared" si="49"/>
        <v>4.3499996495665965</v>
      </c>
      <c r="I307" s="14">
        <f t="shared" si="50"/>
        <v>793.93449118446119</v>
      </c>
      <c r="J307" s="19">
        <f t="shared" si="51"/>
        <v>831915.65416510601</v>
      </c>
      <c r="K307" s="16">
        <f t="shared" si="52"/>
        <v>0.82381752786618145</v>
      </c>
    </row>
    <row r="308" spans="1:11" x14ac:dyDescent="0.15">
      <c r="A308" s="7">
        <v>39235.555277777778</v>
      </c>
      <c r="B308">
        <v>42</v>
      </c>
      <c r="C308" s="6">
        <f t="shared" si="45"/>
        <v>576.00000011734664</v>
      </c>
      <c r="D308" t="str">
        <f t="shared" si="46"/>
        <v/>
      </c>
      <c r="E308">
        <f t="shared" si="39"/>
        <v>39235.555277777778</v>
      </c>
      <c r="F308" s="4">
        <f t="shared" si="47"/>
        <v>4.3999999999999986</v>
      </c>
      <c r="G308" s="4">
        <f t="shared" si="48"/>
        <v>2.1999999999999993</v>
      </c>
      <c r="H308" s="5">
        <f t="shared" si="49"/>
        <v>4.2999996535945657</v>
      </c>
      <c r="I308" s="14">
        <f t="shared" si="50"/>
        <v>784.80880737774316</v>
      </c>
      <c r="J308" s="19">
        <f t="shared" si="51"/>
        <v>832700.46297248371</v>
      </c>
      <c r="K308" s="16">
        <f t="shared" si="52"/>
        <v>0.82459469709999078</v>
      </c>
    </row>
    <row r="309" spans="1:11" x14ac:dyDescent="0.15">
      <c r="A309" s="7">
        <v>39235.555300925924</v>
      </c>
      <c r="B309">
        <v>41.9</v>
      </c>
      <c r="C309" s="6">
        <f t="shared" si="45"/>
        <v>577.99999995622784</v>
      </c>
      <c r="D309" t="str">
        <f t="shared" si="46"/>
        <v/>
      </c>
      <c r="E309">
        <f t="shared" si="39"/>
        <v>39235.555300925924</v>
      </c>
      <c r="F309" s="4">
        <f t="shared" si="47"/>
        <v>4.2999999999999972</v>
      </c>
      <c r="G309" s="4">
        <f t="shared" si="48"/>
        <v>2.1499999999999986</v>
      </c>
      <c r="H309" s="5">
        <f t="shared" si="49"/>
        <v>4.3499996495665965</v>
      </c>
      <c r="I309" s="14">
        <f t="shared" si="50"/>
        <v>793.93449118446119</v>
      </c>
      <c r="J309" s="19">
        <f t="shared" si="51"/>
        <v>833494.39746366814</v>
      </c>
      <c r="K309" s="16">
        <f t="shared" si="52"/>
        <v>0.82538090318535606</v>
      </c>
    </row>
    <row r="310" spans="1:11" x14ac:dyDescent="0.15">
      <c r="A310" s="7">
        <v>39235.555324074077</v>
      </c>
      <c r="B310">
        <v>42</v>
      </c>
      <c r="C310" s="6">
        <f t="shared" si="45"/>
        <v>580.00000042375177</v>
      </c>
      <c r="D310" t="str">
        <f t="shared" si="46"/>
        <v/>
      </c>
      <c r="E310">
        <f t="shared" si="39"/>
        <v>39235.555324074077</v>
      </c>
      <c r="F310" s="4">
        <f t="shared" si="47"/>
        <v>4.3999999999999986</v>
      </c>
      <c r="G310" s="4">
        <f t="shared" si="48"/>
        <v>2.1999999999999993</v>
      </c>
      <c r="H310" s="5">
        <f t="shared" si="49"/>
        <v>4.3500010168645513</v>
      </c>
      <c r="I310" s="14">
        <f t="shared" si="50"/>
        <v>793.9347407350574</v>
      </c>
      <c r="J310" s="19">
        <f t="shared" si="51"/>
        <v>834288.33220440324</v>
      </c>
      <c r="K310" s="16">
        <f t="shared" si="52"/>
        <v>0.82616710951784289</v>
      </c>
    </row>
    <row r="311" spans="1:11" x14ac:dyDescent="0.15">
      <c r="A311" s="7">
        <v>39235.555347222224</v>
      </c>
      <c r="B311">
        <v>42</v>
      </c>
      <c r="C311" s="6">
        <f t="shared" si="45"/>
        <v>582.00000026263297</v>
      </c>
      <c r="D311" t="str">
        <f t="shared" si="46"/>
        <v/>
      </c>
      <c r="E311">
        <f t="shared" si="39"/>
        <v>39235.555347222224</v>
      </c>
      <c r="F311" s="4">
        <f t="shared" si="47"/>
        <v>4.3999999999999986</v>
      </c>
      <c r="G311" s="4">
        <f t="shared" si="48"/>
        <v>2.1999999999999993</v>
      </c>
      <c r="H311" s="5">
        <f t="shared" si="49"/>
        <v>4.3999996455386263</v>
      </c>
      <c r="I311" s="14">
        <f t="shared" si="50"/>
        <v>803.06017499117922</v>
      </c>
      <c r="J311" s="19">
        <f t="shared" si="51"/>
        <v>835091.39237939438</v>
      </c>
      <c r="K311" s="16">
        <f t="shared" si="52"/>
        <v>0.82696235245476402</v>
      </c>
    </row>
    <row r="312" spans="1:11" x14ac:dyDescent="0.15">
      <c r="A312" s="7">
        <v>39235.55537037037</v>
      </c>
      <c r="B312">
        <v>41.7</v>
      </c>
      <c r="C312" s="6">
        <f t="shared" si="45"/>
        <v>584.00000010151416</v>
      </c>
      <c r="D312" t="str">
        <f t="shared" si="46"/>
        <v/>
      </c>
      <c r="E312">
        <f t="shared" si="39"/>
        <v>39235.55537037037</v>
      </c>
      <c r="F312" s="4">
        <f t="shared" si="47"/>
        <v>4.1000000000000014</v>
      </c>
      <c r="G312" s="4">
        <f t="shared" si="48"/>
        <v>2.0500000000000007</v>
      </c>
      <c r="H312" s="5">
        <f t="shared" si="49"/>
        <v>4.2499996576225385</v>
      </c>
      <c r="I312" s="14">
        <f t="shared" si="50"/>
        <v>775.6831235710257</v>
      </c>
      <c r="J312" s="19">
        <f t="shared" si="51"/>
        <v>835867.07550296537</v>
      </c>
      <c r="K312" s="16">
        <f t="shared" si="52"/>
        <v>0.8277304848370175</v>
      </c>
    </row>
    <row r="313" spans="1:11" x14ac:dyDescent="0.15">
      <c r="A313" s="7">
        <v>39235.555393518516</v>
      </c>
      <c r="B313">
        <v>41.6</v>
      </c>
      <c r="C313" s="6">
        <f t="shared" si="45"/>
        <v>585.99999994039536</v>
      </c>
      <c r="D313" t="str">
        <f t="shared" si="46"/>
        <v/>
      </c>
      <c r="E313">
        <f t="shared" si="39"/>
        <v>39235.555393518516</v>
      </c>
      <c r="F313" s="4">
        <f t="shared" si="47"/>
        <v>4</v>
      </c>
      <c r="G313" s="4">
        <f t="shared" si="48"/>
        <v>2</v>
      </c>
      <c r="H313" s="5">
        <f t="shared" si="49"/>
        <v>4.0499996737344199</v>
      </c>
      <c r="I313" s="14">
        <f t="shared" si="50"/>
        <v>739.18038834415404</v>
      </c>
      <c r="J313" s="19">
        <f t="shared" si="51"/>
        <v>836606.25589130947</v>
      </c>
      <c r="K313" s="16">
        <f t="shared" si="52"/>
        <v>0.82846246981304716</v>
      </c>
    </row>
    <row r="314" spans="1:11" x14ac:dyDescent="0.15">
      <c r="A314" s="7">
        <v>39235.55541666667</v>
      </c>
      <c r="B314">
        <v>41.7</v>
      </c>
      <c r="C314" s="6">
        <f t="shared" si="45"/>
        <v>588.00000040791929</v>
      </c>
      <c r="D314" t="str">
        <f t="shared" si="46"/>
        <v/>
      </c>
      <c r="E314">
        <f t="shared" si="39"/>
        <v>39235.55541666667</v>
      </c>
      <c r="F314" s="4">
        <f t="shared" si="47"/>
        <v>4.1000000000000014</v>
      </c>
      <c r="G314" s="4">
        <f t="shared" si="48"/>
        <v>2.0500000000000007</v>
      </c>
      <c r="H314" s="5">
        <f t="shared" si="49"/>
        <v>4.0500009467359641</v>
      </c>
      <c r="I314" s="14">
        <f t="shared" si="50"/>
        <v>739.18062068436427</v>
      </c>
      <c r="J314" s="19">
        <f t="shared" si="51"/>
        <v>837345.43651199387</v>
      </c>
      <c r="K314" s="16">
        <f t="shared" si="52"/>
        <v>0.82919445501915556</v>
      </c>
    </row>
    <row r="315" spans="1:11" x14ac:dyDescent="0.15">
      <c r="A315" s="7">
        <v>39235.555439814816</v>
      </c>
      <c r="B315">
        <v>41.6</v>
      </c>
      <c r="C315" s="6">
        <f t="shared" si="45"/>
        <v>590.00000024680048</v>
      </c>
      <c r="D315" t="str">
        <f t="shared" si="46"/>
        <v/>
      </c>
      <c r="E315">
        <f t="shared" si="39"/>
        <v>39235.555439814816</v>
      </c>
      <c r="F315" s="4">
        <f t="shared" si="47"/>
        <v>4</v>
      </c>
      <c r="G315" s="4">
        <f t="shared" si="48"/>
        <v>2</v>
      </c>
      <c r="H315" s="5">
        <f t="shared" si="49"/>
        <v>4.0499996737344199</v>
      </c>
      <c r="I315" s="14">
        <f t="shared" si="50"/>
        <v>739.18038834415404</v>
      </c>
      <c r="J315" s="19">
        <f t="shared" si="51"/>
        <v>838084.61690033798</v>
      </c>
      <c r="K315" s="16">
        <f t="shared" si="52"/>
        <v>0.82992643999518534</v>
      </c>
    </row>
    <row r="316" spans="1:11" x14ac:dyDescent="0.15">
      <c r="A316" s="7">
        <v>39235.555462962962</v>
      </c>
      <c r="B316">
        <v>41.6</v>
      </c>
      <c r="C316" s="6">
        <f t="shared" si="45"/>
        <v>592.00000008568168</v>
      </c>
      <c r="D316" t="str">
        <f t="shared" si="46"/>
        <v/>
      </c>
      <c r="E316">
        <f t="shared" si="39"/>
        <v>39235.555462962962</v>
      </c>
      <c r="F316" s="4">
        <f t="shared" si="47"/>
        <v>4</v>
      </c>
      <c r="G316" s="4">
        <f t="shared" si="48"/>
        <v>2</v>
      </c>
      <c r="H316" s="5">
        <f t="shared" si="49"/>
        <v>3.9999996777623892</v>
      </c>
      <c r="I316" s="14">
        <f t="shared" si="50"/>
        <v>730.0547045374359</v>
      </c>
      <c r="J316" s="19">
        <f t="shared" si="51"/>
        <v>838814.67160487536</v>
      </c>
      <c r="K316" s="16">
        <f t="shared" si="52"/>
        <v>0.83064938811965916</v>
      </c>
    </row>
    <row r="317" spans="1:11" x14ac:dyDescent="0.15">
      <c r="A317" s="7">
        <v>39235.555486111109</v>
      </c>
      <c r="B317">
        <v>41.6</v>
      </c>
      <c r="C317" s="6">
        <f t="shared" si="45"/>
        <v>593.99999992456287</v>
      </c>
      <c r="D317" t="str">
        <f t="shared" si="46"/>
        <v/>
      </c>
      <c r="E317">
        <f t="shared" si="39"/>
        <v>39235.555486111109</v>
      </c>
      <c r="F317" s="4">
        <f t="shared" si="47"/>
        <v>4</v>
      </c>
      <c r="G317" s="4">
        <f t="shared" si="48"/>
        <v>2</v>
      </c>
      <c r="H317" s="5">
        <f t="shared" si="49"/>
        <v>3.9999996777623892</v>
      </c>
      <c r="I317" s="14">
        <f t="shared" si="50"/>
        <v>730.0547045374359</v>
      </c>
      <c r="J317" s="19">
        <f t="shared" si="51"/>
        <v>839544.72630941274</v>
      </c>
      <c r="K317" s="16">
        <f t="shared" si="52"/>
        <v>0.83137233624413287</v>
      </c>
    </row>
    <row r="318" spans="1:11" x14ac:dyDescent="0.15">
      <c r="A318" s="7">
        <v>39235.555509259262</v>
      </c>
      <c r="B318">
        <v>41.6</v>
      </c>
      <c r="C318" s="6">
        <f t="shared" si="45"/>
        <v>596.0000003920868</v>
      </c>
      <c r="D318" t="str">
        <f t="shared" si="46"/>
        <v/>
      </c>
      <c r="E318">
        <f t="shared" si="39"/>
        <v>39235.555509259262</v>
      </c>
      <c r="F318" s="4">
        <f t="shared" si="47"/>
        <v>4</v>
      </c>
      <c r="G318" s="4">
        <f t="shared" si="48"/>
        <v>2</v>
      </c>
      <c r="H318" s="5">
        <f t="shared" si="49"/>
        <v>4.0000009350478649</v>
      </c>
      <c r="I318" s="14">
        <f t="shared" si="50"/>
        <v>730.05493400924854</v>
      </c>
      <c r="J318" s="19">
        <f t="shared" si="51"/>
        <v>840274.78124342195</v>
      </c>
      <c r="K318" s="16">
        <f t="shared" si="52"/>
        <v>0.83209528459584481</v>
      </c>
    </row>
    <row r="319" spans="1:11" x14ac:dyDescent="0.15">
      <c r="A319" s="7">
        <v>39235.555532407408</v>
      </c>
      <c r="B319">
        <v>41.4</v>
      </c>
      <c r="C319" s="6">
        <f t="shared" si="45"/>
        <v>598.000000230968</v>
      </c>
      <c r="D319" t="str">
        <f t="shared" si="46"/>
        <v/>
      </c>
      <c r="E319">
        <f t="shared" si="39"/>
        <v>39235.555532407408</v>
      </c>
      <c r="F319" s="4">
        <f t="shared" si="47"/>
        <v>3.7999999999999972</v>
      </c>
      <c r="G319" s="4">
        <f t="shared" si="48"/>
        <v>1.8999999999999986</v>
      </c>
      <c r="H319" s="5">
        <f t="shared" si="49"/>
        <v>3.8999996858183281</v>
      </c>
      <c r="I319" s="14">
        <f t="shared" si="50"/>
        <v>711.80333692399984</v>
      </c>
      <c r="J319" s="19">
        <f t="shared" si="51"/>
        <v>840986.58458034589</v>
      </c>
      <c r="K319" s="16">
        <f t="shared" si="52"/>
        <v>0.83280015901720672</v>
      </c>
    </row>
    <row r="320" spans="1:11" x14ac:dyDescent="0.15">
      <c r="A320" s="7">
        <v>39235.555555555555</v>
      </c>
      <c r="B320">
        <v>41.6</v>
      </c>
      <c r="C320" s="6">
        <f t="shared" si="45"/>
        <v>600.00000006984919</v>
      </c>
      <c r="D320" t="str">
        <f t="shared" si="46"/>
        <v/>
      </c>
      <c r="E320">
        <f t="shared" si="39"/>
        <v>39235.555555555555</v>
      </c>
      <c r="F320" s="4">
        <f t="shared" si="47"/>
        <v>4</v>
      </c>
      <c r="G320" s="4">
        <f t="shared" si="48"/>
        <v>2</v>
      </c>
      <c r="H320" s="5">
        <f t="shared" si="49"/>
        <v>3.8999996858183281</v>
      </c>
      <c r="I320" s="14">
        <f t="shared" si="50"/>
        <v>711.80333692399984</v>
      </c>
      <c r="J320" s="19">
        <f t="shared" si="51"/>
        <v>841698.38791726984</v>
      </c>
      <c r="K320" s="16">
        <f t="shared" si="52"/>
        <v>0.83350503343856874</v>
      </c>
    </row>
    <row r="321" spans="1:11" x14ac:dyDescent="0.15">
      <c r="A321" s="7">
        <v>39235.555578703701</v>
      </c>
      <c r="B321">
        <v>41.6</v>
      </c>
      <c r="C321" s="6">
        <f t="shared" si="45"/>
        <v>601.99999990873039</v>
      </c>
      <c r="D321" t="str">
        <f t="shared" si="46"/>
        <v/>
      </c>
      <c r="E321">
        <f t="shared" si="39"/>
        <v>39235.555578703701</v>
      </c>
      <c r="F321" s="4">
        <f t="shared" si="47"/>
        <v>4</v>
      </c>
      <c r="G321" s="4">
        <f t="shared" si="48"/>
        <v>2</v>
      </c>
      <c r="H321" s="5">
        <f t="shared" si="49"/>
        <v>3.9999996777623892</v>
      </c>
      <c r="I321" s="14">
        <f t="shared" si="50"/>
        <v>730.0547045374359</v>
      </c>
      <c r="J321" s="19">
        <f t="shared" si="51"/>
        <v>842428.44262180722</v>
      </c>
      <c r="K321" s="16">
        <f t="shared" si="52"/>
        <v>0.83422798156304256</v>
      </c>
    </row>
    <row r="322" spans="1:11" x14ac:dyDescent="0.15">
      <c r="A322" s="7">
        <v>39235.555601851855</v>
      </c>
      <c r="B322">
        <v>41.6</v>
      </c>
      <c r="C322" s="6">
        <f t="shared" si="45"/>
        <v>604.00000037625432</v>
      </c>
      <c r="D322" t="str">
        <f t="shared" si="46"/>
        <v/>
      </c>
      <c r="E322">
        <f t="shared" si="39"/>
        <v>39235.555601851855</v>
      </c>
      <c r="F322" s="4">
        <f t="shared" si="47"/>
        <v>4</v>
      </c>
      <c r="G322" s="4">
        <f t="shared" si="48"/>
        <v>2</v>
      </c>
      <c r="H322" s="5">
        <f t="shared" si="49"/>
        <v>4.0000009350478649</v>
      </c>
      <c r="I322" s="14">
        <f t="shared" si="50"/>
        <v>730.05493400924854</v>
      </c>
      <c r="J322" s="19">
        <f t="shared" si="51"/>
        <v>843158.49755581643</v>
      </c>
      <c r="K322" s="16">
        <f t="shared" si="52"/>
        <v>0.83495092991475439</v>
      </c>
    </row>
    <row r="323" spans="1:11" x14ac:dyDescent="0.15">
      <c r="A323" s="7">
        <v>39235.555625000001</v>
      </c>
      <c r="B323">
        <v>41.6</v>
      </c>
      <c r="C323" s="6">
        <f t="shared" si="45"/>
        <v>606.00000021513551</v>
      </c>
      <c r="D323" t="str">
        <f t="shared" si="46"/>
        <v/>
      </c>
      <c r="E323">
        <f t="shared" si="39"/>
        <v>39235.555625000001</v>
      </c>
      <c r="F323" s="4">
        <f t="shared" si="47"/>
        <v>4</v>
      </c>
      <c r="G323" s="4">
        <f t="shared" si="48"/>
        <v>2</v>
      </c>
      <c r="H323" s="5">
        <f t="shared" si="49"/>
        <v>3.9999996777623892</v>
      </c>
      <c r="I323" s="14">
        <f t="shared" si="50"/>
        <v>730.0547045374359</v>
      </c>
      <c r="J323" s="19">
        <f t="shared" si="51"/>
        <v>843888.55226035381</v>
      </c>
      <c r="K323" s="16">
        <f t="shared" si="52"/>
        <v>0.83567387803922821</v>
      </c>
    </row>
    <row r="324" spans="1:11" x14ac:dyDescent="0.15">
      <c r="A324" s="7">
        <v>39235.555648148147</v>
      </c>
      <c r="B324">
        <v>41.4</v>
      </c>
      <c r="C324" s="6">
        <f t="shared" si="45"/>
        <v>608.00000005401671</v>
      </c>
      <c r="D324" t="str">
        <f t="shared" si="46"/>
        <v/>
      </c>
      <c r="E324">
        <f t="shared" si="39"/>
        <v>39235.555648148147</v>
      </c>
      <c r="F324" s="4">
        <f t="shared" si="47"/>
        <v>3.7999999999999972</v>
      </c>
      <c r="G324" s="4">
        <f t="shared" si="48"/>
        <v>1.8999999999999986</v>
      </c>
      <c r="H324" s="5">
        <f t="shared" si="49"/>
        <v>3.8999996858183281</v>
      </c>
      <c r="I324" s="14">
        <f t="shared" si="50"/>
        <v>711.80333692399984</v>
      </c>
      <c r="J324" s="19">
        <f t="shared" si="51"/>
        <v>844600.35559727775</v>
      </c>
      <c r="K324" s="16">
        <f t="shared" si="52"/>
        <v>0.83637875246059012</v>
      </c>
    </row>
    <row r="325" spans="1:11" x14ac:dyDescent="0.15">
      <c r="A325" s="7">
        <v>39235.555671296293</v>
      </c>
      <c r="B325">
        <v>41.4</v>
      </c>
      <c r="C325" s="6">
        <f t="shared" si="45"/>
        <v>609.9999998928979</v>
      </c>
      <c r="D325" t="str">
        <f t="shared" si="46"/>
        <v/>
      </c>
      <c r="E325">
        <f t="shared" si="39"/>
        <v>39235.555671296293</v>
      </c>
      <c r="F325" s="4">
        <f t="shared" si="47"/>
        <v>3.7999999999999972</v>
      </c>
      <c r="G325" s="4">
        <f t="shared" si="48"/>
        <v>1.8999999999999986</v>
      </c>
      <c r="H325" s="5">
        <f t="shared" si="49"/>
        <v>3.7999996938742671</v>
      </c>
      <c r="I325" s="14">
        <f t="shared" si="50"/>
        <v>693.55196931056366</v>
      </c>
      <c r="J325" s="19">
        <f t="shared" si="51"/>
        <v>845293.90756658837</v>
      </c>
      <c r="K325" s="16">
        <f t="shared" si="52"/>
        <v>0.83706555317884035</v>
      </c>
    </row>
    <row r="326" spans="1:11" x14ac:dyDescent="0.15">
      <c r="A326" s="7">
        <v>39235.555694444447</v>
      </c>
      <c r="B326">
        <v>41.4</v>
      </c>
      <c r="C326" s="6">
        <f t="shared" si="45"/>
        <v>612.00000036042184</v>
      </c>
      <c r="D326" t="str">
        <f t="shared" si="46"/>
        <v/>
      </c>
      <c r="E326">
        <f t="shared" si="39"/>
        <v>39235.555694444447</v>
      </c>
      <c r="F326" s="4">
        <f t="shared" si="47"/>
        <v>3.7999999999999972</v>
      </c>
      <c r="G326" s="4">
        <f t="shared" si="48"/>
        <v>1.8999999999999986</v>
      </c>
      <c r="H326" s="5">
        <f t="shared" si="49"/>
        <v>3.800000888295469</v>
      </c>
      <c r="I326" s="14">
        <f t="shared" si="50"/>
        <v>693.55218730878562</v>
      </c>
      <c r="J326" s="19">
        <f t="shared" si="51"/>
        <v>845987.45975389716</v>
      </c>
      <c r="K326" s="16">
        <f t="shared" si="52"/>
        <v>0.83775235411296667</v>
      </c>
    </row>
    <row r="327" spans="1:11" x14ac:dyDescent="0.15">
      <c r="A327" s="7">
        <v>39235.555717592593</v>
      </c>
      <c r="B327">
        <v>41.4</v>
      </c>
      <c r="C327" s="6">
        <f t="shared" si="45"/>
        <v>614.00000019930303</v>
      </c>
      <c r="D327" t="str">
        <f t="shared" si="46"/>
        <v/>
      </c>
      <c r="E327">
        <f t="shared" si="39"/>
        <v>39235.555717592593</v>
      </c>
      <c r="F327" s="4">
        <f t="shared" si="47"/>
        <v>3.7999999999999972</v>
      </c>
      <c r="G327" s="4">
        <f t="shared" si="48"/>
        <v>1.8999999999999986</v>
      </c>
      <c r="H327" s="5">
        <f t="shared" si="49"/>
        <v>3.7999996938742671</v>
      </c>
      <c r="I327" s="14">
        <f t="shared" si="50"/>
        <v>693.55196931056366</v>
      </c>
      <c r="J327" s="19">
        <f t="shared" si="51"/>
        <v>846681.01172320778</v>
      </c>
      <c r="K327" s="16">
        <f t="shared" si="52"/>
        <v>0.83843915483121689</v>
      </c>
    </row>
    <row r="328" spans="1:11" x14ac:dyDescent="0.15">
      <c r="A328" s="7">
        <v>39235.55574074074</v>
      </c>
      <c r="B328">
        <v>41.4</v>
      </c>
      <c r="C328" s="6">
        <f t="shared" si="45"/>
        <v>616.00000003818423</v>
      </c>
      <c r="D328" t="str">
        <f t="shared" si="46"/>
        <v/>
      </c>
      <c r="E328">
        <f t="shared" si="39"/>
        <v>39235.55574074074</v>
      </c>
      <c r="F328" s="4">
        <f t="shared" si="47"/>
        <v>3.7999999999999972</v>
      </c>
      <c r="G328" s="4">
        <f t="shared" si="48"/>
        <v>1.8999999999999986</v>
      </c>
      <c r="H328" s="5">
        <f t="shared" si="49"/>
        <v>3.7999996938742671</v>
      </c>
      <c r="I328" s="14">
        <f t="shared" si="50"/>
        <v>693.55196931056366</v>
      </c>
      <c r="J328" s="19">
        <f t="shared" si="51"/>
        <v>847374.56369251839</v>
      </c>
      <c r="K328" s="16">
        <f t="shared" si="52"/>
        <v>0.83912595554946712</v>
      </c>
    </row>
    <row r="329" spans="1:11" x14ac:dyDescent="0.15">
      <c r="A329" s="7">
        <v>39235.555763888886</v>
      </c>
      <c r="B329">
        <v>41.6</v>
      </c>
      <c r="C329" s="6">
        <f t="shared" si="45"/>
        <v>617.99999987706542</v>
      </c>
      <c r="D329" t="str">
        <f t="shared" si="46"/>
        <v/>
      </c>
      <c r="E329">
        <f t="shared" si="39"/>
        <v>39235.555763888886</v>
      </c>
      <c r="F329" s="4">
        <f t="shared" si="47"/>
        <v>4</v>
      </c>
      <c r="G329" s="4">
        <f t="shared" si="48"/>
        <v>2</v>
      </c>
      <c r="H329" s="5">
        <f t="shared" si="49"/>
        <v>3.8999996858183281</v>
      </c>
      <c r="I329" s="14">
        <f t="shared" si="50"/>
        <v>711.80333692399984</v>
      </c>
      <c r="J329" s="19">
        <f t="shared" si="51"/>
        <v>848086.36702944234</v>
      </c>
      <c r="K329" s="16">
        <f t="shared" si="52"/>
        <v>0.83983082997082914</v>
      </c>
    </row>
    <row r="330" spans="1:11" x14ac:dyDescent="0.15">
      <c r="A330" s="7">
        <v>39235.555787037039</v>
      </c>
      <c r="B330">
        <v>41.6</v>
      </c>
      <c r="C330" s="6">
        <f t="shared" si="45"/>
        <v>620.00000034458935</v>
      </c>
      <c r="D330" t="str">
        <f t="shared" si="46"/>
        <v/>
      </c>
      <c r="E330">
        <f t="shared" si="39"/>
        <v>39235.555787037039</v>
      </c>
      <c r="F330" s="4">
        <f t="shared" si="47"/>
        <v>4</v>
      </c>
      <c r="G330" s="4">
        <f t="shared" si="48"/>
        <v>2</v>
      </c>
      <c r="H330" s="5">
        <f t="shared" si="49"/>
        <v>4.0000009350478649</v>
      </c>
      <c r="I330" s="14">
        <f t="shared" si="50"/>
        <v>730.05493400924854</v>
      </c>
      <c r="J330" s="19">
        <f t="shared" si="51"/>
        <v>848816.42196345155</v>
      </c>
      <c r="K330" s="16">
        <f t="shared" si="52"/>
        <v>0.84055377832254097</v>
      </c>
    </row>
    <row r="331" spans="1:11" x14ac:dyDescent="0.15">
      <c r="A331" s="7">
        <v>39235.555810185186</v>
      </c>
      <c r="B331">
        <v>41.4</v>
      </c>
      <c r="C331" s="6">
        <f t="shared" si="45"/>
        <v>622.00000018347055</v>
      </c>
      <c r="D331" t="str">
        <f t="shared" si="46"/>
        <v/>
      </c>
      <c r="E331">
        <f t="shared" si="39"/>
        <v>39235.555810185186</v>
      </c>
      <c r="F331" s="4">
        <f t="shared" si="47"/>
        <v>3.7999999999999972</v>
      </c>
      <c r="G331" s="4">
        <f t="shared" si="48"/>
        <v>1.8999999999999986</v>
      </c>
      <c r="H331" s="5">
        <f t="shared" si="49"/>
        <v>3.8999996858183281</v>
      </c>
      <c r="I331" s="14">
        <f t="shared" si="50"/>
        <v>711.80333692399984</v>
      </c>
      <c r="J331" s="19">
        <f t="shared" si="51"/>
        <v>849528.22530037549</v>
      </c>
      <c r="K331" s="16">
        <f t="shared" si="52"/>
        <v>0.84125865274390288</v>
      </c>
    </row>
    <row r="332" spans="1:11" x14ac:dyDescent="0.15">
      <c r="A332" s="7">
        <v>39235.555833333332</v>
      </c>
      <c r="B332">
        <v>41.6</v>
      </c>
      <c r="C332" s="6">
        <f t="shared" si="45"/>
        <v>624.00000002235174</v>
      </c>
      <c r="D332" t="str">
        <f t="shared" si="46"/>
        <v/>
      </c>
      <c r="E332">
        <f t="shared" si="39"/>
        <v>39235.555833333332</v>
      </c>
      <c r="F332" s="4">
        <f t="shared" si="47"/>
        <v>4</v>
      </c>
      <c r="G332" s="4">
        <f t="shared" si="48"/>
        <v>2</v>
      </c>
      <c r="H332" s="5">
        <f t="shared" si="49"/>
        <v>3.8999996858183281</v>
      </c>
      <c r="I332" s="14">
        <f t="shared" si="50"/>
        <v>711.80333692399984</v>
      </c>
      <c r="J332" s="19">
        <f t="shared" si="51"/>
        <v>850240.02863729943</v>
      </c>
      <c r="K332" s="16">
        <f t="shared" si="52"/>
        <v>0.8419635271652649</v>
      </c>
    </row>
    <row r="333" spans="1:11" x14ac:dyDescent="0.15">
      <c r="A333" s="7">
        <v>39235.555856481478</v>
      </c>
      <c r="B333">
        <v>41.6</v>
      </c>
      <c r="C333" s="6">
        <f t="shared" si="45"/>
        <v>625.99999986123294</v>
      </c>
      <c r="D333" t="str">
        <f t="shared" si="46"/>
        <v/>
      </c>
      <c r="E333">
        <f t="shared" si="39"/>
        <v>39235.555856481478</v>
      </c>
      <c r="F333" s="4">
        <f t="shared" si="47"/>
        <v>4</v>
      </c>
      <c r="G333" s="4">
        <f t="shared" si="48"/>
        <v>2</v>
      </c>
      <c r="H333" s="5">
        <f t="shared" si="49"/>
        <v>3.9999996777623892</v>
      </c>
      <c r="I333" s="14">
        <f t="shared" si="50"/>
        <v>730.0547045374359</v>
      </c>
      <c r="J333" s="19">
        <f t="shared" si="51"/>
        <v>850970.08334183681</v>
      </c>
      <c r="K333" s="16">
        <f t="shared" si="52"/>
        <v>0.84268647528973872</v>
      </c>
    </row>
    <row r="334" spans="1:11" x14ac:dyDescent="0.15">
      <c r="A334" s="7">
        <v>39235.555879629632</v>
      </c>
      <c r="B334">
        <v>41.7</v>
      </c>
      <c r="C334" s="6">
        <f t="shared" si="45"/>
        <v>628.00000032875687</v>
      </c>
      <c r="D334" t="str">
        <f t="shared" si="46"/>
        <v/>
      </c>
      <c r="E334">
        <f t="shared" si="39"/>
        <v>39235.555879629632</v>
      </c>
      <c r="F334" s="4">
        <f t="shared" si="47"/>
        <v>4.1000000000000014</v>
      </c>
      <c r="G334" s="4">
        <f t="shared" si="48"/>
        <v>2.0500000000000007</v>
      </c>
      <c r="H334" s="5">
        <f t="shared" si="49"/>
        <v>4.0500009467359641</v>
      </c>
      <c r="I334" s="14">
        <f t="shared" si="50"/>
        <v>739.18062068436427</v>
      </c>
      <c r="J334" s="19">
        <f t="shared" si="51"/>
        <v>851709.26396252122</v>
      </c>
      <c r="K334" s="16">
        <f t="shared" si="52"/>
        <v>0.84341846049584701</v>
      </c>
    </row>
    <row r="335" spans="1:11" x14ac:dyDescent="0.15">
      <c r="A335" s="7">
        <v>39235.555902777778</v>
      </c>
      <c r="B335">
        <v>41.7</v>
      </c>
      <c r="C335" s="6">
        <f t="shared" si="45"/>
        <v>630.00000016763806</v>
      </c>
      <c r="D335" t="str">
        <f t="shared" si="46"/>
        <v/>
      </c>
      <c r="E335">
        <f t="shared" si="39"/>
        <v>39235.555902777778</v>
      </c>
      <c r="F335" s="4">
        <f t="shared" si="47"/>
        <v>4.1000000000000014</v>
      </c>
      <c r="G335" s="4">
        <f t="shared" si="48"/>
        <v>2.0500000000000007</v>
      </c>
      <c r="H335" s="5">
        <f t="shared" si="49"/>
        <v>4.0999996697064507</v>
      </c>
      <c r="I335" s="14">
        <f t="shared" si="50"/>
        <v>748.30607215087218</v>
      </c>
      <c r="J335" s="19">
        <f t="shared" si="51"/>
        <v>852457.57003467204</v>
      </c>
      <c r="K335" s="16">
        <f t="shared" si="52"/>
        <v>0.84415948232343274</v>
      </c>
    </row>
    <row r="336" spans="1:11" x14ac:dyDescent="0.15">
      <c r="A336" s="7">
        <v>39235.555925925924</v>
      </c>
      <c r="B336">
        <v>41.5</v>
      </c>
      <c r="C336" s="6">
        <f t="shared" si="45"/>
        <v>632.00000000651926</v>
      </c>
      <c r="D336" t="str">
        <f t="shared" si="46"/>
        <v/>
      </c>
      <c r="E336">
        <f t="shared" si="39"/>
        <v>39235.555925925924</v>
      </c>
      <c r="F336" s="4">
        <f t="shared" si="47"/>
        <v>3.8999999999999986</v>
      </c>
      <c r="G336" s="4">
        <f t="shared" si="48"/>
        <v>1.9499999999999993</v>
      </c>
      <c r="H336" s="5">
        <f t="shared" si="49"/>
        <v>3.9999996777623892</v>
      </c>
      <c r="I336" s="14">
        <f t="shared" si="50"/>
        <v>730.0547045374359</v>
      </c>
      <c r="J336" s="19">
        <f t="shared" si="51"/>
        <v>853187.62473920942</v>
      </c>
      <c r="K336" s="16">
        <f t="shared" si="52"/>
        <v>0.84488243044790645</v>
      </c>
    </row>
    <row r="337" spans="1:11" x14ac:dyDescent="0.15">
      <c r="A337" s="7">
        <v>39235.555949074071</v>
      </c>
      <c r="B337">
        <v>41.7</v>
      </c>
      <c r="C337" s="6">
        <f t="shared" si="45"/>
        <v>633.99999984540045</v>
      </c>
      <c r="D337" t="str">
        <f t="shared" si="46"/>
        <v/>
      </c>
      <c r="E337">
        <f t="shared" si="39"/>
        <v>39235.555949074071</v>
      </c>
      <c r="F337" s="4">
        <f t="shared" si="47"/>
        <v>4.1000000000000014</v>
      </c>
      <c r="G337" s="4">
        <f t="shared" si="48"/>
        <v>2.0500000000000007</v>
      </c>
      <c r="H337" s="5">
        <f t="shared" si="49"/>
        <v>3.9999996777623892</v>
      </c>
      <c r="I337" s="14">
        <f t="shared" si="50"/>
        <v>730.0547045374359</v>
      </c>
      <c r="J337" s="19">
        <f t="shared" si="51"/>
        <v>853917.67944374681</v>
      </c>
      <c r="K337" s="16">
        <f t="shared" si="52"/>
        <v>0.84560537857238027</v>
      </c>
    </row>
    <row r="338" spans="1:11" x14ac:dyDescent="0.15">
      <c r="A338" s="7">
        <v>39235.555972222224</v>
      </c>
      <c r="B338">
        <v>41.7</v>
      </c>
      <c r="C338" s="6">
        <f t="shared" si="45"/>
        <v>636.00000031292439</v>
      </c>
      <c r="D338" t="str">
        <f t="shared" si="46"/>
        <v/>
      </c>
      <c r="E338">
        <f t="shared" si="39"/>
        <v>39235.555972222224</v>
      </c>
      <c r="F338" s="4">
        <f t="shared" si="47"/>
        <v>4.1000000000000014</v>
      </c>
      <c r="G338" s="4">
        <f t="shared" si="48"/>
        <v>2.0500000000000007</v>
      </c>
      <c r="H338" s="5">
        <f t="shared" si="49"/>
        <v>4.1000009584240633</v>
      </c>
      <c r="I338" s="14">
        <f t="shared" si="50"/>
        <v>748.30630735948012</v>
      </c>
      <c r="J338" s="19">
        <f t="shared" si="51"/>
        <v>854665.98575110629</v>
      </c>
      <c r="K338" s="16">
        <f t="shared" si="52"/>
        <v>0.84634640063288502</v>
      </c>
    </row>
    <row r="339" spans="1:11" x14ac:dyDescent="0.15">
      <c r="A339" s="7">
        <v>39235.555995370371</v>
      </c>
      <c r="B339">
        <v>41.7</v>
      </c>
      <c r="C339" s="6">
        <f t="shared" si="45"/>
        <v>638.00000015180558</v>
      </c>
      <c r="D339" t="str">
        <f t="shared" si="46"/>
        <v/>
      </c>
      <c r="E339">
        <f t="shared" si="39"/>
        <v>39235.555995370371</v>
      </c>
      <c r="F339" s="4">
        <f t="shared" si="47"/>
        <v>4.1000000000000014</v>
      </c>
      <c r="G339" s="4">
        <f t="shared" si="48"/>
        <v>2.0500000000000007</v>
      </c>
      <c r="H339" s="5">
        <f t="shared" si="49"/>
        <v>4.0999996697064507</v>
      </c>
      <c r="I339" s="14">
        <f t="shared" si="50"/>
        <v>748.30607215087218</v>
      </c>
      <c r="J339" s="19">
        <f t="shared" si="51"/>
        <v>855414.29182325711</v>
      </c>
      <c r="K339" s="16">
        <f t="shared" si="52"/>
        <v>0.84708742246047064</v>
      </c>
    </row>
    <row r="340" spans="1:11" x14ac:dyDescent="0.15">
      <c r="A340" s="7">
        <v>39235.556018518517</v>
      </c>
      <c r="B340">
        <v>41.7</v>
      </c>
      <c r="C340" s="6">
        <f t="shared" si="45"/>
        <v>639.99999999068677</v>
      </c>
      <c r="D340" t="str">
        <f t="shared" si="46"/>
        <v/>
      </c>
      <c r="E340">
        <f t="shared" si="39"/>
        <v>39235.556018518517</v>
      </c>
      <c r="F340" s="4">
        <f t="shared" si="47"/>
        <v>4.1000000000000014</v>
      </c>
      <c r="G340" s="4">
        <f t="shared" si="48"/>
        <v>2.0500000000000007</v>
      </c>
      <c r="H340" s="5">
        <f t="shared" si="49"/>
        <v>4.0999996697064507</v>
      </c>
      <c r="I340" s="14">
        <f t="shared" si="50"/>
        <v>748.30607215087218</v>
      </c>
      <c r="J340" s="19">
        <f t="shared" si="51"/>
        <v>856162.59789540793</v>
      </c>
      <c r="K340" s="16">
        <f t="shared" si="52"/>
        <v>0.84782844428805637</v>
      </c>
    </row>
    <row r="341" spans="1:11" x14ac:dyDescent="0.15">
      <c r="A341" s="7">
        <v>39235.556041666663</v>
      </c>
      <c r="B341">
        <v>41.7</v>
      </c>
      <c r="C341" s="6">
        <f t="shared" si="45"/>
        <v>641.99999982956797</v>
      </c>
      <c r="D341" t="str">
        <f t="shared" si="46"/>
        <v/>
      </c>
      <c r="E341">
        <f t="shared" ref="E341:E404" si="53">IF(B341-$B$6&gt;0,A341," ")</f>
        <v>39235.556041666663</v>
      </c>
      <c r="F341" s="4">
        <f t="shared" si="47"/>
        <v>4.1000000000000014</v>
      </c>
      <c r="G341" s="4">
        <f t="shared" si="48"/>
        <v>2.0500000000000007</v>
      </c>
      <c r="H341" s="5">
        <f t="shared" si="49"/>
        <v>4.0999996697064507</v>
      </c>
      <c r="I341" s="14">
        <f t="shared" si="50"/>
        <v>748.30607215087218</v>
      </c>
      <c r="J341" s="19">
        <f t="shared" si="51"/>
        <v>856910.90396755876</v>
      </c>
      <c r="K341" s="16">
        <f t="shared" si="52"/>
        <v>0.84856946611564199</v>
      </c>
    </row>
    <row r="342" spans="1:11" x14ac:dyDescent="0.15">
      <c r="A342" s="7">
        <v>39235.556064814817</v>
      </c>
      <c r="B342">
        <v>41.7</v>
      </c>
      <c r="C342" s="6">
        <f t="shared" si="45"/>
        <v>644.0000002970919</v>
      </c>
      <c r="D342" t="str">
        <f t="shared" si="46"/>
        <v/>
      </c>
      <c r="E342">
        <f t="shared" si="53"/>
        <v>39235.556064814817</v>
      </c>
      <c r="F342" s="4">
        <f t="shared" si="47"/>
        <v>4.1000000000000014</v>
      </c>
      <c r="G342" s="4">
        <f t="shared" si="48"/>
        <v>2.0500000000000007</v>
      </c>
      <c r="H342" s="5">
        <f t="shared" si="49"/>
        <v>4.1000009584240633</v>
      </c>
      <c r="I342" s="14">
        <f t="shared" si="50"/>
        <v>748.30630735948012</v>
      </c>
      <c r="J342" s="19">
        <f t="shared" si="51"/>
        <v>857659.21027491824</v>
      </c>
      <c r="K342" s="16">
        <f t="shared" si="52"/>
        <v>0.84931048817614674</v>
      </c>
    </row>
    <row r="343" spans="1:11" x14ac:dyDescent="0.15">
      <c r="A343" s="7">
        <v>39235.556087962963</v>
      </c>
      <c r="B343">
        <v>41.7</v>
      </c>
      <c r="C343" s="6">
        <f t="shared" si="45"/>
        <v>646.0000001359731</v>
      </c>
      <c r="D343" t="str">
        <f t="shared" si="46"/>
        <v/>
      </c>
      <c r="E343">
        <f t="shared" si="53"/>
        <v>39235.556087962963</v>
      </c>
      <c r="F343" s="4">
        <f t="shared" si="47"/>
        <v>4.1000000000000014</v>
      </c>
      <c r="G343" s="4">
        <f t="shared" si="48"/>
        <v>2.0500000000000007</v>
      </c>
      <c r="H343" s="5">
        <f t="shared" si="49"/>
        <v>4.0999996697064507</v>
      </c>
      <c r="I343" s="14">
        <f t="shared" si="50"/>
        <v>748.30607215087218</v>
      </c>
      <c r="J343" s="19">
        <f t="shared" si="51"/>
        <v>858407.51634706906</v>
      </c>
      <c r="K343" s="16">
        <f t="shared" si="52"/>
        <v>0.85005151000373236</v>
      </c>
    </row>
    <row r="344" spans="1:11" x14ac:dyDescent="0.15">
      <c r="A344" s="7">
        <v>39235.556111111109</v>
      </c>
      <c r="B344">
        <v>41.7</v>
      </c>
      <c r="C344" s="6">
        <f t="shared" si="45"/>
        <v>647.99999997485429</v>
      </c>
      <c r="D344" t="str">
        <f t="shared" si="46"/>
        <v/>
      </c>
      <c r="E344">
        <f t="shared" si="53"/>
        <v>39235.556111111109</v>
      </c>
      <c r="F344" s="4">
        <f t="shared" si="47"/>
        <v>4.1000000000000014</v>
      </c>
      <c r="G344" s="4">
        <f t="shared" si="48"/>
        <v>2.0500000000000007</v>
      </c>
      <c r="H344" s="5">
        <f t="shared" si="49"/>
        <v>4.0999996697064507</v>
      </c>
      <c r="I344" s="14">
        <f t="shared" si="50"/>
        <v>748.30607215087218</v>
      </c>
      <c r="J344" s="19">
        <f t="shared" si="51"/>
        <v>859155.82241921988</v>
      </c>
      <c r="K344" s="16">
        <f t="shared" si="52"/>
        <v>0.85079253183131798</v>
      </c>
    </row>
    <row r="345" spans="1:11" x14ac:dyDescent="0.15">
      <c r="A345" s="7">
        <v>39235.556134259263</v>
      </c>
      <c r="B345">
        <v>41.7</v>
      </c>
      <c r="C345" s="6">
        <f t="shared" si="45"/>
        <v>650.00000044237822</v>
      </c>
      <c r="D345" t="str">
        <f t="shared" si="46"/>
        <v/>
      </c>
      <c r="E345">
        <f t="shared" si="53"/>
        <v>39235.556134259263</v>
      </c>
      <c r="F345" s="4">
        <f t="shared" si="47"/>
        <v>4.1000000000000014</v>
      </c>
      <c r="G345" s="4">
        <f t="shared" si="48"/>
        <v>2.0500000000000007</v>
      </c>
      <c r="H345" s="5">
        <f t="shared" si="49"/>
        <v>4.1000009584240633</v>
      </c>
      <c r="I345" s="14">
        <f t="shared" si="50"/>
        <v>748.30630735948012</v>
      </c>
      <c r="J345" s="19">
        <f t="shared" si="51"/>
        <v>859904.12872657937</v>
      </c>
      <c r="K345" s="16">
        <f t="shared" si="52"/>
        <v>0.85153355389182273</v>
      </c>
    </row>
    <row r="346" spans="1:11" x14ac:dyDescent="0.15">
      <c r="A346" s="7">
        <v>39235.556157407409</v>
      </c>
      <c r="B346">
        <v>41.7</v>
      </c>
      <c r="C346" s="6">
        <f t="shared" si="45"/>
        <v>652.00000028125942</v>
      </c>
      <c r="D346" t="str">
        <f t="shared" si="46"/>
        <v/>
      </c>
      <c r="E346">
        <f t="shared" si="53"/>
        <v>39235.556157407409</v>
      </c>
      <c r="F346" s="4">
        <f t="shared" si="47"/>
        <v>4.1000000000000014</v>
      </c>
      <c r="G346" s="4">
        <f t="shared" si="48"/>
        <v>2.0500000000000007</v>
      </c>
      <c r="H346" s="5">
        <f t="shared" si="49"/>
        <v>4.0999996697064507</v>
      </c>
      <c r="I346" s="14">
        <f t="shared" si="50"/>
        <v>748.30607215087218</v>
      </c>
      <c r="J346" s="19">
        <f t="shared" si="51"/>
        <v>860652.43479873019</v>
      </c>
      <c r="K346" s="16">
        <f t="shared" si="52"/>
        <v>0.85227457571940846</v>
      </c>
    </row>
    <row r="347" spans="1:11" x14ac:dyDescent="0.15">
      <c r="A347" s="7">
        <v>39235.556180555555</v>
      </c>
      <c r="B347">
        <v>41.9</v>
      </c>
      <c r="C347" s="6">
        <f t="shared" si="45"/>
        <v>654.00000012014061</v>
      </c>
      <c r="D347" t="str">
        <f t="shared" si="46"/>
        <v/>
      </c>
      <c r="E347">
        <f t="shared" si="53"/>
        <v>39235.556180555555</v>
      </c>
      <c r="F347" s="4">
        <f t="shared" si="47"/>
        <v>4.2999999999999972</v>
      </c>
      <c r="G347" s="4">
        <f t="shared" si="48"/>
        <v>2.1499999999999986</v>
      </c>
      <c r="H347" s="5">
        <f t="shared" si="49"/>
        <v>4.1999996616505078</v>
      </c>
      <c r="I347" s="14">
        <f t="shared" si="50"/>
        <v>766.55743976430756</v>
      </c>
      <c r="J347" s="19">
        <f t="shared" si="51"/>
        <v>861418.99223849445</v>
      </c>
      <c r="K347" s="16">
        <f t="shared" si="52"/>
        <v>0.85303367125010587</v>
      </c>
    </row>
    <row r="348" spans="1:11" x14ac:dyDescent="0.15">
      <c r="A348" s="7">
        <v>39235.556203703702</v>
      </c>
      <c r="B348">
        <v>41.8</v>
      </c>
      <c r="C348" s="6">
        <f t="shared" si="45"/>
        <v>655.99999995902181</v>
      </c>
      <c r="D348" t="str">
        <f t="shared" si="46"/>
        <v/>
      </c>
      <c r="E348">
        <f t="shared" si="53"/>
        <v>39235.556203703702</v>
      </c>
      <c r="F348" s="4">
        <f t="shared" si="47"/>
        <v>4.1999999999999957</v>
      </c>
      <c r="G348" s="4">
        <f t="shared" si="48"/>
        <v>2.0999999999999979</v>
      </c>
      <c r="H348" s="5">
        <f t="shared" si="49"/>
        <v>4.249999657622535</v>
      </c>
      <c r="I348" s="14">
        <f t="shared" si="50"/>
        <v>775.68312357102502</v>
      </c>
      <c r="J348" s="19">
        <f t="shared" si="51"/>
        <v>862194.67536206543</v>
      </c>
      <c r="K348" s="16">
        <f t="shared" si="52"/>
        <v>0.85380180363235936</v>
      </c>
    </row>
    <row r="349" spans="1:11" x14ac:dyDescent="0.15">
      <c r="A349" s="7">
        <v>39235.556226851855</v>
      </c>
      <c r="B349">
        <v>42</v>
      </c>
      <c r="C349" s="6">
        <f t="shared" si="45"/>
        <v>658.00000042654574</v>
      </c>
      <c r="D349" t="str">
        <f t="shared" si="46"/>
        <v/>
      </c>
      <c r="E349">
        <f t="shared" si="53"/>
        <v>39235.556226851855</v>
      </c>
      <c r="F349" s="4">
        <f t="shared" si="47"/>
        <v>4.3999999999999986</v>
      </c>
      <c r="G349" s="4">
        <f t="shared" si="48"/>
        <v>2.1999999999999993</v>
      </c>
      <c r="H349" s="5">
        <f t="shared" si="49"/>
        <v>4.3000010051764521</v>
      </c>
      <c r="I349" s="14">
        <f t="shared" si="50"/>
        <v>784.80905405994167</v>
      </c>
      <c r="J349" s="19">
        <f t="shared" si="51"/>
        <v>862979.48441612534</v>
      </c>
      <c r="K349" s="16">
        <f t="shared" si="52"/>
        <v>0.85457897311044961</v>
      </c>
    </row>
    <row r="350" spans="1:11" x14ac:dyDescent="0.15">
      <c r="A350" s="7">
        <v>39235.556250000001</v>
      </c>
      <c r="B350">
        <v>42.1</v>
      </c>
      <c r="C350" s="6">
        <f t="shared" si="45"/>
        <v>660.00000026542693</v>
      </c>
      <c r="D350" t="str">
        <f t="shared" si="46"/>
        <v/>
      </c>
      <c r="E350">
        <f t="shared" si="53"/>
        <v>39235.556250000001</v>
      </c>
      <c r="F350" s="4">
        <f t="shared" si="47"/>
        <v>4.5</v>
      </c>
      <c r="G350" s="4">
        <f t="shared" si="48"/>
        <v>2.25</v>
      </c>
      <c r="H350" s="5">
        <f t="shared" si="49"/>
        <v>4.4499996415106571</v>
      </c>
      <c r="I350" s="14">
        <f t="shared" si="50"/>
        <v>812.18585879789725</v>
      </c>
      <c r="J350" s="19">
        <f t="shared" si="51"/>
        <v>863791.67027492321</v>
      </c>
      <c r="K350" s="16">
        <f t="shared" si="52"/>
        <v>0.8553832528989268</v>
      </c>
    </row>
    <row r="351" spans="1:11" x14ac:dyDescent="0.15">
      <c r="A351" s="7">
        <v>39235.556273148148</v>
      </c>
      <c r="B351">
        <v>42.1</v>
      </c>
      <c r="C351" s="6">
        <f t="shared" si="45"/>
        <v>662.00000010430813</v>
      </c>
      <c r="D351" t="str">
        <f t="shared" si="46"/>
        <v/>
      </c>
      <c r="E351">
        <f t="shared" si="53"/>
        <v>39235.556273148148</v>
      </c>
      <c r="F351" s="4">
        <f t="shared" si="47"/>
        <v>4.5</v>
      </c>
      <c r="G351" s="4">
        <f t="shared" si="48"/>
        <v>2.25</v>
      </c>
      <c r="H351" s="5">
        <f t="shared" si="49"/>
        <v>4.4999996374826878</v>
      </c>
      <c r="I351" s="14">
        <f t="shared" si="50"/>
        <v>821.3115426046154</v>
      </c>
      <c r="J351" s="19">
        <f t="shared" si="51"/>
        <v>864612.98181752779</v>
      </c>
      <c r="K351" s="16">
        <f t="shared" si="52"/>
        <v>0.85619656953895984</v>
      </c>
    </row>
    <row r="352" spans="1:11" x14ac:dyDescent="0.15">
      <c r="A352" s="7">
        <v>39235.556296296294</v>
      </c>
      <c r="B352">
        <v>42.3</v>
      </c>
      <c r="C352" s="6">
        <f t="shared" si="45"/>
        <v>663.99999994318932</v>
      </c>
      <c r="D352" t="str">
        <f t="shared" si="46"/>
        <v/>
      </c>
      <c r="E352">
        <f t="shared" si="53"/>
        <v>39235.556296296294</v>
      </c>
      <c r="F352" s="4">
        <f t="shared" si="47"/>
        <v>4.6999999999999957</v>
      </c>
      <c r="G352" s="4">
        <f t="shared" si="48"/>
        <v>2.3499999999999979</v>
      </c>
      <c r="H352" s="5">
        <f t="shared" si="49"/>
        <v>4.5999996294267458</v>
      </c>
      <c r="I352" s="14">
        <f t="shared" si="50"/>
        <v>839.562910218051</v>
      </c>
      <c r="J352" s="19">
        <f t="shared" si="51"/>
        <v>865452.54472774582</v>
      </c>
      <c r="K352" s="16">
        <f t="shared" si="52"/>
        <v>0.85702795988210467</v>
      </c>
    </row>
    <row r="353" spans="1:11" x14ac:dyDescent="0.15">
      <c r="A353" s="7">
        <v>39235.556319444448</v>
      </c>
      <c r="B353">
        <v>42.6</v>
      </c>
      <c r="C353" s="6">
        <f t="shared" si="45"/>
        <v>666.00000041071326</v>
      </c>
      <c r="D353" t="str">
        <f t="shared" si="46"/>
        <v/>
      </c>
      <c r="E353">
        <f t="shared" si="53"/>
        <v>39235.556319444448</v>
      </c>
      <c r="F353" s="4">
        <f t="shared" si="47"/>
        <v>5</v>
      </c>
      <c r="G353" s="4">
        <f t="shared" si="48"/>
        <v>2.5</v>
      </c>
      <c r="H353" s="5">
        <f t="shared" si="49"/>
        <v>4.8500011337455344</v>
      </c>
      <c r="I353" s="14">
        <f t="shared" si="50"/>
        <v>885.19160748621357</v>
      </c>
      <c r="J353" s="19">
        <f t="shared" si="51"/>
        <v>866337.73633523204</v>
      </c>
      <c r="K353" s="16">
        <f t="shared" si="52"/>
        <v>0.85790453475855544</v>
      </c>
    </row>
    <row r="354" spans="1:11" x14ac:dyDescent="0.15">
      <c r="A354" s="7">
        <v>39235.556342592594</v>
      </c>
      <c r="B354">
        <v>42.6</v>
      </c>
      <c r="C354" s="6">
        <f t="shared" si="45"/>
        <v>668.00000024959445</v>
      </c>
      <c r="D354" t="str">
        <f t="shared" si="46"/>
        <v/>
      </c>
      <c r="E354">
        <f t="shared" si="53"/>
        <v>39235.556342592594</v>
      </c>
      <c r="F354" s="4">
        <f t="shared" si="47"/>
        <v>5</v>
      </c>
      <c r="G354" s="4">
        <f t="shared" si="48"/>
        <v>2.5</v>
      </c>
      <c r="H354" s="5">
        <f t="shared" si="49"/>
        <v>4.9999995972029865</v>
      </c>
      <c r="I354" s="14">
        <f t="shared" si="50"/>
        <v>912.5683806717949</v>
      </c>
      <c r="J354" s="19">
        <f t="shared" si="51"/>
        <v>867250.30471590383</v>
      </c>
      <c r="K354" s="16">
        <f t="shared" si="52"/>
        <v>0.8588082199141478</v>
      </c>
    </row>
    <row r="355" spans="1:11" x14ac:dyDescent="0.15">
      <c r="A355" s="7">
        <v>39235.55636574074</v>
      </c>
      <c r="B355">
        <v>42.7</v>
      </c>
      <c r="C355" s="6">
        <f t="shared" si="45"/>
        <v>670.00000008847564</v>
      </c>
      <c r="D355" t="str">
        <f t="shared" si="46"/>
        <v/>
      </c>
      <c r="E355">
        <f t="shared" si="53"/>
        <v>39235.55636574074</v>
      </c>
      <c r="F355" s="4">
        <f t="shared" si="47"/>
        <v>5.1000000000000014</v>
      </c>
      <c r="G355" s="4">
        <f t="shared" si="48"/>
        <v>2.5500000000000007</v>
      </c>
      <c r="H355" s="5">
        <f t="shared" si="49"/>
        <v>5.0499995931750172</v>
      </c>
      <c r="I355" s="14">
        <f t="shared" si="50"/>
        <v>921.69406447851304</v>
      </c>
      <c r="J355" s="19">
        <f t="shared" si="51"/>
        <v>868171.99878038233</v>
      </c>
      <c r="K355" s="16">
        <f t="shared" si="52"/>
        <v>0.859720941921296</v>
      </c>
    </row>
    <row r="356" spans="1:11" x14ac:dyDescent="0.15">
      <c r="A356" s="7">
        <v>39235.556388888886</v>
      </c>
      <c r="B356">
        <v>42.8</v>
      </c>
      <c r="C356" s="6">
        <f t="shared" si="45"/>
        <v>671.99999992735684</v>
      </c>
      <c r="D356" t="str">
        <f t="shared" si="46"/>
        <v/>
      </c>
      <c r="E356">
        <f t="shared" si="53"/>
        <v>39235.556388888886</v>
      </c>
      <c r="F356" s="4">
        <f t="shared" si="47"/>
        <v>5.1999999999999957</v>
      </c>
      <c r="G356" s="4">
        <f t="shared" si="48"/>
        <v>2.5999999999999979</v>
      </c>
      <c r="H356" s="5">
        <f t="shared" si="49"/>
        <v>5.1499995851190743</v>
      </c>
      <c r="I356" s="14">
        <f t="shared" si="50"/>
        <v>939.94543209194842</v>
      </c>
      <c r="J356" s="19">
        <f t="shared" si="51"/>
        <v>869111.94421247428</v>
      </c>
      <c r="K356" s="16">
        <f t="shared" si="52"/>
        <v>0.86065173763155611</v>
      </c>
    </row>
    <row r="357" spans="1:11" x14ac:dyDescent="0.15">
      <c r="A357" s="7">
        <v>39235.55641203704</v>
      </c>
      <c r="B357">
        <v>42.6</v>
      </c>
      <c r="C357" s="6">
        <f t="shared" si="45"/>
        <v>674.00000039488077</v>
      </c>
      <c r="D357" t="str">
        <f t="shared" si="46"/>
        <v/>
      </c>
      <c r="E357">
        <f t="shared" si="53"/>
        <v>39235.55641203704</v>
      </c>
      <c r="F357" s="4">
        <f t="shared" si="47"/>
        <v>5</v>
      </c>
      <c r="G357" s="4">
        <f t="shared" si="48"/>
        <v>2.5</v>
      </c>
      <c r="H357" s="5">
        <f t="shared" si="49"/>
        <v>5.100001192186026</v>
      </c>
      <c r="I357" s="14">
        <f t="shared" si="50"/>
        <v>930.82004086179154</v>
      </c>
      <c r="J357" s="19">
        <f t="shared" si="51"/>
        <v>870042.76425333612</v>
      </c>
      <c r="K357" s="16">
        <f t="shared" si="52"/>
        <v>0.86157349677998885</v>
      </c>
    </row>
    <row r="358" spans="1:11" x14ac:dyDescent="0.15">
      <c r="A358" s="7">
        <v>39235.556435185186</v>
      </c>
      <c r="B358">
        <v>42.6</v>
      </c>
      <c r="C358" s="6">
        <f t="shared" si="45"/>
        <v>676.00000023376197</v>
      </c>
      <c r="D358" t="str">
        <f t="shared" si="46"/>
        <v/>
      </c>
      <c r="E358">
        <f t="shared" si="53"/>
        <v>39235.556435185186</v>
      </c>
      <c r="F358" s="4">
        <f t="shared" si="47"/>
        <v>5</v>
      </c>
      <c r="G358" s="4">
        <f t="shared" si="48"/>
        <v>2.5</v>
      </c>
      <c r="H358" s="5">
        <f t="shared" si="49"/>
        <v>4.9999995972029865</v>
      </c>
      <c r="I358" s="14">
        <f t="shared" si="50"/>
        <v>912.5683806717949</v>
      </c>
      <c r="J358" s="19">
        <f t="shared" si="51"/>
        <v>870955.33263400791</v>
      </c>
      <c r="K358" s="16">
        <f t="shared" si="52"/>
        <v>0.86247718193558109</v>
      </c>
    </row>
    <row r="359" spans="1:11" x14ac:dyDescent="0.15">
      <c r="A359" s="7">
        <v>39235.556458333333</v>
      </c>
      <c r="B359">
        <v>42.6</v>
      </c>
      <c r="C359" s="6">
        <f t="shared" si="45"/>
        <v>678.00000007264316</v>
      </c>
      <c r="D359" t="str">
        <f t="shared" si="46"/>
        <v/>
      </c>
      <c r="E359">
        <f t="shared" si="53"/>
        <v>39235.556458333333</v>
      </c>
      <c r="F359" s="4">
        <f t="shared" si="47"/>
        <v>5</v>
      </c>
      <c r="G359" s="4">
        <f t="shared" si="48"/>
        <v>2.5</v>
      </c>
      <c r="H359" s="5">
        <f t="shared" si="49"/>
        <v>4.9999995972029865</v>
      </c>
      <c r="I359" s="14">
        <f t="shared" si="50"/>
        <v>912.5683806717949</v>
      </c>
      <c r="J359" s="19">
        <f t="shared" si="51"/>
        <v>871867.90101467969</v>
      </c>
      <c r="K359" s="16">
        <f t="shared" si="52"/>
        <v>0.86338086709117345</v>
      </c>
    </row>
    <row r="360" spans="1:11" x14ac:dyDescent="0.15">
      <c r="A360" s="7">
        <v>39235.556481481479</v>
      </c>
      <c r="B360">
        <v>42.4</v>
      </c>
      <c r="C360" s="6">
        <f t="shared" ref="C360:C423" si="54">(A360-$B$4)*24*60*60</f>
        <v>679.99999991152436</v>
      </c>
      <c r="D360" t="str">
        <f t="shared" ref="D360:D423" si="55">IF(F360=$B$8,A360,"")</f>
        <v/>
      </c>
      <c r="E360">
        <f t="shared" si="53"/>
        <v>39235.556481481479</v>
      </c>
      <c r="F360" s="4">
        <f t="shared" ref="F360:F423" si="56">IF((B360-$B$6)&gt;0,B360-$B$6,0)</f>
        <v>4.7999999999999972</v>
      </c>
      <c r="G360" s="4">
        <f t="shared" ref="G360:G423" si="57">F360/2</f>
        <v>2.3999999999999986</v>
      </c>
      <c r="H360" s="5">
        <f t="shared" ref="H360:H423" si="58">AVERAGE(G359:G360)*(C360-C359)</f>
        <v>4.899999605258925</v>
      </c>
      <c r="I360" s="14">
        <f t="shared" ref="I360:I423" si="59">H360*$B$14</f>
        <v>894.31701305835873</v>
      </c>
      <c r="J360" s="19">
        <f t="shared" ref="J360:J423" si="60">J359+I360</f>
        <v>872762.21802773804</v>
      </c>
      <c r="K360" s="16">
        <f t="shared" ref="K360:K423" si="61">J360/($B$12*1000)</f>
        <v>0.8642664785436539</v>
      </c>
    </row>
    <row r="361" spans="1:11" x14ac:dyDescent="0.15">
      <c r="A361" s="7">
        <v>39235.556504629632</v>
      </c>
      <c r="B361">
        <v>42.4</v>
      </c>
      <c r="C361" s="6">
        <f t="shared" si="54"/>
        <v>682.00000037904829</v>
      </c>
      <c r="D361" t="str">
        <f t="shared" si="55"/>
        <v/>
      </c>
      <c r="E361">
        <f t="shared" si="53"/>
        <v>39235.556504629632</v>
      </c>
      <c r="F361" s="4">
        <f t="shared" si="56"/>
        <v>4.7999999999999972</v>
      </c>
      <c r="G361" s="4">
        <f t="shared" si="57"/>
        <v>2.3999999999999986</v>
      </c>
      <c r="H361" s="5">
        <f t="shared" si="58"/>
        <v>4.8000011220574352</v>
      </c>
      <c r="I361" s="14">
        <f t="shared" si="59"/>
        <v>876.06592081109773</v>
      </c>
      <c r="J361" s="19">
        <f t="shared" si="60"/>
        <v>873638.28394854919</v>
      </c>
      <c r="K361" s="16">
        <f t="shared" si="61"/>
        <v>0.86513401656570832</v>
      </c>
    </row>
    <row r="362" spans="1:11" x14ac:dyDescent="0.15">
      <c r="A362" s="7">
        <v>39235.556527777779</v>
      </c>
      <c r="B362">
        <v>42</v>
      </c>
      <c r="C362" s="6">
        <f t="shared" si="54"/>
        <v>684.00000021792948</v>
      </c>
      <c r="D362" t="str">
        <f t="shared" si="55"/>
        <v/>
      </c>
      <c r="E362">
        <f t="shared" si="53"/>
        <v>39235.556527777779</v>
      </c>
      <c r="F362" s="4">
        <f t="shared" si="56"/>
        <v>4.3999999999999986</v>
      </c>
      <c r="G362" s="4">
        <f t="shared" si="57"/>
        <v>2.1999999999999993</v>
      </c>
      <c r="H362" s="5">
        <f t="shared" si="58"/>
        <v>4.5999996294267458</v>
      </c>
      <c r="I362" s="14">
        <f t="shared" si="59"/>
        <v>839.562910218051</v>
      </c>
      <c r="J362" s="19">
        <f t="shared" si="60"/>
        <v>874477.84685876721</v>
      </c>
      <c r="K362" s="16">
        <f t="shared" si="61"/>
        <v>0.86596540690885315</v>
      </c>
    </row>
    <row r="363" spans="1:11" x14ac:dyDescent="0.15">
      <c r="A363" s="7">
        <v>39235.556550925925</v>
      </c>
      <c r="B363">
        <v>42</v>
      </c>
      <c r="C363" s="6">
        <f t="shared" si="54"/>
        <v>686.00000005681068</v>
      </c>
      <c r="D363" t="str">
        <f t="shared" si="55"/>
        <v/>
      </c>
      <c r="E363">
        <f t="shared" si="53"/>
        <v>39235.556550925925</v>
      </c>
      <c r="F363" s="4">
        <f t="shared" si="56"/>
        <v>4.3999999999999986</v>
      </c>
      <c r="G363" s="4">
        <f t="shared" si="57"/>
        <v>2.1999999999999993</v>
      </c>
      <c r="H363" s="5">
        <f t="shared" si="58"/>
        <v>4.3999996455386263</v>
      </c>
      <c r="I363" s="14">
        <f t="shared" si="59"/>
        <v>803.06017499117922</v>
      </c>
      <c r="J363" s="19">
        <f t="shared" si="60"/>
        <v>875280.90703375835</v>
      </c>
      <c r="K363" s="16">
        <f t="shared" si="61"/>
        <v>0.86676064984577439</v>
      </c>
    </row>
    <row r="364" spans="1:11" x14ac:dyDescent="0.15">
      <c r="A364" s="7">
        <v>39235.556574074071</v>
      </c>
      <c r="B364">
        <v>41.7</v>
      </c>
      <c r="C364" s="6">
        <f t="shared" si="54"/>
        <v>687.99999989569187</v>
      </c>
      <c r="D364" t="str">
        <f t="shared" si="55"/>
        <v/>
      </c>
      <c r="E364">
        <f t="shared" si="53"/>
        <v>39235.556574074071</v>
      </c>
      <c r="F364" s="4">
        <f t="shared" si="56"/>
        <v>4.1000000000000014</v>
      </c>
      <c r="G364" s="4">
        <f t="shared" si="57"/>
        <v>2.0500000000000007</v>
      </c>
      <c r="H364" s="5">
        <f t="shared" si="58"/>
        <v>4.2499996576225385</v>
      </c>
      <c r="I364" s="14">
        <f t="shared" si="59"/>
        <v>775.6831235710257</v>
      </c>
      <c r="J364" s="19">
        <f t="shared" si="60"/>
        <v>876056.59015732934</v>
      </c>
      <c r="K364" s="16">
        <f t="shared" si="61"/>
        <v>0.86752878222802787</v>
      </c>
    </row>
    <row r="365" spans="1:11" x14ac:dyDescent="0.15">
      <c r="A365" s="7">
        <v>39235.556597222225</v>
      </c>
      <c r="B365">
        <v>41.7</v>
      </c>
      <c r="C365" s="6">
        <f t="shared" si="54"/>
        <v>690.0000003632158</v>
      </c>
      <c r="D365" t="str">
        <f t="shared" si="55"/>
        <v/>
      </c>
      <c r="E365">
        <f t="shared" si="53"/>
        <v>39235.556597222225</v>
      </c>
      <c r="F365" s="4">
        <f t="shared" si="56"/>
        <v>4.1000000000000014</v>
      </c>
      <c r="G365" s="4">
        <f t="shared" si="57"/>
        <v>2.0500000000000007</v>
      </c>
      <c r="H365" s="5">
        <f t="shared" si="58"/>
        <v>4.1000009584240633</v>
      </c>
      <c r="I365" s="14">
        <f t="shared" si="59"/>
        <v>748.30630735948012</v>
      </c>
      <c r="J365" s="19">
        <f t="shared" si="60"/>
        <v>876804.89646468882</v>
      </c>
      <c r="K365" s="16">
        <f t="shared" si="61"/>
        <v>0.86826980428853251</v>
      </c>
    </row>
    <row r="366" spans="1:11" x14ac:dyDescent="0.15">
      <c r="A366" s="7">
        <v>39235.556620370371</v>
      </c>
      <c r="B366">
        <v>41.7</v>
      </c>
      <c r="C366" s="6">
        <f t="shared" si="54"/>
        <v>692.000000202097</v>
      </c>
      <c r="D366" t="str">
        <f t="shared" si="55"/>
        <v/>
      </c>
      <c r="E366">
        <f t="shared" si="53"/>
        <v>39235.556620370371</v>
      </c>
      <c r="F366" s="4">
        <f t="shared" si="56"/>
        <v>4.1000000000000014</v>
      </c>
      <c r="G366" s="4">
        <f t="shared" si="57"/>
        <v>2.0500000000000007</v>
      </c>
      <c r="H366" s="5">
        <f t="shared" si="58"/>
        <v>4.0999996697064507</v>
      </c>
      <c r="I366" s="14">
        <f t="shared" si="59"/>
        <v>748.30607215087218</v>
      </c>
      <c r="J366" s="19">
        <f t="shared" si="60"/>
        <v>877553.20253683964</v>
      </c>
      <c r="K366" s="16">
        <f t="shared" si="61"/>
        <v>0.86901082611611824</v>
      </c>
    </row>
    <row r="367" spans="1:11" x14ac:dyDescent="0.15">
      <c r="A367" s="7">
        <v>39235.556643518517</v>
      </c>
      <c r="B367">
        <v>41.6</v>
      </c>
      <c r="C367" s="6">
        <f t="shared" si="54"/>
        <v>694.00000004097819</v>
      </c>
      <c r="D367" t="str">
        <f t="shared" si="55"/>
        <v/>
      </c>
      <c r="E367">
        <f t="shared" si="53"/>
        <v>39235.556643518517</v>
      </c>
      <c r="F367" s="4">
        <f t="shared" si="56"/>
        <v>4</v>
      </c>
      <c r="G367" s="4">
        <f t="shared" si="57"/>
        <v>2</v>
      </c>
      <c r="H367" s="5">
        <f t="shared" si="58"/>
        <v>4.0499996737344199</v>
      </c>
      <c r="I367" s="14">
        <f t="shared" si="59"/>
        <v>739.18038834415404</v>
      </c>
      <c r="J367" s="19">
        <f t="shared" si="60"/>
        <v>878292.38292518375</v>
      </c>
      <c r="K367" s="16">
        <f t="shared" si="61"/>
        <v>0.8697428110921479</v>
      </c>
    </row>
    <row r="368" spans="1:11" x14ac:dyDescent="0.15">
      <c r="A368" s="7">
        <v>39235.556666666664</v>
      </c>
      <c r="B368">
        <v>41.4</v>
      </c>
      <c r="C368" s="6">
        <f t="shared" si="54"/>
        <v>695.99999987985939</v>
      </c>
      <c r="D368" t="str">
        <f t="shared" si="55"/>
        <v/>
      </c>
      <c r="E368">
        <f t="shared" si="53"/>
        <v>39235.556666666664</v>
      </c>
      <c r="F368" s="4">
        <f t="shared" si="56"/>
        <v>3.7999999999999972</v>
      </c>
      <c r="G368" s="4">
        <f t="shared" si="57"/>
        <v>1.8999999999999986</v>
      </c>
      <c r="H368" s="5">
        <f t="shared" si="58"/>
        <v>3.8999996858183281</v>
      </c>
      <c r="I368" s="14">
        <f t="shared" si="59"/>
        <v>711.80333692399984</v>
      </c>
      <c r="J368" s="19">
        <f t="shared" si="60"/>
        <v>879004.18626210769</v>
      </c>
      <c r="K368" s="16">
        <f t="shared" si="61"/>
        <v>0.87044768551350993</v>
      </c>
    </row>
    <row r="369" spans="1:11" x14ac:dyDescent="0.15">
      <c r="A369" s="7">
        <v>39235.556689814817</v>
      </c>
      <c r="B369">
        <v>41.4</v>
      </c>
      <c r="C369" s="6">
        <f t="shared" si="54"/>
        <v>698.00000034738332</v>
      </c>
      <c r="D369" t="str">
        <f t="shared" si="55"/>
        <v/>
      </c>
      <c r="E369">
        <f t="shared" si="53"/>
        <v>39235.556689814817</v>
      </c>
      <c r="F369" s="4">
        <f t="shared" si="56"/>
        <v>3.7999999999999972</v>
      </c>
      <c r="G369" s="4">
        <f t="shared" si="57"/>
        <v>1.8999999999999986</v>
      </c>
      <c r="H369" s="5">
        <f t="shared" si="58"/>
        <v>3.800000888295469</v>
      </c>
      <c r="I369" s="14">
        <f t="shared" si="59"/>
        <v>693.55218730878562</v>
      </c>
      <c r="J369" s="19">
        <f t="shared" si="60"/>
        <v>879697.73844941647</v>
      </c>
      <c r="K369" s="16">
        <f t="shared" si="61"/>
        <v>0.87113448644763625</v>
      </c>
    </row>
    <row r="370" spans="1:11" x14ac:dyDescent="0.15">
      <c r="A370" s="7">
        <v>39235.556712962964</v>
      </c>
      <c r="B370">
        <v>41.3</v>
      </c>
      <c r="C370" s="6">
        <f t="shared" si="54"/>
        <v>700.00000018626451</v>
      </c>
      <c r="D370" t="str">
        <f t="shared" si="55"/>
        <v/>
      </c>
      <c r="E370">
        <f t="shared" si="53"/>
        <v>39235.556712962964</v>
      </c>
      <c r="F370" s="4">
        <f t="shared" si="56"/>
        <v>3.6999999999999957</v>
      </c>
      <c r="G370" s="4">
        <f t="shared" si="57"/>
        <v>1.8499999999999979</v>
      </c>
      <c r="H370" s="5">
        <f t="shared" si="58"/>
        <v>3.7499996979022363</v>
      </c>
      <c r="I370" s="14">
        <f t="shared" si="59"/>
        <v>684.42628550384552</v>
      </c>
      <c r="J370" s="19">
        <f t="shared" si="60"/>
        <v>880382.16473492037</v>
      </c>
      <c r="K370" s="16">
        <f t="shared" si="61"/>
        <v>0.87181225031433052</v>
      </c>
    </row>
    <row r="371" spans="1:11" x14ac:dyDescent="0.15">
      <c r="A371" s="7">
        <v>39235.55673611111</v>
      </c>
      <c r="B371">
        <v>41.1</v>
      </c>
      <c r="C371" s="6">
        <f t="shared" si="54"/>
        <v>702.00000002514571</v>
      </c>
      <c r="D371" t="str">
        <f t="shared" si="55"/>
        <v/>
      </c>
      <c r="E371">
        <f t="shared" si="53"/>
        <v>39235.55673611111</v>
      </c>
      <c r="F371" s="4">
        <f t="shared" si="56"/>
        <v>3.5</v>
      </c>
      <c r="G371" s="4">
        <f t="shared" si="57"/>
        <v>1.75</v>
      </c>
      <c r="H371" s="5">
        <f t="shared" si="58"/>
        <v>3.599999709986148</v>
      </c>
      <c r="I371" s="14">
        <f t="shared" si="59"/>
        <v>657.04923408369189</v>
      </c>
      <c r="J371" s="19">
        <f t="shared" si="60"/>
        <v>881039.21396900411</v>
      </c>
      <c r="K371" s="16">
        <f t="shared" si="61"/>
        <v>0.87246290362635703</v>
      </c>
    </row>
    <row r="372" spans="1:11" x14ac:dyDescent="0.15">
      <c r="A372" s="7">
        <v>39235.556759259256</v>
      </c>
      <c r="B372">
        <v>41.1</v>
      </c>
      <c r="C372" s="6">
        <f t="shared" si="54"/>
        <v>703.9999998640269</v>
      </c>
      <c r="D372" t="str">
        <f t="shared" si="55"/>
        <v/>
      </c>
      <c r="E372">
        <f t="shared" si="53"/>
        <v>39235.556759259256</v>
      </c>
      <c r="F372" s="4">
        <f t="shared" si="56"/>
        <v>3.5</v>
      </c>
      <c r="G372" s="4">
        <f t="shared" si="57"/>
        <v>1.75</v>
      </c>
      <c r="H372" s="5">
        <f t="shared" si="58"/>
        <v>3.4999997180420905</v>
      </c>
      <c r="I372" s="14">
        <f t="shared" si="59"/>
        <v>638.79786647025639</v>
      </c>
      <c r="J372" s="19">
        <f t="shared" si="60"/>
        <v>881678.0118354744</v>
      </c>
      <c r="K372" s="16">
        <f t="shared" si="61"/>
        <v>0.87309548323527164</v>
      </c>
    </row>
    <row r="373" spans="1:11" x14ac:dyDescent="0.15">
      <c r="A373" s="7">
        <v>39235.55678240741</v>
      </c>
      <c r="B373">
        <v>41</v>
      </c>
      <c r="C373" s="6">
        <f t="shared" si="54"/>
        <v>706.00000033155084</v>
      </c>
      <c r="D373" t="str">
        <f t="shared" si="55"/>
        <v/>
      </c>
      <c r="E373">
        <f t="shared" si="53"/>
        <v>39235.55678240741</v>
      </c>
      <c r="F373" s="4">
        <f t="shared" si="56"/>
        <v>3.3999999999999986</v>
      </c>
      <c r="G373" s="4">
        <f t="shared" si="57"/>
        <v>1.6999999999999993</v>
      </c>
      <c r="H373" s="5">
        <f t="shared" si="58"/>
        <v>3.4500008064787826</v>
      </c>
      <c r="I373" s="14">
        <f t="shared" si="59"/>
        <v>629.67238058297676</v>
      </c>
      <c r="J373" s="19">
        <f t="shared" si="60"/>
        <v>882307.68421605742</v>
      </c>
      <c r="K373" s="16">
        <f t="shared" si="61"/>
        <v>0.87371902618862329</v>
      </c>
    </row>
    <row r="374" spans="1:11" x14ac:dyDescent="0.15">
      <c r="A374" s="7">
        <v>39235.556805555556</v>
      </c>
      <c r="B374">
        <v>40.9</v>
      </c>
      <c r="C374" s="6">
        <f t="shared" si="54"/>
        <v>708.00000017043203</v>
      </c>
      <c r="D374" t="str">
        <f t="shared" si="55"/>
        <v/>
      </c>
      <c r="E374">
        <f t="shared" si="53"/>
        <v>39235.556805555556</v>
      </c>
      <c r="F374" s="4">
        <f t="shared" si="56"/>
        <v>3.2999999999999972</v>
      </c>
      <c r="G374" s="4">
        <f t="shared" si="57"/>
        <v>1.6499999999999986</v>
      </c>
      <c r="H374" s="5">
        <f t="shared" si="58"/>
        <v>3.3499997301259987</v>
      </c>
      <c r="I374" s="14">
        <f t="shared" si="59"/>
        <v>611.42081505010219</v>
      </c>
      <c r="J374" s="19">
        <f t="shared" si="60"/>
        <v>882919.10503110755</v>
      </c>
      <c r="K374" s="16">
        <f t="shared" si="61"/>
        <v>0.87432449524287015</v>
      </c>
    </row>
    <row r="375" spans="1:11" x14ac:dyDescent="0.15">
      <c r="A375" s="7">
        <v>39235.556828703702</v>
      </c>
      <c r="B375">
        <v>41</v>
      </c>
      <c r="C375" s="6">
        <f t="shared" si="54"/>
        <v>710.00000000931323</v>
      </c>
      <c r="D375" t="str">
        <f t="shared" si="55"/>
        <v/>
      </c>
      <c r="E375">
        <f t="shared" si="53"/>
        <v>39235.556828703702</v>
      </c>
      <c r="F375" s="4">
        <f t="shared" si="56"/>
        <v>3.3999999999999986</v>
      </c>
      <c r="G375" s="4">
        <f t="shared" si="57"/>
        <v>1.6999999999999993</v>
      </c>
      <c r="H375" s="5">
        <f t="shared" si="58"/>
        <v>3.3499997301259987</v>
      </c>
      <c r="I375" s="14">
        <f t="shared" si="59"/>
        <v>611.42081505010219</v>
      </c>
      <c r="J375" s="19">
        <f t="shared" si="60"/>
        <v>883530.52584615769</v>
      </c>
      <c r="K375" s="16">
        <f t="shared" si="61"/>
        <v>0.874929964297117</v>
      </c>
    </row>
    <row r="376" spans="1:11" x14ac:dyDescent="0.15">
      <c r="A376" s="7">
        <v>39235.556851851848</v>
      </c>
      <c r="B376">
        <v>40.9</v>
      </c>
      <c r="C376" s="6">
        <f t="shared" si="54"/>
        <v>711.99999984819442</v>
      </c>
      <c r="D376" t="str">
        <f t="shared" si="55"/>
        <v/>
      </c>
      <c r="E376">
        <f t="shared" si="53"/>
        <v>39235.556851851848</v>
      </c>
      <c r="F376" s="4">
        <f t="shared" si="56"/>
        <v>3.2999999999999972</v>
      </c>
      <c r="G376" s="4">
        <f t="shared" si="57"/>
        <v>1.6499999999999986</v>
      </c>
      <c r="H376" s="5">
        <f t="shared" si="58"/>
        <v>3.3499997301259987</v>
      </c>
      <c r="I376" s="14">
        <f t="shared" si="59"/>
        <v>611.42081505010219</v>
      </c>
      <c r="J376" s="19">
        <f t="shared" si="60"/>
        <v>884141.94666120782</v>
      </c>
      <c r="K376" s="16">
        <f t="shared" si="61"/>
        <v>0.87553543335136397</v>
      </c>
    </row>
    <row r="377" spans="1:11" x14ac:dyDescent="0.15">
      <c r="A377" s="7">
        <v>39235.556875000002</v>
      </c>
      <c r="B377">
        <v>40.9</v>
      </c>
      <c r="C377" s="6">
        <f t="shared" si="54"/>
        <v>714.00000031571835</v>
      </c>
      <c r="D377" t="str">
        <f t="shared" si="55"/>
        <v/>
      </c>
      <c r="E377">
        <f t="shared" si="53"/>
        <v>39235.556875000002</v>
      </c>
      <c r="F377" s="4">
        <f t="shared" si="56"/>
        <v>3.2999999999999972</v>
      </c>
      <c r="G377" s="4">
        <f t="shared" si="57"/>
        <v>1.6499999999999986</v>
      </c>
      <c r="H377" s="5">
        <f t="shared" si="58"/>
        <v>3.3000007714144859</v>
      </c>
      <c r="I377" s="14">
        <f t="shared" si="59"/>
        <v>602.29532055762957</v>
      </c>
      <c r="J377" s="19">
        <f t="shared" si="60"/>
        <v>884744.24198176549</v>
      </c>
      <c r="K377" s="16">
        <f t="shared" si="61"/>
        <v>0.87613186574152624</v>
      </c>
    </row>
    <row r="378" spans="1:11" x14ac:dyDescent="0.15">
      <c r="A378" s="7">
        <v>39235.556898148148</v>
      </c>
      <c r="B378">
        <v>40.9</v>
      </c>
      <c r="C378" s="6">
        <f t="shared" si="54"/>
        <v>716.00000015459955</v>
      </c>
      <c r="D378" t="str">
        <f t="shared" si="55"/>
        <v/>
      </c>
      <c r="E378">
        <f t="shared" si="53"/>
        <v>39235.556898148148</v>
      </c>
      <c r="F378" s="4">
        <f t="shared" si="56"/>
        <v>3.2999999999999972</v>
      </c>
      <c r="G378" s="4">
        <f t="shared" si="57"/>
        <v>1.6499999999999986</v>
      </c>
      <c r="H378" s="5">
        <f t="shared" si="58"/>
        <v>3.2999997341539684</v>
      </c>
      <c r="I378" s="14">
        <f t="shared" si="59"/>
        <v>602.29513124338416</v>
      </c>
      <c r="J378" s="19">
        <f t="shared" si="60"/>
        <v>885346.5371130089</v>
      </c>
      <c r="K378" s="16">
        <f t="shared" si="61"/>
        <v>0.87672829794421725</v>
      </c>
    </row>
    <row r="379" spans="1:11" x14ac:dyDescent="0.15">
      <c r="A379" s="7">
        <v>39235.556921296295</v>
      </c>
      <c r="B379">
        <v>40.9</v>
      </c>
      <c r="C379" s="6">
        <f t="shared" si="54"/>
        <v>717.99999999348074</v>
      </c>
      <c r="D379" t="str">
        <f t="shared" si="55"/>
        <v/>
      </c>
      <c r="E379">
        <f t="shared" si="53"/>
        <v>39235.556921296295</v>
      </c>
      <c r="F379" s="4">
        <f t="shared" si="56"/>
        <v>3.2999999999999972</v>
      </c>
      <c r="G379" s="4">
        <f t="shared" si="57"/>
        <v>1.6499999999999986</v>
      </c>
      <c r="H379" s="5">
        <f t="shared" si="58"/>
        <v>3.2999997341539684</v>
      </c>
      <c r="I379" s="14">
        <f t="shared" si="59"/>
        <v>602.29513124338416</v>
      </c>
      <c r="J379" s="19">
        <f t="shared" si="60"/>
        <v>885948.83224425232</v>
      </c>
      <c r="K379" s="16">
        <f t="shared" si="61"/>
        <v>0.87732473014690826</v>
      </c>
    </row>
    <row r="380" spans="1:11" x14ac:dyDescent="0.15">
      <c r="A380" s="7">
        <v>39235.556944444441</v>
      </c>
      <c r="B380">
        <v>40.9</v>
      </c>
      <c r="C380" s="6">
        <f t="shared" si="54"/>
        <v>719.99999983236194</v>
      </c>
      <c r="D380" t="str">
        <f t="shared" si="55"/>
        <v/>
      </c>
      <c r="E380">
        <f t="shared" si="53"/>
        <v>39235.556944444441</v>
      </c>
      <c r="F380" s="4">
        <f t="shared" si="56"/>
        <v>3.2999999999999972</v>
      </c>
      <c r="G380" s="4">
        <f t="shared" si="57"/>
        <v>1.6499999999999986</v>
      </c>
      <c r="H380" s="5">
        <f t="shared" si="58"/>
        <v>3.2999997341539684</v>
      </c>
      <c r="I380" s="14">
        <f t="shared" si="59"/>
        <v>602.29513124338416</v>
      </c>
      <c r="J380" s="19">
        <f t="shared" si="60"/>
        <v>886551.12737549574</v>
      </c>
      <c r="K380" s="16">
        <f t="shared" si="61"/>
        <v>0.87792116234959916</v>
      </c>
    </row>
    <row r="381" spans="1:11" x14ac:dyDescent="0.15">
      <c r="A381" s="7">
        <v>39235.556967592594</v>
      </c>
      <c r="B381">
        <v>40.9</v>
      </c>
      <c r="C381" s="6">
        <f t="shared" si="54"/>
        <v>722.00000029988587</v>
      </c>
      <c r="D381" t="str">
        <f t="shared" si="55"/>
        <v/>
      </c>
      <c r="E381">
        <f t="shared" si="53"/>
        <v>39235.556967592594</v>
      </c>
      <c r="F381" s="4">
        <f t="shared" si="56"/>
        <v>3.2999999999999972</v>
      </c>
      <c r="G381" s="4">
        <f t="shared" si="57"/>
        <v>1.6499999999999986</v>
      </c>
      <c r="H381" s="5">
        <f t="shared" si="58"/>
        <v>3.3000007714144859</v>
      </c>
      <c r="I381" s="14">
        <f t="shared" si="59"/>
        <v>602.29532055762957</v>
      </c>
      <c r="J381" s="19">
        <f t="shared" si="60"/>
        <v>887153.4226960534</v>
      </c>
      <c r="K381" s="16">
        <f t="shared" si="61"/>
        <v>0.87851759473976154</v>
      </c>
    </row>
    <row r="382" spans="1:11" x14ac:dyDescent="0.15">
      <c r="A382" s="7">
        <v>39235.556990740741</v>
      </c>
      <c r="B382">
        <v>40.700000000000003</v>
      </c>
      <c r="C382" s="6">
        <f t="shared" si="54"/>
        <v>724.00000013876706</v>
      </c>
      <c r="D382" t="str">
        <f t="shared" si="55"/>
        <v/>
      </c>
      <c r="E382">
        <f t="shared" si="53"/>
        <v>39235.556990740741</v>
      </c>
      <c r="F382" s="4">
        <f t="shared" si="56"/>
        <v>3.1000000000000014</v>
      </c>
      <c r="G382" s="4">
        <f t="shared" si="57"/>
        <v>1.5500000000000007</v>
      </c>
      <c r="H382" s="5">
        <f t="shared" si="58"/>
        <v>3.1999997422099105</v>
      </c>
      <c r="I382" s="14">
        <f t="shared" si="59"/>
        <v>584.04376362994856</v>
      </c>
      <c r="J382" s="19">
        <f t="shared" si="60"/>
        <v>887737.46645968338</v>
      </c>
      <c r="K382" s="16">
        <f t="shared" si="61"/>
        <v>0.87909595323934064</v>
      </c>
    </row>
    <row r="383" spans="1:11" x14ac:dyDescent="0.15">
      <c r="A383" s="7">
        <v>39235.557013888887</v>
      </c>
      <c r="B383">
        <v>40.9</v>
      </c>
      <c r="C383" s="6">
        <f t="shared" si="54"/>
        <v>725.99999997764826</v>
      </c>
      <c r="D383" t="str">
        <f t="shared" si="55"/>
        <v/>
      </c>
      <c r="E383">
        <f t="shared" si="53"/>
        <v>39235.557013888887</v>
      </c>
      <c r="F383" s="4">
        <f t="shared" si="56"/>
        <v>3.2999999999999972</v>
      </c>
      <c r="G383" s="4">
        <f t="shared" si="57"/>
        <v>1.6499999999999986</v>
      </c>
      <c r="H383" s="5">
        <f t="shared" si="58"/>
        <v>3.1999997422099105</v>
      </c>
      <c r="I383" s="14">
        <f t="shared" si="59"/>
        <v>584.04376362994856</v>
      </c>
      <c r="J383" s="19">
        <f t="shared" si="60"/>
        <v>888321.51022331335</v>
      </c>
      <c r="K383" s="16">
        <f t="shared" si="61"/>
        <v>0.87967431173891975</v>
      </c>
    </row>
    <row r="384" spans="1:11" x14ac:dyDescent="0.15">
      <c r="A384" s="7">
        <v>39235.557037037041</v>
      </c>
      <c r="B384">
        <v>40.700000000000003</v>
      </c>
      <c r="C384" s="6">
        <f t="shared" si="54"/>
        <v>728.00000044517219</v>
      </c>
      <c r="D384" t="str">
        <f t="shared" si="55"/>
        <v/>
      </c>
      <c r="E384">
        <f t="shared" si="53"/>
        <v>39235.557037037041</v>
      </c>
      <c r="F384" s="4">
        <f t="shared" si="56"/>
        <v>3.1000000000000014</v>
      </c>
      <c r="G384" s="4">
        <f t="shared" si="57"/>
        <v>1.5500000000000007</v>
      </c>
      <c r="H384" s="5">
        <f t="shared" si="58"/>
        <v>3.200000748038291</v>
      </c>
      <c r="I384" s="14">
        <f t="shared" si="59"/>
        <v>584.04394720739867</v>
      </c>
      <c r="J384" s="19">
        <f t="shared" si="60"/>
        <v>888905.55417052074</v>
      </c>
      <c r="K384" s="16">
        <f t="shared" si="61"/>
        <v>0.88025267042028932</v>
      </c>
    </row>
    <row r="385" spans="1:11" x14ac:dyDescent="0.15">
      <c r="A385" s="7">
        <v>39235.557060185187</v>
      </c>
      <c r="B385">
        <v>40.9</v>
      </c>
      <c r="C385" s="6">
        <f t="shared" si="54"/>
        <v>730.00000028405339</v>
      </c>
      <c r="D385" t="str">
        <f t="shared" si="55"/>
        <v/>
      </c>
      <c r="E385">
        <f t="shared" si="53"/>
        <v>39235.557060185187</v>
      </c>
      <c r="F385" s="4">
        <f t="shared" si="56"/>
        <v>3.2999999999999972</v>
      </c>
      <c r="G385" s="4">
        <f t="shared" si="57"/>
        <v>1.6499999999999986</v>
      </c>
      <c r="H385" s="5">
        <f t="shared" si="58"/>
        <v>3.1999997422099105</v>
      </c>
      <c r="I385" s="14">
        <f t="shared" si="59"/>
        <v>584.04376362994856</v>
      </c>
      <c r="J385" s="19">
        <f t="shared" si="60"/>
        <v>889489.59793415072</v>
      </c>
      <c r="K385" s="16">
        <f t="shared" si="61"/>
        <v>0.88083102891986842</v>
      </c>
    </row>
    <row r="386" spans="1:11" x14ac:dyDescent="0.15">
      <c r="A386" s="7">
        <v>39235.557083333333</v>
      </c>
      <c r="B386">
        <v>40.700000000000003</v>
      </c>
      <c r="C386" s="6">
        <f t="shared" si="54"/>
        <v>732.00000012293458</v>
      </c>
      <c r="D386" t="str">
        <f t="shared" si="55"/>
        <v/>
      </c>
      <c r="E386">
        <f t="shared" si="53"/>
        <v>39235.557083333333</v>
      </c>
      <c r="F386" s="4">
        <f t="shared" si="56"/>
        <v>3.1000000000000014</v>
      </c>
      <c r="G386" s="4">
        <f t="shared" si="57"/>
        <v>1.5500000000000007</v>
      </c>
      <c r="H386" s="5">
        <f t="shared" si="58"/>
        <v>3.1999997422099105</v>
      </c>
      <c r="I386" s="14">
        <f t="shared" si="59"/>
        <v>584.04376362994856</v>
      </c>
      <c r="J386" s="19">
        <f t="shared" si="60"/>
        <v>890073.64169778069</v>
      </c>
      <c r="K386" s="16">
        <f t="shared" si="61"/>
        <v>0.88140938741944752</v>
      </c>
    </row>
    <row r="387" spans="1:11" x14ac:dyDescent="0.15">
      <c r="A387" s="7">
        <v>39235.557106481479</v>
      </c>
      <c r="B387">
        <v>40.9</v>
      </c>
      <c r="C387" s="6">
        <f t="shared" si="54"/>
        <v>733.99999996181577</v>
      </c>
      <c r="D387" t="str">
        <f t="shared" si="55"/>
        <v/>
      </c>
      <c r="E387">
        <f t="shared" si="53"/>
        <v>39235.557106481479</v>
      </c>
      <c r="F387" s="4">
        <f t="shared" si="56"/>
        <v>3.2999999999999972</v>
      </c>
      <c r="G387" s="4">
        <f t="shared" si="57"/>
        <v>1.6499999999999986</v>
      </c>
      <c r="H387" s="5">
        <f t="shared" si="58"/>
        <v>3.1999997422099105</v>
      </c>
      <c r="I387" s="14">
        <f t="shared" si="59"/>
        <v>584.04376362994856</v>
      </c>
      <c r="J387" s="19">
        <f t="shared" si="60"/>
        <v>890657.68546141067</v>
      </c>
      <c r="K387" s="16">
        <f t="shared" si="61"/>
        <v>0.88198774591902662</v>
      </c>
    </row>
    <row r="388" spans="1:11" x14ac:dyDescent="0.15">
      <c r="A388" s="7">
        <v>39235.557129629633</v>
      </c>
      <c r="B388">
        <v>40.700000000000003</v>
      </c>
      <c r="C388" s="6">
        <f t="shared" si="54"/>
        <v>736.00000042933971</v>
      </c>
      <c r="D388" t="str">
        <f t="shared" si="55"/>
        <v/>
      </c>
      <c r="E388">
        <f t="shared" si="53"/>
        <v>39235.557129629633</v>
      </c>
      <c r="F388" s="4">
        <f t="shared" si="56"/>
        <v>3.1000000000000014</v>
      </c>
      <c r="G388" s="4">
        <f t="shared" si="57"/>
        <v>1.5500000000000007</v>
      </c>
      <c r="H388" s="5">
        <f t="shared" si="58"/>
        <v>3.200000748038291</v>
      </c>
      <c r="I388" s="14">
        <f t="shared" si="59"/>
        <v>584.04394720739867</v>
      </c>
      <c r="J388" s="19">
        <f t="shared" si="60"/>
        <v>891241.72940861806</v>
      </c>
      <c r="K388" s="16">
        <f t="shared" si="61"/>
        <v>0.8825661046003962</v>
      </c>
    </row>
    <row r="389" spans="1:11" x14ac:dyDescent="0.15">
      <c r="A389" s="7">
        <v>39235.557152777779</v>
      </c>
      <c r="B389">
        <v>40.6</v>
      </c>
      <c r="C389" s="6">
        <f t="shared" si="54"/>
        <v>738.0000002682209</v>
      </c>
      <c r="D389" t="str">
        <f t="shared" si="55"/>
        <v/>
      </c>
      <c r="E389">
        <f t="shared" si="53"/>
        <v>39235.557152777779</v>
      </c>
      <c r="F389" s="4">
        <f t="shared" si="56"/>
        <v>3</v>
      </c>
      <c r="G389" s="4">
        <f t="shared" si="57"/>
        <v>1.5</v>
      </c>
      <c r="H389" s="5">
        <f t="shared" si="58"/>
        <v>3.0499997542938226</v>
      </c>
      <c r="I389" s="14">
        <f t="shared" si="59"/>
        <v>556.66671220979504</v>
      </c>
      <c r="J389" s="19">
        <f t="shared" si="60"/>
        <v>891798.39612082788</v>
      </c>
      <c r="K389" s="16">
        <f t="shared" si="61"/>
        <v>0.88311735254530754</v>
      </c>
    </row>
    <row r="390" spans="1:11" x14ac:dyDescent="0.15">
      <c r="A390" s="7">
        <v>39235.557175925926</v>
      </c>
      <c r="B390">
        <v>40.6</v>
      </c>
      <c r="C390" s="6">
        <f t="shared" si="54"/>
        <v>740.0000001071021</v>
      </c>
      <c r="D390" t="str">
        <f t="shared" si="55"/>
        <v/>
      </c>
      <c r="E390">
        <f t="shared" si="53"/>
        <v>39235.557175925926</v>
      </c>
      <c r="F390" s="4">
        <f t="shared" si="56"/>
        <v>3</v>
      </c>
      <c r="G390" s="4">
        <f t="shared" si="57"/>
        <v>1.5</v>
      </c>
      <c r="H390" s="5">
        <f t="shared" si="58"/>
        <v>2.9999997583217919</v>
      </c>
      <c r="I390" s="14">
        <f t="shared" si="59"/>
        <v>547.54102840307689</v>
      </c>
      <c r="J390" s="19">
        <f t="shared" si="60"/>
        <v>892345.93714923097</v>
      </c>
      <c r="K390" s="16">
        <f t="shared" si="61"/>
        <v>0.88365956363866294</v>
      </c>
    </row>
    <row r="391" spans="1:11" x14ac:dyDescent="0.15">
      <c r="A391" s="7">
        <v>39235.557199074072</v>
      </c>
      <c r="B391">
        <v>40.6</v>
      </c>
      <c r="C391" s="6">
        <f t="shared" si="54"/>
        <v>741.99999994598329</v>
      </c>
      <c r="D391" t="str">
        <f t="shared" si="55"/>
        <v/>
      </c>
      <c r="E391">
        <f t="shared" si="53"/>
        <v>39235.557199074072</v>
      </c>
      <c r="F391" s="4">
        <f t="shared" si="56"/>
        <v>3</v>
      </c>
      <c r="G391" s="4">
        <f t="shared" si="57"/>
        <v>1.5</v>
      </c>
      <c r="H391" s="5">
        <f t="shared" si="58"/>
        <v>2.9999997583217919</v>
      </c>
      <c r="I391" s="14">
        <f t="shared" si="59"/>
        <v>547.54102840307689</v>
      </c>
      <c r="J391" s="19">
        <f t="shared" si="60"/>
        <v>892893.47817763407</v>
      </c>
      <c r="K391" s="16">
        <f t="shared" si="61"/>
        <v>0.88420177473201833</v>
      </c>
    </row>
    <row r="392" spans="1:11" x14ac:dyDescent="0.15">
      <c r="A392" s="7">
        <v>39235.557222222225</v>
      </c>
      <c r="B392">
        <v>40.700000000000003</v>
      </c>
      <c r="C392" s="6">
        <f t="shared" si="54"/>
        <v>744.00000041350722</v>
      </c>
      <c r="D392" t="str">
        <f t="shared" si="55"/>
        <v/>
      </c>
      <c r="E392">
        <f t="shared" si="53"/>
        <v>39235.557222222225</v>
      </c>
      <c r="F392" s="4">
        <f t="shared" si="56"/>
        <v>3.1000000000000014</v>
      </c>
      <c r="G392" s="4">
        <f t="shared" si="57"/>
        <v>1.5500000000000007</v>
      </c>
      <c r="H392" s="5">
        <f t="shared" si="58"/>
        <v>3.0500007129739979</v>
      </c>
      <c r="I392" s="14">
        <f t="shared" si="59"/>
        <v>556.66688718205216</v>
      </c>
      <c r="J392" s="19">
        <f t="shared" si="60"/>
        <v>893450.14506481611</v>
      </c>
      <c r="K392" s="16">
        <f t="shared" si="61"/>
        <v>0.88475302285019863</v>
      </c>
    </row>
    <row r="393" spans="1:11" x14ac:dyDescent="0.15">
      <c r="A393" s="7">
        <v>39235.557245370372</v>
      </c>
      <c r="B393">
        <v>40.6</v>
      </c>
      <c r="C393" s="6">
        <f t="shared" si="54"/>
        <v>746.00000025238842</v>
      </c>
      <c r="D393" t="str">
        <f t="shared" si="55"/>
        <v/>
      </c>
      <c r="E393">
        <f t="shared" si="53"/>
        <v>39235.557245370372</v>
      </c>
      <c r="F393" s="4">
        <f t="shared" si="56"/>
        <v>3</v>
      </c>
      <c r="G393" s="4">
        <f t="shared" si="57"/>
        <v>1.5</v>
      </c>
      <c r="H393" s="5">
        <f t="shared" si="58"/>
        <v>3.0499997542938226</v>
      </c>
      <c r="I393" s="14">
        <f t="shared" si="59"/>
        <v>556.66671220979504</v>
      </c>
      <c r="J393" s="19">
        <f t="shared" si="60"/>
        <v>894006.81177702593</v>
      </c>
      <c r="K393" s="16">
        <f t="shared" si="61"/>
        <v>0.88530427079510998</v>
      </c>
    </row>
    <row r="394" spans="1:11" x14ac:dyDescent="0.15">
      <c r="A394" s="7">
        <v>39235.557268518518</v>
      </c>
      <c r="B394">
        <v>40.700000000000003</v>
      </c>
      <c r="C394" s="6">
        <f t="shared" si="54"/>
        <v>748.00000009126961</v>
      </c>
      <c r="D394" t="str">
        <f t="shared" si="55"/>
        <v/>
      </c>
      <c r="E394">
        <f t="shared" si="53"/>
        <v>39235.557268518518</v>
      </c>
      <c r="F394" s="4">
        <f t="shared" si="56"/>
        <v>3.1000000000000014</v>
      </c>
      <c r="G394" s="4">
        <f t="shared" si="57"/>
        <v>1.5500000000000007</v>
      </c>
      <c r="H394" s="5">
        <f t="shared" si="58"/>
        <v>3.0499997542938226</v>
      </c>
      <c r="I394" s="14">
        <f t="shared" si="59"/>
        <v>556.66671220979504</v>
      </c>
      <c r="J394" s="19">
        <f t="shared" si="60"/>
        <v>894563.47848923574</v>
      </c>
      <c r="K394" s="16">
        <f t="shared" si="61"/>
        <v>0.88585551874002133</v>
      </c>
    </row>
    <row r="395" spans="1:11" x14ac:dyDescent="0.15">
      <c r="A395" s="7">
        <v>39235.557291666664</v>
      </c>
      <c r="B395">
        <v>40.9</v>
      </c>
      <c r="C395" s="6">
        <f t="shared" si="54"/>
        <v>749.99999993015081</v>
      </c>
      <c r="D395" t="str">
        <f t="shared" si="55"/>
        <v/>
      </c>
      <c r="E395">
        <f t="shared" si="53"/>
        <v>39235.557291666664</v>
      </c>
      <c r="F395" s="4">
        <f t="shared" si="56"/>
        <v>3.2999999999999972</v>
      </c>
      <c r="G395" s="4">
        <f t="shared" si="57"/>
        <v>1.6499999999999986</v>
      </c>
      <c r="H395" s="5">
        <f t="shared" si="58"/>
        <v>3.1999997422099105</v>
      </c>
      <c r="I395" s="14">
        <f t="shared" si="59"/>
        <v>584.04376362994856</v>
      </c>
      <c r="J395" s="19">
        <f t="shared" si="60"/>
        <v>895147.52225286572</v>
      </c>
      <c r="K395" s="16">
        <f t="shared" si="61"/>
        <v>0.88643387723960043</v>
      </c>
    </row>
    <row r="396" spans="1:11" x14ac:dyDescent="0.15">
      <c r="A396" s="7">
        <v>39235.557314814818</v>
      </c>
      <c r="B396">
        <v>40.9</v>
      </c>
      <c r="C396" s="6">
        <f t="shared" si="54"/>
        <v>752.00000039767474</v>
      </c>
      <c r="D396" t="str">
        <f t="shared" si="55"/>
        <v/>
      </c>
      <c r="E396">
        <f t="shared" si="53"/>
        <v>39235.557314814818</v>
      </c>
      <c r="F396" s="4">
        <f t="shared" si="56"/>
        <v>3.2999999999999972</v>
      </c>
      <c r="G396" s="4">
        <f t="shared" si="57"/>
        <v>1.6499999999999986</v>
      </c>
      <c r="H396" s="5">
        <f t="shared" si="58"/>
        <v>3.3000007714144859</v>
      </c>
      <c r="I396" s="14">
        <f t="shared" si="59"/>
        <v>602.29532055762957</v>
      </c>
      <c r="J396" s="19">
        <f t="shared" si="60"/>
        <v>895749.81757342338</v>
      </c>
      <c r="K396" s="16">
        <f t="shared" si="61"/>
        <v>0.88703030962976281</v>
      </c>
    </row>
    <row r="397" spans="1:11" x14ac:dyDescent="0.15">
      <c r="A397" s="7">
        <v>39235.557337962964</v>
      </c>
      <c r="B397">
        <v>40.9</v>
      </c>
      <c r="C397" s="6">
        <f t="shared" si="54"/>
        <v>754.00000023655593</v>
      </c>
      <c r="D397" t="str">
        <f t="shared" si="55"/>
        <v/>
      </c>
      <c r="E397">
        <f t="shared" si="53"/>
        <v>39235.557337962964</v>
      </c>
      <c r="F397" s="4">
        <f t="shared" si="56"/>
        <v>3.2999999999999972</v>
      </c>
      <c r="G397" s="4">
        <f t="shared" si="57"/>
        <v>1.6499999999999986</v>
      </c>
      <c r="H397" s="5">
        <f t="shared" si="58"/>
        <v>3.2999997341539684</v>
      </c>
      <c r="I397" s="14">
        <f t="shared" si="59"/>
        <v>602.29513124338416</v>
      </c>
      <c r="J397" s="19">
        <f t="shared" si="60"/>
        <v>896352.1127046668</v>
      </c>
      <c r="K397" s="16">
        <f t="shared" si="61"/>
        <v>0.88762674183245382</v>
      </c>
    </row>
    <row r="398" spans="1:11" x14ac:dyDescent="0.15">
      <c r="A398" s="7">
        <v>39235.55736111111</v>
      </c>
      <c r="B398">
        <v>40.9</v>
      </c>
      <c r="C398" s="6">
        <f t="shared" si="54"/>
        <v>756.00000007543713</v>
      </c>
      <c r="D398" t="str">
        <f t="shared" si="55"/>
        <v/>
      </c>
      <c r="E398">
        <f t="shared" si="53"/>
        <v>39235.55736111111</v>
      </c>
      <c r="F398" s="4">
        <f t="shared" si="56"/>
        <v>3.2999999999999972</v>
      </c>
      <c r="G398" s="4">
        <f t="shared" si="57"/>
        <v>1.6499999999999986</v>
      </c>
      <c r="H398" s="5">
        <f t="shared" si="58"/>
        <v>3.2999997341539684</v>
      </c>
      <c r="I398" s="14">
        <f t="shared" si="59"/>
        <v>602.29513124338416</v>
      </c>
      <c r="J398" s="19">
        <f t="shared" si="60"/>
        <v>896954.40783591021</v>
      </c>
      <c r="K398" s="16">
        <f t="shared" si="61"/>
        <v>0.88822317403514472</v>
      </c>
    </row>
    <row r="399" spans="1:11" x14ac:dyDescent="0.15">
      <c r="A399" s="7">
        <v>39235.557384259257</v>
      </c>
      <c r="B399">
        <v>40.9</v>
      </c>
      <c r="C399" s="6">
        <f t="shared" si="54"/>
        <v>757.99999991431832</v>
      </c>
      <c r="D399" t="str">
        <f t="shared" si="55"/>
        <v/>
      </c>
      <c r="E399">
        <f t="shared" si="53"/>
        <v>39235.557384259257</v>
      </c>
      <c r="F399" s="4">
        <f t="shared" si="56"/>
        <v>3.2999999999999972</v>
      </c>
      <c r="G399" s="4">
        <f t="shared" si="57"/>
        <v>1.6499999999999986</v>
      </c>
      <c r="H399" s="5">
        <f t="shared" si="58"/>
        <v>3.2999997341539684</v>
      </c>
      <c r="I399" s="14">
        <f t="shared" si="59"/>
        <v>602.29513124338416</v>
      </c>
      <c r="J399" s="19">
        <f t="shared" si="60"/>
        <v>897556.70296715363</v>
      </c>
      <c r="K399" s="16">
        <f t="shared" si="61"/>
        <v>0.88881960623783574</v>
      </c>
    </row>
    <row r="400" spans="1:11" x14ac:dyDescent="0.15">
      <c r="A400" s="7">
        <v>39235.55740740741</v>
      </c>
      <c r="B400">
        <v>41</v>
      </c>
      <c r="C400" s="6">
        <f t="shared" si="54"/>
        <v>760.00000038184226</v>
      </c>
      <c r="D400" t="str">
        <f t="shared" si="55"/>
        <v/>
      </c>
      <c r="E400">
        <f t="shared" si="53"/>
        <v>39235.55740740741</v>
      </c>
      <c r="F400" s="4">
        <f t="shared" si="56"/>
        <v>3.3999999999999986</v>
      </c>
      <c r="G400" s="4">
        <f t="shared" si="57"/>
        <v>1.6999999999999993</v>
      </c>
      <c r="H400" s="5">
        <f t="shared" si="58"/>
        <v>3.3500007831025846</v>
      </c>
      <c r="I400" s="14">
        <f t="shared" si="59"/>
        <v>611.4210072327453</v>
      </c>
      <c r="J400" s="19">
        <f t="shared" si="60"/>
        <v>898168.12397438637</v>
      </c>
      <c r="K400" s="16">
        <f t="shared" si="61"/>
        <v>0.88942507548239447</v>
      </c>
    </row>
    <row r="401" spans="1:11" x14ac:dyDescent="0.15">
      <c r="A401" s="7">
        <v>39235.557430555556</v>
      </c>
      <c r="B401">
        <v>41</v>
      </c>
      <c r="C401" s="6">
        <f t="shared" si="54"/>
        <v>762.00000022072345</v>
      </c>
      <c r="D401" t="str">
        <f t="shared" si="55"/>
        <v/>
      </c>
      <c r="E401">
        <f t="shared" si="53"/>
        <v>39235.557430555556</v>
      </c>
      <c r="F401" s="4">
        <f t="shared" si="56"/>
        <v>3.3999999999999986</v>
      </c>
      <c r="G401" s="4">
        <f t="shared" si="57"/>
        <v>1.6999999999999993</v>
      </c>
      <c r="H401" s="5">
        <f t="shared" si="58"/>
        <v>3.3999997260980295</v>
      </c>
      <c r="I401" s="14">
        <f t="shared" si="59"/>
        <v>620.54649885682034</v>
      </c>
      <c r="J401" s="19">
        <f t="shared" si="60"/>
        <v>898788.67047324323</v>
      </c>
      <c r="K401" s="16">
        <f t="shared" si="61"/>
        <v>0.89003958138819728</v>
      </c>
    </row>
    <row r="402" spans="1:11" x14ac:dyDescent="0.15">
      <c r="A402" s="7">
        <v>39235.557453703703</v>
      </c>
      <c r="B402">
        <v>41</v>
      </c>
      <c r="C402" s="6">
        <f t="shared" si="54"/>
        <v>764.00000005960464</v>
      </c>
      <c r="D402" t="str">
        <f t="shared" si="55"/>
        <v/>
      </c>
      <c r="E402">
        <f t="shared" si="53"/>
        <v>39235.557453703703</v>
      </c>
      <c r="F402" s="4">
        <f t="shared" si="56"/>
        <v>3.3999999999999986</v>
      </c>
      <c r="G402" s="4">
        <f t="shared" si="57"/>
        <v>1.6999999999999993</v>
      </c>
      <c r="H402" s="5">
        <f t="shared" si="58"/>
        <v>3.3999997260980295</v>
      </c>
      <c r="I402" s="14">
        <f t="shared" si="59"/>
        <v>620.54649885682034</v>
      </c>
      <c r="J402" s="19">
        <f t="shared" si="60"/>
        <v>899409.21697210008</v>
      </c>
      <c r="K402" s="16">
        <f t="shared" si="61"/>
        <v>0.89065408729400009</v>
      </c>
    </row>
    <row r="403" spans="1:11" x14ac:dyDescent="0.15">
      <c r="A403" s="7">
        <v>39235.557476851849</v>
      </c>
      <c r="B403">
        <v>41</v>
      </c>
      <c r="C403" s="6">
        <f t="shared" si="54"/>
        <v>765.99999989848584</v>
      </c>
      <c r="D403" t="str">
        <f t="shared" si="55"/>
        <v/>
      </c>
      <c r="E403">
        <f t="shared" si="53"/>
        <v>39235.557476851849</v>
      </c>
      <c r="F403" s="4">
        <f t="shared" si="56"/>
        <v>3.3999999999999986</v>
      </c>
      <c r="G403" s="4">
        <f t="shared" si="57"/>
        <v>1.6999999999999993</v>
      </c>
      <c r="H403" s="5">
        <f t="shared" si="58"/>
        <v>3.3999997260980295</v>
      </c>
      <c r="I403" s="14">
        <f t="shared" si="59"/>
        <v>620.54649885682034</v>
      </c>
      <c r="J403" s="19">
        <f t="shared" si="60"/>
        <v>900029.76347095694</v>
      </c>
      <c r="K403" s="16">
        <f t="shared" si="61"/>
        <v>0.89126859319980289</v>
      </c>
    </row>
    <row r="404" spans="1:11" x14ac:dyDescent="0.15">
      <c r="A404" s="7">
        <v>39235.557500000003</v>
      </c>
      <c r="B404">
        <v>41</v>
      </c>
      <c r="C404" s="6">
        <f t="shared" si="54"/>
        <v>768.00000036600977</v>
      </c>
      <c r="D404" t="str">
        <f t="shared" si="55"/>
        <v/>
      </c>
      <c r="E404">
        <f t="shared" si="53"/>
        <v>39235.557500000003</v>
      </c>
      <c r="F404" s="4">
        <f t="shared" si="56"/>
        <v>3.3999999999999986</v>
      </c>
      <c r="G404" s="4">
        <f t="shared" si="57"/>
        <v>1.6999999999999993</v>
      </c>
      <c r="H404" s="5">
        <f t="shared" si="58"/>
        <v>3.4000007947906838</v>
      </c>
      <c r="I404" s="14">
        <f t="shared" si="59"/>
        <v>620.54669390786103</v>
      </c>
      <c r="J404" s="19">
        <f t="shared" si="60"/>
        <v>900650.31016486476</v>
      </c>
      <c r="K404" s="16">
        <f t="shared" si="61"/>
        <v>0.89188309929875798</v>
      </c>
    </row>
    <row r="405" spans="1:11" x14ac:dyDescent="0.15">
      <c r="A405" s="7">
        <v>39235.557523148149</v>
      </c>
      <c r="B405">
        <v>41</v>
      </c>
      <c r="C405" s="6">
        <f t="shared" si="54"/>
        <v>770.00000020489097</v>
      </c>
      <c r="D405" t="str">
        <f t="shared" si="55"/>
        <v/>
      </c>
      <c r="E405">
        <f t="shared" ref="E405:E468" si="62">IF(B405-$B$6&gt;0,A405," ")</f>
        <v>39235.557523148149</v>
      </c>
      <c r="F405" s="4">
        <f t="shared" si="56"/>
        <v>3.3999999999999986</v>
      </c>
      <c r="G405" s="4">
        <f t="shared" si="57"/>
        <v>1.6999999999999993</v>
      </c>
      <c r="H405" s="5">
        <f t="shared" si="58"/>
        <v>3.3999997260980295</v>
      </c>
      <c r="I405" s="14">
        <f t="shared" si="59"/>
        <v>620.54649885682034</v>
      </c>
      <c r="J405" s="19">
        <f t="shared" si="60"/>
        <v>901270.85666372161</v>
      </c>
      <c r="K405" s="16">
        <f t="shared" si="61"/>
        <v>0.89249760520456078</v>
      </c>
    </row>
    <row r="406" spans="1:11" x14ac:dyDescent="0.15">
      <c r="A406" s="7">
        <v>39235.557546296295</v>
      </c>
      <c r="B406">
        <v>41</v>
      </c>
      <c r="C406" s="6">
        <f t="shared" si="54"/>
        <v>772.00000004377216</v>
      </c>
      <c r="D406" t="str">
        <f t="shared" si="55"/>
        <v/>
      </c>
      <c r="E406">
        <f t="shared" si="62"/>
        <v>39235.557546296295</v>
      </c>
      <c r="F406" s="4">
        <f t="shared" si="56"/>
        <v>3.3999999999999986</v>
      </c>
      <c r="G406" s="4">
        <f t="shared" si="57"/>
        <v>1.6999999999999993</v>
      </c>
      <c r="H406" s="5">
        <f t="shared" si="58"/>
        <v>3.3999997260980295</v>
      </c>
      <c r="I406" s="14">
        <f t="shared" si="59"/>
        <v>620.54649885682034</v>
      </c>
      <c r="J406" s="19">
        <f t="shared" si="60"/>
        <v>901891.40316257847</v>
      </c>
      <c r="K406" s="16">
        <f t="shared" si="61"/>
        <v>0.89311211111036359</v>
      </c>
    </row>
    <row r="407" spans="1:11" x14ac:dyDescent="0.15">
      <c r="A407" s="7">
        <v>39235.557569444441</v>
      </c>
      <c r="B407">
        <v>41</v>
      </c>
      <c r="C407" s="6">
        <f t="shared" si="54"/>
        <v>773.99999988265336</v>
      </c>
      <c r="D407" t="str">
        <f t="shared" si="55"/>
        <v/>
      </c>
      <c r="E407">
        <f t="shared" si="62"/>
        <v>39235.557569444441</v>
      </c>
      <c r="F407" s="4">
        <f t="shared" si="56"/>
        <v>3.3999999999999986</v>
      </c>
      <c r="G407" s="4">
        <f t="shared" si="57"/>
        <v>1.6999999999999993</v>
      </c>
      <c r="H407" s="5">
        <f t="shared" si="58"/>
        <v>3.3999997260980295</v>
      </c>
      <c r="I407" s="14">
        <f t="shared" si="59"/>
        <v>620.54649885682034</v>
      </c>
      <c r="J407" s="19">
        <f t="shared" si="60"/>
        <v>902511.94966143533</v>
      </c>
      <c r="K407" s="16">
        <f t="shared" si="61"/>
        <v>0.8937266170161664</v>
      </c>
    </row>
    <row r="408" spans="1:11" x14ac:dyDescent="0.15">
      <c r="A408" s="7">
        <v>39235.557592592595</v>
      </c>
      <c r="B408">
        <v>40.9</v>
      </c>
      <c r="C408" s="6">
        <f t="shared" si="54"/>
        <v>776.00000035017729</v>
      </c>
      <c r="D408" t="str">
        <f t="shared" si="55"/>
        <v/>
      </c>
      <c r="E408">
        <f t="shared" si="62"/>
        <v>39235.557592592595</v>
      </c>
      <c r="F408" s="4">
        <f t="shared" si="56"/>
        <v>3.2999999999999972</v>
      </c>
      <c r="G408" s="4">
        <f t="shared" si="57"/>
        <v>1.6499999999999986</v>
      </c>
      <c r="H408" s="5">
        <f t="shared" si="58"/>
        <v>3.3500007831025846</v>
      </c>
      <c r="I408" s="14">
        <f t="shared" si="59"/>
        <v>611.4210072327453</v>
      </c>
      <c r="J408" s="19">
        <f t="shared" si="60"/>
        <v>903123.37066866807</v>
      </c>
      <c r="K408" s="16">
        <f t="shared" si="61"/>
        <v>0.89433208626072513</v>
      </c>
    </row>
    <row r="409" spans="1:11" x14ac:dyDescent="0.15">
      <c r="A409" s="7">
        <v>39235.557615740741</v>
      </c>
      <c r="B409">
        <v>40.9</v>
      </c>
      <c r="C409" s="6">
        <f t="shared" si="54"/>
        <v>778.00000018905848</v>
      </c>
      <c r="D409" t="str">
        <f t="shared" si="55"/>
        <v/>
      </c>
      <c r="E409">
        <f t="shared" si="62"/>
        <v>39235.557615740741</v>
      </c>
      <c r="F409" s="4">
        <f t="shared" si="56"/>
        <v>3.2999999999999972</v>
      </c>
      <c r="G409" s="4">
        <f t="shared" si="57"/>
        <v>1.6499999999999986</v>
      </c>
      <c r="H409" s="5">
        <f t="shared" si="58"/>
        <v>3.2999997341539684</v>
      </c>
      <c r="I409" s="14">
        <f t="shared" si="59"/>
        <v>602.29513124338416</v>
      </c>
      <c r="J409" s="19">
        <f t="shared" si="60"/>
        <v>903725.66579991148</v>
      </c>
      <c r="K409" s="16">
        <f t="shared" si="61"/>
        <v>0.89492851846341614</v>
      </c>
    </row>
    <row r="410" spans="1:11" x14ac:dyDescent="0.15">
      <c r="A410" s="7">
        <v>39235.557638888888</v>
      </c>
      <c r="B410">
        <v>40.9</v>
      </c>
      <c r="C410" s="6">
        <f t="shared" si="54"/>
        <v>780.00000002793968</v>
      </c>
      <c r="D410" t="str">
        <f t="shared" si="55"/>
        <v/>
      </c>
      <c r="E410">
        <f t="shared" si="62"/>
        <v>39235.557638888888</v>
      </c>
      <c r="F410" s="4">
        <f t="shared" si="56"/>
        <v>3.2999999999999972</v>
      </c>
      <c r="G410" s="4">
        <f t="shared" si="57"/>
        <v>1.6499999999999986</v>
      </c>
      <c r="H410" s="5">
        <f t="shared" si="58"/>
        <v>3.2999997341539684</v>
      </c>
      <c r="I410" s="14">
        <f t="shared" si="59"/>
        <v>602.29513124338416</v>
      </c>
      <c r="J410" s="19">
        <f t="shared" si="60"/>
        <v>904327.9609311549</v>
      </c>
      <c r="K410" s="16">
        <f t="shared" si="61"/>
        <v>0.89552495066610704</v>
      </c>
    </row>
    <row r="411" spans="1:11" x14ac:dyDescent="0.15">
      <c r="A411" s="7">
        <v>39235.557662037034</v>
      </c>
      <c r="B411">
        <v>40.9</v>
      </c>
      <c r="C411" s="6">
        <f t="shared" si="54"/>
        <v>781.99999986682087</v>
      </c>
      <c r="D411" t="str">
        <f t="shared" si="55"/>
        <v/>
      </c>
      <c r="E411">
        <f t="shared" si="62"/>
        <v>39235.557662037034</v>
      </c>
      <c r="F411" s="4">
        <f t="shared" si="56"/>
        <v>3.2999999999999972</v>
      </c>
      <c r="G411" s="4">
        <f t="shared" si="57"/>
        <v>1.6499999999999986</v>
      </c>
      <c r="H411" s="5">
        <f t="shared" si="58"/>
        <v>3.2999997341539684</v>
      </c>
      <c r="I411" s="14">
        <f t="shared" si="59"/>
        <v>602.29513124338416</v>
      </c>
      <c r="J411" s="19">
        <f t="shared" si="60"/>
        <v>904930.25606239832</v>
      </c>
      <c r="K411" s="16">
        <f t="shared" si="61"/>
        <v>0.89612138286879806</v>
      </c>
    </row>
    <row r="412" spans="1:11" x14ac:dyDescent="0.15">
      <c r="A412" s="7">
        <v>39235.557685185187</v>
      </c>
      <c r="B412">
        <v>40.9</v>
      </c>
      <c r="C412" s="6">
        <f t="shared" si="54"/>
        <v>784.0000003343448</v>
      </c>
      <c r="D412" t="str">
        <f t="shared" si="55"/>
        <v/>
      </c>
      <c r="E412">
        <f t="shared" si="62"/>
        <v>39235.557685185187</v>
      </c>
      <c r="F412" s="4">
        <f t="shared" si="56"/>
        <v>3.2999999999999972</v>
      </c>
      <c r="G412" s="4">
        <f t="shared" si="57"/>
        <v>1.6499999999999986</v>
      </c>
      <c r="H412" s="5">
        <f t="shared" si="58"/>
        <v>3.3000007714144859</v>
      </c>
      <c r="I412" s="14">
        <f t="shared" si="59"/>
        <v>602.29532055762957</v>
      </c>
      <c r="J412" s="19">
        <f t="shared" si="60"/>
        <v>905532.55138295598</v>
      </c>
      <c r="K412" s="16">
        <f t="shared" si="61"/>
        <v>0.89671781525896044</v>
      </c>
    </row>
    <row r="413" spans="1:11" x14ac:dyDescent="0.15">
      <c r="A413" s="7">
        <v>39235.557708333334</v>
      </c>
      <c r="B413">
        <v>41</v>
      </c>
      <c r="C413" s="6">
        <f t="shared" si="54"/>
        <v>786.000000173226</v>
      </c>
      <c r="D413" t="str">
        <f t="shared" si="55"/>
        <v/>
      </c>
      <c r="E413">
        <f t="shared" si="62"/>
        <v>39235.557708333334</v>
      </c>
      <c r="F413" s="4">
        <f t="shared" si="56"/>
        <v>3.3999999999999986</v>
      </c>
      <c r="G413" s="4">
        <f t="shared" si="57"/>
        <v>1.6999999999999993</v>
      </c>
      <c r="H413" s="5">
        <f t="shared" si="58"/>
        <v>3.3499997301259987</v>
      </c>
      <c r="I413" s="14">
        <f t="shared" si="59"/>
        <v>611.42081505010219</v>
      </c>
      <c r="J413" s="19">
        <f t="shared" si="60"/>
        <v>906143.97219800611</v>
      </c>
      <c r="K413" s="16">
        <f t="shared" si="61"/>
        <v>0.89732328431320729</v>
      </c>
    </row>
    <row r="414" spans="1:11" x14ac:dyDescent="0.15">
      <c r="A414" s="7">
        <v>39235.55773148148</v>
      </c>
      <c r="B414">
        <v>41</v>
      </c>
      <c r="C414" s="6">
        <f t="shared" si="54"/>
        <v>788.00000001210719</v>
      </c>
      <c r="D414" t="str">
        <f t="shared" si="55"/>
        <v/>
      </c>
      <c r="E414">
        <f t="shared" si="62"/>
        <v>39235.55773148148</v>
      </c>
      <c r="F414" s="4">
        <f t="shared" si="56"/>
        <v>3.3999999999999986</v>
      </c>
      <c r="G414" s="4">
        <f t="shared" si="57"/>
        <v>1.6999999999999993</v>
      </c>
      <c r="H414" s="5">
        <f t="shared" si="58"/>
        <v>3.3999997260980295</v>
      </c>
      <c r="I414" s="14">
        <f t="shared" si="59"/>
        <v>620.54649885682034</v>
      </c>
      <c r="J414" s="19">
        <f t="shared" si="60"/>
        <v>906764.51869686297</v>
      </c>
      <c r="K414" s="16">
        <f t="shared" si="61"/>
        <v>0.8979377902190101</v>
      </c>
    </row>
    <row r="415" spans="1:11" x14ac:dyDescent="0.15">
      <c r="A415" s="7">
        <v>39235.557754629626</v>
      </c>
      <c r="B415">
        <v>41</v>
      </c>
      <c r="C415" s="6">
        <f t="shared" si="54"/>
        <v>789.99999985098839</v>
      </c>
      <c r="D415" t="str">
        <f t="shared" si="55"/>
        <v/>
      </c>
      <c r="E415">
        <f t="shared" si="62"/>
        <v>39235.557754629626</v>
      </c>
      <c r="F415" s="4">
        <f t="shared" si="56"/>
        <v>3.3999999999999986</v>
      </c>
      <c r="G415" s="4">
        <f t="shared" si="57"/>
        <v>1.6999999999999993</v>
      </c>
      <c r="H415" s="5">
        <f t="shared" si="58"/>
        <v>3.3999997260980295</v>
      </c>
      <c r="I415" s="14">
        <f t="shared" si="59"/>
        <v>620.54649885682034</v>
      </c>
      <c r="J415" s="19">
        <f t="shared" si="60"/>
        <v>907385.06519571983</v>
      </c>
      <c r="K415" s="16">
        <f t="shared" si="61"/>
        <v>0.89855229612481291</v>
      </c>
    </row>
    <row r="416" spans="1:11" x14ac:dyDescent="0.15">
      <c r="A416" s="7">
        <v>39235.55777777778</v>
      </c>
      <c r="B416">
        <v>40.9</v>
      </c>
      <c r="C416" s="6">
        <f t="shared" si="54"/>
        <v>792.00000031851232</v>
      </c>
      <c r="D416" t="str">
        <f t="shared" si="55"/>
        <v/>
      </c>
      <c r="E416">
        <f t="shared" si="62"/>
        <v>39235.55777777778</v>
      </c>
      <c r="F416" s="4">
        <f t="shared" si="56"/>
        <v>3.2999999999999972</v>
      </c>
      <c r="G416" s="4">
        <f t="shared" si="57"/>
        <v>1.6499999999999986</v>
      </c>
      <c r="H416" s="5">
        <f t="shared" si="58"/>
        <v>3.3500007831025846</v>
      </c>
      <c r="I416" s="14">
        <f t="shared" si="59"/>
        <v>611.4210072327453</v>
      </c>
      <c r="J416" s="19">
        <f t="shared" si="60"/>
        <v>907996.48620295257</v>
      </c>
      <c r="K416" s="16">
        <f t="shared" si="61"/>
        <v>0.89915776536937164</v>
      </c>
    </row>
    <row r="417" spans="1:11" x14ac:dyDescent="0.15">
      <c r="A417" s="7">
        <v>39235.557800925926</v>
      </c>
      <c r="B417">
        <v>41.1</v>
      </c>
      <c r="C417" s="6">
        <f t="shared" si="54"/>
        <v>794.00000015739352</v>
      </c>
      <c r="D417" t="str">
        <f t="shared" si="55"/>
        <v/>
      </c>
      <c r="E417">
        <f t="shared" si="62"/>
        <v>39235.557800925926</v>
      </c>
      <c r="F417" s="4">
        <f t="shared" si="56"/>
        <v>3.5</v>
      </c>
      <c r="G417" s="4">
        <f t="shared" si="57"/>
        <v>1.75</v>
      </c>
      <c r="H417" s="5">
        <f t="shared" si="58"/>
        <v>3.3999997260980295</v>
      </c>
      <c r="I417" s="14">
        <f t="shared" si="59"/>
        <v>620.54649885682034</v>
      </c>
      <c r="J417" s="19">
        <f t="shared" si="60"/>
        <v>908617.03270180942</v>
      </c>
      <c r="K417" s="16">
        <f t="shared" si="61"/>
        <v>0.89977227127517445</v>
      </c>
    </row>
    <row r="418" spans="1:11" x14ac:dyDescent="0.15">
      <c r="A418" s="7">
        <v>39235.557824074072</v>
      </c>
      <c r="B418">
        <v>40.9</v>
      </c>
      <c r="C418" s="6">
        <f t="shared" si="54"/>
        <v>795.99999999627471</v>
      </c>
      <c r="D418" t="str">
        <f t="shared" si="55"/>
        <v/>
      </c>
      <c r="E418">
        <f t="shared" si="62"/>
        <v>39235.557824074072</v>
      </c>
      <c r="F418" s="4">
        <f t="shared" si="56"/>
        <v>3.2999999999999972</v>
      </c>
      <c r="G418" s="4">
        <f t="shared" si="57"/>
        <v>1.6499999999999986</v>
      </c>
      <c r="H418" s="5">
        <f t="shared" si="58"/>
        <v>3.3999997260980295</v>
      </c>
      <c r="I418" s="14">
        <f t="shared" si="59"/>
        <v>620.54649885682034</v>
      </c>
      <c r="J418" s="19">
        <f t="shared" si="60"/>
        <v>909237.57920066628</v>
      </c>
      <c r="K418" s="16">
        <f t="shared" si="61"/>
        <v>0.90038677718097726</v>
      </c>
    </row>
    <row r="419" spans="1:11" x14ac:dyDescent="0.15">
      <c r="A419" s="7">
        <v>39235.557847222219</v>
      </c>
      <c r="B419">
        <v>41</v>
      </c>
      <c r="C419" s="6">
        <f t="shared" si="54"/>
        <v>797.9999998351559</v>
      </c>
      <c r="D419" t="str">
        <f t="shared" si="55"/>
        <v/>
      </c>
      <c r="E419">
        <f t="shared" si="62"/>
        <v>39235.557847222219</v>
      </c>
      <c r="F419" s="4">
        <f t="shared" si="56"/>
        <v>3.3999999999999986</v>
      </c>
      <c r="G419" s="4">
        <f t="shared" si="57"/>
        <v>1.6999999999999993</v>
      </c>
      <c r="H419" s="5">
        <f t="shared" si="58"/>
        <v>3.3499997301259987</v>
      </c>
      <c r="I419" s="14">
        <f t="shared" si="59"/>
        <v>611.42081505010219</v>
      </c>
      <c r="J419" s="19">
        <f t="shared" si="60"/>
        <v>909849.00001571642</v>
      </c>
      <c r="K419" s="16">
        <f t="shared" si="61"/>
        <v>0.90099224623522411</v>
      </c>
    </row>
    <row r="420" spans="1:11" x14ac:dyDescent="0.15">
      <c r="A420" s="7">
        <v>39235.557870370372</v>
      </c>
      <c r="B420">
        <v>41</v>
      </c>
      <c r="C420" s="6">
        <f t="shared" si="54"/>
        <v>800.00000030267984</v>
      </c>
      <c r="D420" t="str">
        <f t="shared" si="55"/>
        <v/>
      </c>
      <c r="E420">
        <f t="shared" si="62"/>
        <v>39235.557870370372</v>
      </c>
      <c r="F420" s="4">
        <f t="shared" si="56"/>
        <v>3.3999999999999986</v>
      </c>
      <c r="G420" s="4">
        <f t="shared" si="57"/>
        <v>1.6999999999999993</v>
      </c>
      <c r="H420" s="5">
        <f t="shared" si="58"/>
        <v>3.4000007947906838</v>
      </c>
      <c r="I420" s="14">
        <f t="shared" si="59"/>
        <v>620.54669390786103</v>
      </c>
      <c r="J420" s="19">
        <f t="shared" si="60"/>
        <v>910469.54670962424</v>
      </c>
      <c r="K420" s="16">
        <f t="shared" si="61"/>
        <v>0.90160675233417931</v>
      </c>
    </row>
    <row r="421" spans="1:11" x14ac:dyDescent="0.15">
      <c r="A421" s="7">
        <v>39235.557893518519</v>
      </c>
      <c r="B421">
        <v>40.9</v>
      </c>
      <c r="C421" s="6">
        <f t="shared" si="54"/>
        <v>802.00000014156103</v>
      </c>
      <c r="D421" t="str">
        <f t="shared" si="55"/>
        <v/>
      </c>
      <c r="E421">
        <f t="shared" si="62"/>
        <v>39235.557893518519</v>
      </c>
      <c r="F421" s="4">
        <f t="shared" si="56"/>
        <v>3.2999999999999972</v>
      </c>
      <c r="G421" s="4">
        <f t="shared" si="57"/>
        <v>1.6499999999999986</v>
      </c>
      <c r="H421" s="5">
        <f t="shared" si="58"/>
        <v>3.3499997301259987</v>
      </c>
      <c r="I421" s="14">
        <f t="shared" si="59"/>
        <v>611.42081505010219</v>
      </c>
      <c r="J421" s="19">
        <f t="shared" si="60"/>
        <v>911080.96752467437</v>
      </c>
      <c r="K421" s="16">
        <f t="shared" si="61"/>
        <v>0.90221222138842616</v>
      </c>
    </row>
    <row r="422" spans="1:11" x14ac:dyDescent="0.15">
      <c r="A422" s="7">
        <v>39235.557916666665</v>
      </c>
      <c r="B422">
        <v>40.9</v>
      </c>
      <c r="C422" s="6">
        <f t="shared" si="54"/>
        <v>803.99999998044223</v>
      </c>
      <c r="D422" t="str">
        <f t="shared" si="55"/>
        <v/>
      </c>
      <c r="E422">
        <f t="shared" si="62"/>
        <v>39235.557916666665</v>
      </c>
      <c r="F422" s="4">
        <f t="shared" si="56"/>
        <v>3.2999999999999972</v>
      </c>
      <c r="G422" s="4">
        <f t="shared" si="57"/>
        <v>1.6499999999999986</v>
      </c>
      <c r="H422" s="5">
        <f t="shared" si="58"/>
        <v>3.2999997341539684</v>
      </c>
      <c r="I422" s="14">
        <f t="shared" si="59"/>
        <v>602.29513124338416</v>
      </c>
      <c r="J422" s="19">
        <f t="shared" si="60"/>
        <v>911683.26265591779</v>
      </c>
      <c r="K422" s="16">
        <f t="shared" si="61"/>
        <v>0.90280865359111706</v>
      </c>
    </row>
    <row r="423" spans="1:11" x14ac:dyDescent="0.15">
      <c r="A423" s="7">
        <v>39235.557939814818</v>
      </c>
      <c r="B423">
        <v>40.9</v>
      </c>
      <c r="C423" s="6">
        <f t="shared" si="54"/>
        <v>806.00000044796616</v>
      </c>
      <c r="D423" t="str">
        <f t="shared" si="55"/>
        <v/>
      </c>
      <c r="E423">
        <f t="shared" si="62"/>
        <v>39235.557939814818</v>
      </c>
      <c r="F423" s="4">
        <f t="shared" si="56"/>
        <v>3.2999999999999972</v>
      </c>
      <c r="G423" s="4">
        <f t="shared" si="57"/>
        <v>1.6499999999999986</v>
      </c>
      <c r="H423" s="5">
        <f t="shared" si="58"/>
        <v>3.3000007714144859</v>
      </c>
      <c r="I423" s="14">
        <f t="shared" si="59"/>
        <v>602.29532055762957</v>
      </c>
      <c r="J423" s="19">
        <f t="shared" si="60"/>
        <v>912285.55797647545</v>
      </c>
      <c r="K423" s="16">
        <f t="shared" si="61"/>
        <v>0.90340508598127944</v>
      </c>
    </row>
    <row r="424" spans="1:11" x14ac:dyDescent="0.15">
      <c r="A424" s="7">
        <v>39235.557962962965</v>
      </c>
      <c r="B424">
        <v>40.9</v>
      </c>
      <c r="C424" s="6">
        <f t="shared" ref="C424:C487" si="63">(A424-$B$4)*24*60*60</f>
        <v>808.00000028684735</v>
      </c>
      <c r="D424" t="str">
        <f t="shared" ref="D424:D487" si="64">IF(F424=$B$8,A424,"")</f>
        <v/>
      </c>
      <c r="E424">
        <f t="shared" si="62"/>
        <v>39235.557962962965</v>
      </c>
      <c r="F424" s="4">
        <f t="shared" ref="F424:F487" si="65">IF((B424-$B$6)&gt;0,B424-$B$6,0)</f>
        <v>3.2999999999999972</v>
      </c>
      <c r="G424" s="4">
        <f t="shared" ref="G424:G487" si="66">F424/2</f>
        <v>1.6499999999999986</v>
      </c>
      <c r="H424" s="5">
        <f t="shared" ref="H424:H487" si="67">AVERAGE(G423:G424)*(C424-C423)</f>
        <v>3.2999997341539684</v>
      </c>
      <c r="I424" s="14">
        <f t="shared" ref="I424:I487" si="68">H424*$B$14</f>
        <v>602.29513124338416</v>
      </c>
      <c r="J424" s="19">
        <f t="shared" ref="J424:J487" si="69">J423+I424</f>
        <v>912887.85310771887</v>
      </c>
      <c r="K424" s="16">
        <f t="shared" ref="K424:K487" si="70">J424/($B$12*1000)</f>
        <v>0.90400151818397045</v>
      </c>
    </row>
    <row r="425" spans="1:11" x14ac:dyDescent="0.15">
      <c r="A425" s="7">
        <v>39235.557986111111</v>
      </c>
      <c r="B425">
        <v>40.700000000000003</v>
      </c>
      <c r="C425" s="6">
        <f t="shared" si="63"/>
        <v>810.00000012572855</v>
      </c>
      <c r="D425" t="str">
        <f t="shared" si="64"/>
        <v/>
      </c>
      <c r="E425">
        <f t="shared" si="62"/>
        <v>39235.557986111111</v>
      </c>
      <c r="F425" s="4">
        <f t="shared" si="65"/>
        <v>3.1000000000000014</v>
      </c>
      <c r="G425" s="4">
        <f t="shared" si="66"/>
        <v>1.5500000000000007</v>
      </c>
      <c r="H425" s="5">
        <f t="shared" si="67"/>
        <v>3.1999997422099105</v>
      </c>
      <c r="I425" s="14">
        <f t="shared" si="68"/>
        <v>584.04376362994856</v>
      </c>
      <c r="J425" s="19">
        <f t="shared" si="69"/>
        <v>913471.89687134884</v>
      </c>
      <c r="K425" s="16">
        <f t="shared" si="70"/>
        <v>0.90457987668354956</v>
      </c>
    </row>
    <row r="426" spans="1:11" x14ac:dyDescent="0.15">
      <c r="A426" s="7">
        <v>39235.558009259257</v>
      </c>
      <c r="B426">
        <v>40.9</v>
      </c>
      <c r="C426" s="6">
        <f t="shared" si="63"/>
        <v>811.99999996460974</v>
      </c>
      <c r="D426" t="str">
        <f t="shared" si="64"/>
        <v/>
      </c>
      <c r="E426">
        <f t="shared" si="62"/>
        <v>39235.558009259257</v>
      </c>
      <c r="F426" s="4">
        <f t="shared" si="65"/>
        <v>3.2999999999999972</v>
      </c>
      <c r="G426" s="4">
        <f t="shared" si="66"/>
        <v>1.6499999999999986</v>
      </c>
      <c r="H426" s="5">
        <f t="shared" si="67"/>
        <v>3.1999997422099105</v>
      </c>
      <c r="I426" s="14">
        <f t="shared" si="68"/>
        <v>584.04376362994856</v>
      </c>
      <c r="J426" s="19">
        <f t="shared" si="69"/>
        <v>914055.94063497882</v>
      </c>
      <c r="K426" s="16">
        <f t="shared" si="70"/>
        <v>0.90515823518312866</v>
      </c>
    </row>
    <row r="427" spans="1:11" x14ac:dyDescent="0.15">
      <c r="A427" s="7">
        <v>39235.558032407411</v>
      </c>
      <c r="B427">
        <v>40.6</v>
      </c>
      <c r="C427" s="6">
        <f t="shared" si="63"/>
        <v>814.00000043213367</v>
      </c>
      <c r="D427" t="str">
        <f t="shared" si="64"/>
        <v/>
      </c>
      <c r="E427">
        <f t="shared" si="62"/>
        <v>39235.558032407411</v>
      </c>
      <c r="F427" s="4">
        <f t="shared" si="65"/>
        <v>3</v>
      </c>
      <c r="G427" s="4">
        <f t="shared" si="66"/>
        <v>1.5</v>
      </c>
      <c r="H427" s="5">
        <f t="shared" si="67"/>
        <v>3.1500007363501923</v>
      </c>
      <c r="I427" s="14">
        <f t="shared" si="68"/>
        <v>574.91826053228294</v>
      </c>
      <c r="J427" s="19">
        <f t="shared" si="69"/>
        <v>914630.85889551113</v>
      </c>
      <c r="K427" s="16">
        <f t="shared" si="70"/>
        <v>0.90572755701010188</v>
      </c>
    </row>
    <row r="428" spans="1:11" x14ac:dyDescent="0.15">
      <c r="A428" s="7">
        <v>39235.558055555557</v>
      </c>
      <c r="B428">
        <v>40.700000000000003</v>
      </c>
      <c r="C428" s="6">
        <f t="shared" si="63"/>
        <v>816.00000027101487</v>
      </c>
      <c r="D428" t="str">
        <f t="shared" si="64"/>
        <v/>
      </c>
      <c r="E428">
        <f t="shared" si="62"/>
        <v>39235.558055555557</v>
      </c>
      <c r="F428" s="4">
        <f t="shared" si="65"/>
        <v>3.1000000000000014</v>
      </c>
      <c r="G428" s="4">
        <f t="shared" si="66"/>
        <v>1.5500000000000007</v>
      </c>
      <c r="H428" s="5">
        <f t="shared" si="67"/>
        <v>3.0499997542938226</v>
      </c>
      <c r="I428" s="14">
        <f t="shared" si="68"/>
        <v>556.66671220979504</v>
      </c>
      <c r="J428" s="19">
        <f t="shared" si="69"/>
        <v>915187.52560772095</v>
      </c>
      <c r="K428" s="16">
        <f t="shared" si="70"/>
        <v>0.90627880495501312</v>
      </c>
    </row>
    <row r="429" spans="1:11" x14ac:dyDescent="0.15">
      <c r="A429" s="7">
        <v>39235.558078703703</v>
      </c>
      <c r="B429">
        <v>40.9</v>
      </c>
      <c r="C429" s="6">
        <f t="shared" si="63"/>
        <v>818.00000010989606</v>
      </c>
      <c r="D429" t="str">
        <f t="shared" si="64"/>
        <v/>
      </c>
      <c r="E429">
        <f t="shared" si="62"/>
        <v>39235.558078703703</v>
      </c>
      <c r="F429" s="4">
        <f t="shared" si="65"/>
        <v>3.2999999999999972</v>
      </c>
      <c r="G429" s="4">
        <f t="shared" si="66"/>
        <v>1.6499999999999986</v>
      </c>
      <c r="H429" s="5">
        <f t="shared" si="67"/>
        <v>3.1999997422099105</v>
      </c>
      <c r="I429" s="14">
        <f t="shared" si="68"/>
        <v>584.04376362994856</v>
      </c>
      <c r="J429" s="19">
        <f t="shared" si="69"/>
        <v>915771.56937135092</v>
      </c>
      <c r="K429" s="16">
        <f t="shared" si="70"/>
        <v>0.90685716345459233</v>
      </c>
    </row>
    <row r="430" spans="1:11" x14ac:dyDescent="0.15">
      <c r="A430" s="7">
        <v>39235.55810185185</v>
      </c>
      <c r="B430">
        <v>40.6</v>
      </c>
      <c r="C430" s="6">
        <f t="shared" si="63"/>
        <v>819.99999994877726</v>
      </c>
      <c r="D430" t="str">
        <f t="shared" si="64"/>
        <v/>
      </c>
      <c r="E430">
        <f t="shared" si="62"/>
        <v>39235.55810185185</v>
      </c>
      <c r="F430" s="4">
        <f t="shared" si="65"/>
        <v>3</v>
      </c>
      <c r="G430" s="4">
        <f t="shared" si="66"/>
        <v>1.5</v>
      </c>
      <c r="H430" s="5">
        <f t="shared" si="67"/>
        <v>3.1499997462378801</v>
      </c>
      <c r="I430" s="14">
        <f t="shared" si="68"/>
        <v>574.91807982323053</v>
      </c>
      <c r="J430" s="19">
        <f t="shared" si="69"/>
        <v>916346.48745117418</v>
      </c>
      <c r="K430" s="16">
        <f t="shared" si="70"/>
        <v>0.90742648510261548</v>
      </c>
    </row>
    <row r="431" spans="1:11" x14ac:dyDescent="0.15">
      <c r="A431" s="7">
        <v>39235.558125000003</v>
      </c>
      <c r="B431">
        <v>40.9</v>
      </c>
      <c r="C431" s="6">
        <f t="shared" si="63"/>
        <v>822.00000041630119</v>
      </c>
      <c r="D431" t="str">
        <f t="shared" si="64"/>
        <v/>
      </c>
      <c r="E431">
        <f t="shared" si="62"/>
        <v>39235.558125000003</v>
      </c>
      <c r="F431" s="4">
        <f t="shared" si="65"/>
        <v>3.2999999999999972</v>
      </c>
      <c r="G431" s="4">
        <f t="shared" si="66"/>
        <v>1.6499999999999986</v>
      </c>
      <c r="H431" s="5">
        <f t="shared" si="67"/>
        <v>3.1500007363501923</v>
      </c>
      <c r="I431" s="14">
        <f t="shared" si="68"/>
        <v>574.91826053228294</v>
      </c>
      <c r="J431" s="19">
        <f t="shared" si="69"/>
        <v>916921.40571170649</v>
      </c>
      <c r="K431" s="16">
        <f t="shared" si="70"/>
        <v>0.90799580692958859</v>
      </c>
    </row>
    <row r="432" spans="1:11" x14ac:dyDescent="0.15">
      <c r="A432" s="7">
        <v>39235.558148148149</v>
      </c>
      <c r="B432">
        <v>40.700000000000003</v>
      </c>
      <c r="C432" s="6">
        <f t="shared" si="63"/>
        <v>824.00000025518239</v>
      </c>
      <c r="D432" t="str">
        <f t="shared" si="64"/>
        <v/>
      </c>
      <c r="E432">
        <f t="shared" si="62"/>
        <v>39235.558148148149</v>
      </c>
      <c r="F432" s="4">
        <f t="shared" si="65"/>
        <v>3.1000000000000014</v>
      </c>
      <c r="G432" s="4">
        <f t="shared" si="66"/>
        <v>1.5500000000000007</v>
      </c>
      <c r="H432" s="5">
        <f t="shared" si="67"/>
        <v>3.1999997422099105</v>
      </c>
      <c r="I432" s="14">
        <f t="shared" si="68"/>
        <v>584.04376362994856</v>
      </c>
      <c r="J432" s="19">
        <f t="shared" si="69"/>
        <v>917505.44947533647</v>
      </c>
      <c r="K432" s="16">
        <f t="shared" si="70"/>
        <v>0.9085741654291678</v>
      </c>
    </row>
    <row r="433" spans="1:11" x14ac:dyDescent="0.15">
      <c r="A433" s="7">
        <v>39235.558171296296</v>
      </c>
      <c r="B433">
        <v>40.9</v>
      </c>
      <c r="C433" s="6">
        <f t="shared" si="63"/>
        <v>826.00000009406358</v>
      </c>
      <c r="D433" t="str">
        <f t="shared" si="64"/>
        <v/>
      </c>
      <c r="E433">
        <f t="shared" si="62"/>
        <v>39235.558171296296</v>
      </c>
      <c r="F433" s="4">
        <f t="shared" si="65"/>
        <v>3.2999999999999972</v>
      </c>
      <c r="G433" s="4">
        <f t="shared" si="66"/>
        <v>1.6499999999999986</v>
      </c>
      <c r="H433" s="5">
        <f t="shared" si="67"/>
        <v>3.1999997422099105</v>
      </c>
      <c r="I433" s="14">
        <f t="shared" si="68"/>
        <v>584.04376362994856</v>
      </c>
      <c r="J433" s="19">
        <f t="shared" si="69"/>
        <v>918089.49323896645</v>
      </c>
      <c r="K433" s="16">
        <f t="shared" si="70"/>
        <v>0.9091525239287469</v>
      </c>
    </row>
    <row r="434" spans="1:11" x14ac:dyDescent="0.15">
      <c r="A434" s="7">
        <v>39235.558194444442</v>
      </c>
      <c r="B434">
        <v>40.700000000000003</v>
      </c>
      <c r="C434" s="6">
        <f t="shared" si="63"/>
        <v>827.99999993294477</v>
      </c>
      <c r="D434" t="str">
        <f t="shared" si="64"/>
        <v/>
      </c>
      <c r="E434">
        <f t="shared" si="62"/>
        <v>39235.558194444442</v>
      </c>
      <c r="F434" s="4">
        <f t="shared" si="65"/>
        <v>3.1000000000000014</v>
      </c>
      <c r="G434" s="4">
        <f t="shared" si="66"/>
        <v>1.5500000000000007</v>
      </c>
      <c r="H434" s="5">
        <f t="shared" si="67"/>
        <v>3.1999997422099105</v>
      </c>
      <c r="I434" s="14">
        <f t="shared" si="68"/>
        <v>584.04376362994856</v>
      </c>
      <c r="J434" s="19">
        <f t="shared" si="69"/>
        <v>918673.53700259642</v>
      </c>
      <c r="K434" s="16">
        <f t="shared" si="70"/>
        <v>0.909730882428326</v>
      </c>
    </row>
    <row r="435" spans="1:11" x14ac:dyDescent="0.15">
      <c r="A435" s="7">
        <v>39235.558217592596</v>
      </c>
      <c r="B435">
        <v>40.700000000000003</v>
      </c>
      <c r="C435" s="6">
        <f t="shared" si="63"/>
        <v>830.00000040046871</v>
      </c>
      <c r="D435" t="str">
        <f t="shared" si="64"/>
        <v/>
      </c>
      <c r="E435">
        <f t="shared" si="62"/>
        <v>39235.558217592596</v>
      </c>
      <c r="F435" s="4">
        <f t="shared" si="65"/>
        <v>3.1000000000000014</v>
      </c>
      <c r="G435" s="4">
        <f t="shared" si="66"/>
        <v>1.5500000000000007</v>
      </c>
      <c r="H435" s="5">
        <f t="shared" si="67"/>
        <v>3.1000007246620966</v>
      </c>
      <c r="I435" s="14">
        <f t="shared" si="68"/>
        <v>565.79257385716789</v>
      </c>
      <c r="J435" s="19">
        <f t="shared" si="69"/>
        <v>919239.32957645354</v>
      </c>
      <c r="K435" s="16">
        <f t="shared" si="70"/>
        <v>0.91029116740090266</v>
      </c>
    </row>
    <row r="436" spans="1:11" x14ac:dyDescent="0.15">
      <c r="A436" s="7">
        <v>39235.558240740742</v>
      </c>
      <c r="B436">
        <v>40.700000000000003</v>
      </c>
      <c r="C436" s="6">
        <f t="shared" si="63"/>
        <v>832.0000002393499</v>
      </c>
      <c r="D436" t="str">
        <f t="shared" si="64"/>
        <v/>
      </c>
      <c r="E436">
        <f t="shared" si="62"/>
        <v>39235.558240740742</v>
      </c>
      <c r="F436" s="4">
        <f t="shared" si="65"/>
        <v>3.1000000000000014</v>
      </c>
      <c r="G436" s="4">
        <f t="shared" si="66"/>
        <v>1.5500000000000007</v>
      </c>
      <c r="H436" s="5">
        <f t="shared" si="67"/>
        <v>3.0999997502658529</v>
      </c>
      <c r="I436" s="14">
        <f t="shared" si="68"/>
        <v>565.79239601651307</v>
      </c>
      <c r="J436" s="19">
        <f t="shared" si="69"/>
        <v>919805.12197247008</v>
      </c>
      <c r="K436" s="16">
        <f t="shared" si="70"/>
        <v>0.91085145219736996</v>
      </c>
    </row>
    <row r="437" spans="1:11" x14ac:dyDescent="0.15">
      <c r="A437" s="7">
        <v>39235.558263888888</v>
      </c>
      <c r="B437">
        <v>40.9</v>
      </c>
      <c r="C437" s="6">
        <f t="shared" si="63"/>
        <v>834.0000000782311</v>
      </c>
      <c r="D437" t="str">
        <f t="shared" si="64"/>
        <v/>
      </c>
      <c r="E437">
        <f t="shared" si="62"/>
        <v>39235.558263888888</v>
      </c>
      <c r="F437" s="4">
        <f t="shared" si="65"/>
        <v>3.2999999999999972</v>
      </c>
      <c r="G437" s="4">
        <f t="shared" si="66"/>
        <v>1.6499999999999986</v>
      </c>
      <c r="H437" s="5">
        <f t="shared" si="67"/>
        <v>3.1999997422099105</v>
      </c>
      <c r="I437" s="14">
        <f t="shared" si="68"/>
        <v>584.04376362994856</v>
      </c>
      <c r="J437" s="19">
        <f t="shared" si="69"/>
        <v>920389.16573610005</v>
      </c>
      <c r="K437" s="16">
        <f t="shared" si="70"/>
        <v>0.91142981069694906</v>
      </c>
    </row>
    <row r="438" spans="1:11" x14ac:dyDescent="0.15">
      <c r="A438" s="7">
        <v>39235.558287037034</v>
      </c>
      <c r="B438">
        <v>40.700000000000003</v>
      </c>
      <c r="C438" s="6">
        <f t="shared" si="63"/>
        <v>835.99999991711229</v>
      </c>
      <c r="D438" t="str">
        <f t="shared" si="64"/>
        <v/>
      </c>
      <c r="E438">
        <f t="shared" si="62"/>
        <v>39235.558287037034</v>
      </c>
      <c r="F438" s="4">
        <f t="shared" si="65"/>
        <v>3.1000000000000014</v>
      </c>
      <c r="G438" s="4">
        <f t="shared" si="66"/>
        <v>1.5500000000000007</v>
      </c>
      <c r="H438" s="5">
        <f t="shared" si="67"/>
        <v>3.1999997422099105</v>
      </c>
      <c r="I438" s="14">
        <f t="shared" si="68"/>
        <v>584.04376362994856</v>
      </c>
      <c r="J438" s="19">
        <f t="shared" si="69"/>
        <v>920973.20949973003</v>
      </c>
      <c r="K438" s="16">
        <f t="shared" si="70"/>
        <v>0.91200816919652816</v>
      </c>
    </row>
    <row r="439" spans="1:11" x14ac:dyDescent="0.15">
      <c r="A439" s="7">
        <v>39235.558310185188</v>
      </c>
      <c r="B439">
        <v>40.6</v>
      </c>
      <c r="C439" s="6">
        <f t="shared" si="63"/>
        <v>838.00000038463622</v>
      </c>
      <c r="D439" t="str">
        <f t="shared" si="64"/>
        <v/>
      </c>
      <c r="E439">
        <f t="shared" si="62"/>
        <v>39235.558310185188</v>
      </c>
      <c r="F439" s="4">
        <f t="shared" si="65"/>
        <v>3</v>
      </c>
      <c r="G439" s="4">
        <f t="shared" si="66"/>
        <v>1.5</v>
      </c>
      <c r="H439" s="5">
        <f t="shared" si="67"/>
        <v>3.0500007129739979</v>
      </c>
      <c r="I439" s="14">
        <f t="shared" si="68"/>
        <v>556.66688718205216</v>
      </c>
      <c r="J439" s="19">
        <f t="shared" si="69"/>
        <v>921529.87638691207</v>
      </c>
      <c r="K439" s="16">
        <f t="shared" si="70"/>
        <v>0.91255941731470847</v>
      </c>
    </row>
    <row r="440" spans="1:11" x14ac:dyDescent="0.15">
      <c r="A440" s="7">
        <v>39235.558333333334</v>
      </c>
      <c r="B440">
        <v>40.6</v>
      </c>
      <c r="C440" s="6">
        <f t="shared" si="63"/>
        <v>840.00000022351742</v>
      </c>
      <c r="D440" t="str">
        <f t="shared" si="64"/>
        <v/>
      </c>
      <c r="E440">
        <f t="shared" si="62"/>
        <v>39235.558333333334</v>
      </c>
      <c r="F440" s="4">
        <f t="shared" si="65"/>
        <v>3</v>
      </c>
      <c r="G440" s="4">
        <f t="shared" si="66"/>
        <v>1.5</v>
      </c>
      <c r="H440" s="5">
        <f t="shared" si="67"/>
        <v>2.9999997583217919</v>
      </c>
      <c r="I440" s="14">
        <f t="shared" si="68"/>
        <v>547.54102840307689</v>
      </c>
      <c r="J440" s="19">
        <f t="shared" si="69"/>
        <v>922077.41741531517</v>
      </c>
      <c r="K440" s="16">
        <f t="shared" si="70"/>
        <v>0.91310162840806386</v>
      </c>
    </row>
    <row r="441" spans="1:11" x14ac:dyDescent="0.15">
      <c r="A441" s="7">
        <v>39235.558356481481</v>
      </c>
      <c r="B441">
        <v>40.700000000000003</v>
      </c>
      <c r="C441" s="6">
        <f t="shared" si="63"/>
        <v>842.00000006239861</v>
      </c>
      <c r="D441" t="str">
        <f t="shared" si="64"/>
        <v/>
      </c>
      <c r="E441">
        <f t="shared" si="62"/>
        <v>39235.558356481481</v>
      </c>
      <c r="F441" s="4">
        <f t="shared" si="65"/>
        <v>3.1000000000000014</v>
      </c>
      <c r="G441" s="4">
        <f t="shared" si="66"/>
        <v>1.5500000000000007</v>
      </c>
      <c r="H441" s="5">
        <f t="shared" si="67"/>
        <v>3.0499997542938226</v>
      </c>
      <c r="I441" s="14">
        <f t="shared" si="68"/>
        <v>556.66671220979504</v>
      </c>
      <c r="J441" s="19">
        <f t="shared" si="69"/>
        <v>922634.08412752498</v>
      </c>
      <c r="K441" s="16">
        <f t="shared" si="70"/>
        <v>0.91365287635297521</v>
      </c>
    </row>
    <row r="442" spans="1:11" x14ac:dyDescent="0.15">
      <c r="A442" s="7">
        <v>39235.558379629627</v>
      </c>
      <c r="B442">
        <v>40.700000000000003</v>
      </c>
      <c r="C442" s="6">
        <f t="shared" si="63"/>
        <v>843.99999990127981</v>
      </c>
      <c r="D442" t="str">
        <f t="shared" si="64"/>
        <v/>
      </c>
      <c r="E442">
        <f t="shared" si="62"/>
        <v>39235.558379629627</v>
      </c>
      <c r="F442" s="4">
        <f t="shared" si="65"/>
        <v>3.1000000000000014</v>
      </c>
      <c r="G442" s="4">
        <f t="shared" si="66"/>
        <v>1.5500000000000007</v>
      </c>
      <c r="H442" s="5">
        <f t="shared" si="67"/>
        <v>3.0999997502658529</v>
      </c>
      <c r="I442" s="14">
        <f t="shared" si="68"/>
        <v>565.79239601651307</v>
      </c>
      <c r="J442" s="19">
        <f t="shared" si="69"/>
        <v>923199.87652354152</v>
      </c>
      <c r="K442" s="16">
        <f t="shared" si="70"/>
        <v>0.91421316114944251</v>
      </c>
    </row>
    <row r="443" spans="1:11" x14ac:dyDescent="0.15">
      <c r="A443" s="7">
        <v>39235.55840277778</v>
      </c>
      <c r="B443">
        <v>40.6</v>
      </c>
      <c r="C443" s="6">
        <f t="shared" si="63"/>
        <v>846.00000036880374</v>
      </c>
      <c r="D443" t="str">
        <f t="shared" si="64"/>
        <v/>
      </c>
      <c r="E443">
        <f t="shared" si="62"/>
        <v>39235.55840277778</v>
      </c>
      <c r="F443" s="4">
        <f t="shared" si="65"/>
        <v>3</v>
      </c>
      <c r="G443" s="4">
        <f t="shared" si="66"/>
        <v>1.5</v>
      </c>
      <c r="H443" s="5">
        <f t="shared" si="67"/>
        <v>3.0500007129739979</v>
      </c>
      <c r="I443" s="14">
        <f t="shared" si="68"/>
        <v>556.66688718205216</v>
      </c>
      <c r="J443" s="19">
        <f t="shared" si="69"/>
        <v>923756.54341072356</v>
      </c>
      <c r="K443" s="16">
        <f t="shared" si="70"/>
        <v>0.91476440926762281</v>
      </c>
    </row>
    <row r="444" spans="1:11" x14ac:dyDescent="0.15">
      <c r="A444" s="7">
        <v>39235.558425925927</v>
      </c>
      <c r="B444">
        <v>40.6</v>
      </c>
      <c r="C444" s="6">
        <f t="shared" si="63"/>
        <v>848.00000020768493</v>
      </c>
      <c r="D444" t="str">
        <f t="shared" si="64"/>
        <v/>
      </c>
      <c r="E444">
        <f t="shared" si="62"/>
        <v>39235.558425925927</v>
      </c>
      <c r="F444" s="4">
        <f t="shared" si="65"/>
        <v>3</v>
      </c>
      <c r="G444" s="4">
        <f t="shared" si="66"/>
        <v>1.5</v>
      </c>
      <c r="H444" s="5">
        <f t="shared" si="67"/>
        <v>2.9999997583217919</v>
      </c>
      <c r="I444" s="14">
        <f t="shared" si="68"/>
        <v>547.54102840307689</v>
      </c>
      <c r="J444" s="19">
        <f t="shared" si="69"/>
        <v>924304.08443912666</v>
      </c>
      <c r="K444" s="16">
        <f t="shared" si="70"/>
        <v>0.91530662036097821</v>
      </c>
    </row>
    <row r="445" spans="1:11" x14ac:dyDescent="0.15">
      <c r="A445" s="7">
        <v>39235.558449074073</v>
      </c>
      <c r="B445">
        <v>40.9</v>
      </c>
      <c r="C445" s="6">
        <f t="shared" si="63"/>
        <v>850.00000004656613</v>
      </c>
      <c r="D445" t="str">
        <f t="shared" si="64"/>
        <v/>
      </c>
      <c r="E445">
        <f t="shared" si="62"/>
        <v>39235.558449074073</v>
      </c>
      <c r="F445" s="4">
        <f t="shared" si="65"/>
        <v>3.2999999999999972</v>
      </c>
      <c r="G445" s="4">
        <f t="shared" si="66"/>
        <v>1.6499999999999986</v>
      </c>
      <c r="H445" s="5">
        <f t="shared" si="67"/>
        <v>3.1499997462378801</v>
      </c>
      <c r="I445" s="14">
        <f t="shared" si="68"/>
        <v>574.91807982323053</v>
      </c>
      <c r="J445" s="19">
        <f t="shared" si="69"/>
        <v>924879.00251894991</v>
      </c>
      <c r="K445" s="16">
        <f t="shared" si="70"/>
        <v>0.91587594200900146</v>
      </c>
    </row>
    <row r="446" spans="1:11" x14ac:dyDescent="0.15">
      <c r="A446" s="7">
        <v>39235.558472222219</v>
      </c>
      <c r="B446">
        <v>40.9</v>
      </c>
      <c r="C446" s="6">
        <f t="shared" si="63"/>
        <v>851.99999988544732</v>
      </c>
      <c r="D446" t="str">
        <f t="shared" si="64"/>
        <v/>
      </c>
      <c r="E446">
        <f t="shared" si="62"/>
        <v>39235.558472222219</v>
      </c>
      <c r="F446" s="4">
        <f t="shared" si="65"/>
        <v>3.2999999999999972</v>
      </c>
      <c r="G446" s="4">
        <f t="shared" si="66"/>
        <v>1.6499999999999986</v>
      </c>
      <c r="H446" s="5">
        <f t="shared" si="67"/>
        <v>3.2999997341539684</v>
      </c>
      <c r="I446" s="14">
        <f t="shared" si="68"/>
        <v>602.29513124338416</v>
      </c>
      <c r="J446" s="19">
        <f t="shared" si="69"/>
        <v>925481.29765019333</v>
      </c>
      <c r="K446" s="16">
        <f t="shared" si="70"/>
        <v>0.91647237421169236</v>
      </c>
    </row>
    <row r="447" spans="1:11" x14ac:dyDescent="0.15">
      <c r="A447" s="7">
        <v>39235.558495370373</v>
      </c>
      <c r="B447">
        <v>40.9</v>
      </c>
      <c r="C447" s="6">
        <f t="shared" si="63"/>
        <v>854.00000035297126</v>
      </c>
      <c r="D447" t="str">
        <f t="shared" si="64"/>
        <v/>
      </c>
      <c r="E447">
        <f t="shared" si="62"/>
        <v>39235.558495370373</v>
      </c>
      <c r="F447" s="4">
        <f t="shared" si="65"/>
        <v>3.2999999999999972</v>
      </c>
      <c r="G447" s="4">
        <f t="shared" si="66"/>
        <v>1.6499999999999986</v>
      </c>
      <c r="H447" s="5">
        <f t="shared" si="67"/>
        <v>3.3000007714144859</v>
      </c>
      <c r="I447" s="14">
        <f t="shared" si="68"/>
        <v>602.29532055762957</v>
      </c>
      <c r="J447" s="19">
        <f t="shared" si="69"/>
        <v>926083.59297075099</v>
      </c>
      <c r="K447" s="16">
        <f t="shared" si="70"/>
        <v>0.91706880660185475</v>
      </c>
    </row>
    <row r="448" spans="1:11" x14ac:dyDescent="0.15">
      <c r="A448" s="7">
        <v>39235.558518518519</v>
      </c>
      <c r="B448">
        <v>40.9</v>
      </c>
      <c r="C448" s="6">
        <f t="shared" si="63"/>
        <v>856.00000019185245</v>
      </c>
      <c r="D448" t="str">
        <f t="shared" si="64"/>
        <v/>
      </c>
      <c r="E448">
        <f t="shared" si="62"/>
        <v>39235.558518518519</v>
      </c>
      <c r="F448" s="4">
        <f t="shared" si="65"/>
        <v>3.2999999999999972</v>
      </c>
      <c r="G448" s="4">
        <f t="shared" si="66"/>
        <v>1.6499999999999986</v>
      </c>
      <c r="H448" s="5">
        <f t="shared" si="67"/>
        <v>3.2999997341539684</v>
      </c>
      <c r="I448" s="14">
        <f t="shared" si="68"/>
        <v>602.29513124338416</v>
      </c>
      <c r="J448" s="19">
        <f t="shared" si="69"/>
        <v>926685.88810199441</v>
      </c>
      <c r="K448" s="16">
        <f t="shared" si="70"/>
        <v>0.91766523880454576</v>
      </c>
    </row>
    <row r="449" spans="1:11" x14ac:dyDescent="0.15">
      <c r="A449" s="7">
        <v>39235.558541666665</v>
      </c>
      <c r="B449">
        <v>40.9</v>
      </c>
      <c r="C449" s="6">
        <f t="shared" si="63"/>
        <v>858.00000003073364</v>
      </c>
      <c r="D449" t="str">
        <f t="shared" si="64"/>
        <v/>
      </c>
      <c r="E449">
        <f t="shared" si="62"/>
        <v>39235.558541666665</v>
      </c>
      <c r="F449" s="4">
        <f t="shared" si="65"/>
        <v>3.2999999999999972</v>
      </c>
      <c r="G449" s="4">
        <f t="shared" si="66"/>
        <v>1.6499999999999986</v>
      </c>
      <c r="H449" s="5">
        <f t="shared" si="67"/>
        <v>3.2999997341539684</v>
      </c>
      <c r="I449" s="14">
        <f t="shared" si="68"/>
        <v>602.29513124338416</v>
      </c>
      <c r="J449" s="19">
        <f t="shared" si="69"/>
        <v>927288.18323323783</v>
      </c>
      <c r="K449" s="16">
        <f t="shared" si="70"/>
        <v>0.91826167100723666</v>
      </c>
    </row>
    <row r="450" spans="1:11" x14ac:dyDescent="0.15">
      <c r="A450" s="7">
        <v>39235.558564814812</v>
      </c>
      <c r="B450">
        <v>40.9</v>
      </c>
      <c r="C450" s="6">
        <f t="shared" si="63"/>
        <v>859.99999986961484</v>
      </c>
      <c r="D450" t="str">
        <f t="shared" si="64"/>
        <v/>
      </c>
      <c r="E450">
        <f t="shared" si="62"/>
        <v>39235.558564814812</v>
      </c>
      <c r="F450" s="4">
        <f t="shared" si="65"/>
        <v>3.2999999999999972</v>
      </c>
      <c r="G450" s="4">
        <f t="shared" si="66"/>
        <v>1.6499999999999986</v>
      </c>
      <c r="H450" s="5">
        <f t="shared" si="67"/>
        <v>3.2999997341539684</v>
      </c>
      <c r="I450" s="14">
        <f t="shared" si="68"/>
        <v>602.29513124338416</v>
      </c>
      <c r="J450" s="19">
        <f t="shared" si="69"/>
        <v>927890.47836448124</v>
      </c>
      <c r="K450" s="16">
        <f t="shared" si="70"/>
        <v>0.91885810320992767</v>
      </c>
    </row>
    <row r="451" spans="1:11" x14ac:dyDescent="0.15">
      <c r="A451" s="7">
        <v>39235.558587962965</v>
      </c>
      <c r="B451">
        <v>40.700000000000003</v>
      </c>
      <c r="C451" s="6">
        <f t="shared" si="63"/>
        <v>862.00000033713877</v>
      </c>
      <c r="D451" t="str">
        <f t="shared" si="64"/>
        <v/>
      </c>
      <c r="E451">
        <f t="shared" si="62"/>
        <v>39235.558587962965</v>
      </c>
      <c r="F451" s="4">
        <f t="shared" si="65"/>
        <v>3.1000000000000014</v>
      </c>
      <c r="G451" s="4">
        <f t="shared" si="66"/>
        <v>1.5500000000000007</v>
      </c>
      <c r="H451" s="5">
        <f t="shared" si="67"/>
        <v>3.200000748038291</v>
      </c>
      <c r="I451" s="14">
        <f t="shared" si="68"/>
        <v>584.04394720739867</v>
      </c>
      <c r="J451" s="19">
        <f t="shared" si="69"/>
        <v>928474.52231168863</v>
      </c>
      <c r="K451" s="16">
        <f t="shared" si="70"/>
        <v>0.91943646189129713</v>
      </c>
    </row>
    <row r="452" spans="1:11" x14ac:dyDescent="0.15">
      <c r="A452" s="7">
        <v>39235.558611111112</v>
      </c>
      <c r="B452">
        <v>40.700000000000003</v>
      </c>
      <c r="C452" s="6">
        <f t="shared" si="63"/>
        <v>864.00000017601997</v>
      </c>
      <c r="D452" t="str">
        <f t="shared" si="64"/>
        <v/>
      </c>
      <c r="E452">
        <f t="shared" si="62"/>
        <v>39235.558611111112</v>
      </c>
      <c r="F452" s="4">
        <f t="shared" si="65"/>
        <v>3.1000000000000014</v>
      </c>
      <c r="G452" s="4">
        <f t="shared" si="66"/>
        <v>1.5500000000000007</v>
      </c>
      <c r="H452" s="5">
        <f t="shared" si="67"/>
        <v>3.0999997502658529</v>
      </c>
      <c r="I452" s="14">
        <f t="shared" si="68"/>
        <v>565.79239601651307</v>
      </c>
      <c r="J452" s="19">
        <f t="shared" si="69"/>
        <v>929040.31470770517</v>
      </c>
      <c r="K452" s="16">
        <f t="shared" si="70"/>
        <v>0.91999674668776443</v>
      </c>
    </row>
    <row r="453" spans="1:11" x14ac:dyDescent="0.15">
      <c r="A453" s="7">
        <v>39235.558634259258</v>
      </c>
      <c r="B453">
        <v>40.4</v>
      </c>
      <c r="C453" s="6">
        <f t="shared" si="63"/>
        <v>866.00000001490116</v>
      </c>
      <c r="D453" t="str">
        <f t="shared" si="64"/>
        <v/>
      </c>
      <c r="E453">
        <f t="shared" si="62"/>
        <v>39235.558634259258</v>
      </c>
      <c r="F453" s="4">
        <f t="shared" si="65"/>
        <v>2.7999999999999972</v>
      </c>
      <c r="G453" s="4">
        <f t="shared" si="66"/>
        <v>1.3999999999999986</v>
      </c>
      <c r="H453" s="5">
        <f t="shared" si="67"/>
        <v>2.9499997623497611</v>
      </c>
      <c r="I453" s="14">
        <f t="shared" si="68"/>
        <v>538.41534459635886</v>
      </c>
      <c r="J453" s="19">
        <f t="shared" si="69"/>
        <v>929578.73005230154</v>
      </c>
      <c r="K453" s="16">
        <f t="shared" si="70"/>
        <v>0.92052992092956398</v>
      </c>
    </row>
    <row r="454" spans="1:11" x14ac:dyDescent="0.15">
      <c r="A454" s="7">
        <v>39235.558657407404</v>
      </c>
      <c r="B454">
        <v>40.6</v>
      </c>
      <c r="C454" s="6">
        <f t="shared" si="63"/>
        <v>867.99999985378236</v>
      </c>
      <c r="D454" t="str">
        <f t="shared" si="64"/>
        <v/>
      </c>
      <c r="E454">
        <f t="shared" si="62"/>
        <v>39235.558657407404</v>
      </c>
      <c r="F454" s="4">
        <f t="shared" si="65"/>
        <v>3</v>
      </c>
      <c r="G454" s="4">
        <f t="shared" si="66"/>
        <v>1.5</v>
      </c>
      <c r="H454" s="5">
        <f t="shared" si="67"/>
        <v>2.8999997663777308</v>
      </c>
      <c r="I454" s="14">
        <f t="shared" si="68"/>
        <v>529.28966078964083</v>
      </c>
      <c r="J454" s="19">
        <f t="shared" si="69"/>
        <v>930108.0197130912</v>
      </c>
      <c r="K454" s="16">
        <f t="shared" si="70"/>
        <v>0.92105405831980747</v>
      </c>
    </row>
    <row r="455" spans="1:11" x14ac:dyDescent="0.15">
      <c r="A455" s="7">
        <v>39235.558680555558</v>
      </c>
      <c r="B455">
        <v>40.6</v>
      </c>
      <c r="C455" s="6">
        <f t="shared" si="63"/>
        <v>870.00000032130629</v>
      </c>
      <c r="D455" t="str">
        <f t="shared" si="64"/>
        <v/>
      </c>
      <c r="E455">
        <f t="shared" si="62"/>
        <v>39235.558680555558</v>
      </c>
      <c r="F455" s="4">
        <f t="shared" si="65"/>
        <v>3</v>
      </c>
      <c r="G455" s="4">
        <f t="shared" si="66"/>
        <v>1.5</v>
      </c>
      <c r="H455" s="5">
        <f t="shared" si="67"/>
        <v>3.0000007012858987</v>
      </c>
      <c r="I455" s="14">
        <f t="shared" si="68"/>
        <v>547.54120050693643</v>
      </c>
      <c r="J455" s="19">
        <f t="shared" si="69"/>
        <v>930655.56091359816</v>
      </c>
      <c r="K455" s="16">
        <f t="shared" si="70"/>
        <v>0.92159626958359142</v>
      </c>
    </row>
    <row r="456" spans="1:11" x14ac:dyDescent="0.15">
      <c r="A456" s="7">
        <v>39235.558703703704</v>
      </c>
      <c r="B456">
        <v>40.4</v>
      </c>
      <c r="C456" s="6">
        <f t="shared" si="63"/>
        <v>872.00000016018748</v>
      </c>
      <c r="D456" t="str">
        <f t="shared" si="64"/>
        <v/>
      </c>
      <c r="E456">
        <f t="shared" si="62"/>
        <v>39235.558703703704</v>
      </c>
      <c r="F456" s="4">
        <f t="shared" si="65"/>
        <v>2.7999999999999972</v>
      </c>
      <c r="G456" s="4">
        <f t="shared" si="66"/>
        <v>1.3999999999999986</v>
      </c>
      <c r="H456" s="5">
        <f t="shared" si="67"/>
        <v>2.8999997663777308</v>
      </c>
      <c r="I456" s="14">
        <f t="shared" si="68"/>
        <v>529.28966078964083</v>
      </c>
      <c r="J456" s="19">
        <f t="shared" si="69"/>
        <v>931184.85057438782</v>
      </c>
      <c r="K456" s="16">
        <f t="shared" si="70"/>
        <v>0.92212040697383502</v>
      </c>
    </row>
    <row r="457" spans="1:11" x14ac:dyDescent="0.15">
      <c r="A457" s="7">
        <v>39235.55872685185</v>
      </c>
      <c r="B457">
        <v>40.4</v>
      </c>
      <c r="C457" s="6">
        <f t="shared" si="63"/>
        <v>873.99999999906868</v>
      </c>
      <c r="D457" t="str">
        <f t="shared" si="64"/>
        <v/>
      </c>
      <c r="E457">
        <f t="shared" si="62"/>
        <v>39235.55872685185</v>
      </c>
      <c r="F457" s="4">
        <f t="shared" si="65"/>
        <v>2.7999999999999972</v>
      </c>
      <c r="G457" s="4">
        <f t="shared" si="66"/>
        <v>1.3999999999999986</v>
      </c>
      <c r="H457" s="5">
        <f t="shared" si="67"/>
        <v>2.7999997744336698</v>
      </c>
      <c r="I457" s="14">
        <f t="shared" si="68"/>
        <v>511.03829317620466</v>
      </c>
      <c r="J457" s="19">
        <f t="shared" si="69"/>
        <v>931695.88886756403</v>
      </c>
      <c r="K457" s="16">
        <f t="shared" si="70"/>
        <v>0.9226264706609667</v>
      </c>
    </row>
    <row r="458" spans="1:11" x14ac:dyDescent="0.15">
      <c r="A458" s="7">
        <v>39235.558749999997</v>
      </c>
      <c r="B458">
        <v>40.4</v>
      </c>
      <c r="C458" s="6">
        <f t="shared" si="63"/>
        <v>875.99999983794987</v>
      </c>
      <c r="D458" t="str">
        <f t="shared" si="64"/>
        <v/>
      </c>
      <c r="E458">
        <f t="shared" si="62"/>
        <v>39235.558749999997</v>
      </c>
      <c r="F458" s="4">
        <f t="shared" si="65"/>
        <v>2.7999999999999972</v>
      </c>
      <c r="G458" s="4">
        <f t="shared" si="66"/>
        <v>1.3999999999999986</v>
      </c>
      <c r="H458" s="5">
        <f t="shared" si="67"/>
        <v>2.7999997744336698</v>
      </c>
      <c r="I458" s="14">
        <f t="shared" si="68"/>
        <v>511.03829317620466</v>
      </c>
      <c r="J458" s="19">
        <f t="shared" si="69"/>
        <v>932206.92716074025</v>
      </c>
      <c r="K458" s="16">
        <f t="shared" si="70"/>
        <v>0.92313253434809839</v>
      </c>
    </row>
    <row r="459" spans="1:11" x14ac:dyDescent="0.15">
      <c r="A459" s="7">
        <v>39235.55877314815</v>
      </c>
      <c r="B459">
        <v>40.299999999999997</v>
      </c>
      <c r="C459" s="6">
        <f t="shared" si="63"/>
        <v>878.0000003054738</v>
      </c>
      <c r="D459" t="str">
        <f t="shared" si="64"/>
        <v/>
      </c>
      <c r="E459">
        <f t="shared" si="62"/>
        <v>39235.55877314815</v>
      </c>
      <c r="F459" s="4">
        <f t="shared" si="65"/>
        <v>2.6999999999999957</v>
      </c>
      <c r="G459" s="4">
        <f t="shared" si="66"/>
        <v>1.3499999999999979</v>
      </c>
      <c r="H459" s="5">
        <f t="shared" si="67"/>
        <v>2.7500006428454036</v>
      </c>
      <c r="I459" s="14">
        <f t="shared" si="68"/>
        <v>501.91276713135773</v>
      </c>
      <c r="J459" s="19">
        <f t="shared" si="69"/>
        <v>932708.8399278716</v>
      </c>
      <c r="K459" s="16">
        <f t="shared" si="70"/>
        <v>0.92362956133990037</v>
      </c>
    </row>
    <row r="460" spans="1:11" x14ac:dyDescent="0.15">
      <c r="A460" s="7">
        <v>39235.558796296296</v>
      </c>
      <c r="B460">
        <v>40.200000000000003</v>
      </c>
      <c r="C460" s="6">
        <f t="shared" si="63"/>
        <v>880.000000144355</v>
      </c>
      <c r="D460" t="str">
        <f t="shared" si="64"/>
        <v/>
      </c>
      <c r="E460">
        <f t="shared" si="62"/>
        <v>39235.558796296296</v>
      </c>
      <c r="F460" s="4">
        <f t="shared" si="65"/>
        <v>2.6000000000000014</v>
      </c>
      <c r="G460" s="4">
        <f t="shared" si="66"/>
        <v>1.3000000000000007</v>
      </c>
      <c r="H460" s="5">
        <f t="shared" si="67"/>
        <v>2.6499997865175815</v>
      </c>
      <c r="I460" s="14">
        <f t="shared" si="68"/>
        <v>483.66124175605108</v>
      </c>
      <c r="J460" s="19">
        <f t="shared" si="69"/>
        <v>933192.50116962765</v>
      </c>
      <c r="K460" s="16">
        <f t="shared" si="70"/>
        <v>0.92410851447236431</v>
      </c>
    </row>
    <row r="461" spans="1:11" x14ac:dyDescent="0.15">
      <c r="A461" s="7">
        <v>39235.558819444443</v>
      </c>
      <c r="B461">
        <v>40.1</v>
      </c>
      <c r="C461" s="6">
        <f t="shared" si="63"/>
        <v>881.99999998323619</v>
      </c>
      <c r="D461" t="str">
        <f t="shared" si="64"/>
        <v/>
      </c>
      <c r="E461">
        <f t="shared" si="62"/>
        <v>39235.558819444443</v>
      </c>
      <c r="F461" s="4">
        <f t="shared" si="65"/>
        <v>2.5</v>
      </c>
      <c r="G461" s="4">
        <f t="shared" si="66"/>
        <v>1.25</v>
      </c>
      <c r="H461" s="5">
        <f t="shared" si="67"/>
        <v>2.549999794573524</v>
      </c>
      <c r="I461" s="14">
        <f t="shared" si="68"/>
        <v>465.40987414261554</v>
      </c>
      <c r="J461" s="19">
        <f t="shared" si="69"/>
        <v>933657.91104377026</v>
      </c>
      <c r="K461" s="16">
        <f t="shared" si="70"/>
        <v>0.92456939390171644</v>
      </c>
    </row>
    <row r="462" spans="1:11" x14ac:dyDescent="0.15">
      <c r="A462" s="7">
        <v>39235.558842592596</v>
      </c>
      <c r="B462">
        <v>40.1</v>
      </c>
      <c r="C462" s="6">
        <f t="shared" si="63"/>
        <v>884.00000045076013</v>
      </c>
      <c r="D462" t="str">
        <f t="shared" si="64"/>
        <v/>
      </c>
      <c r="E462">
        <f t="shared" si="62"/>
        <v>39235.558842592596</v>
      </c>
      <c r="F462" s="4">
        <f t="shared" si="65"/>
        <v>2.5</v>
      </c>
      <c r="G462" s="4">
        <f t="shared" si="66"/>
        <v>1.25</v>
      </c>
      <c r="H462" s="5">
        <f t="shared" si="67"/>
        <v>2.5000005844049156</v>
      </c>
      <c r="I462" s="14">
        <f t="shared" si="68"/>
        <v>456.28433375578032</v>
      </c>
      <c r="J462" s="19">
        <f t="shared" si="69"/>
        <v>934114.19537752599</v>
      </c>
      <c r="K462" s="16">
        <f t="shared" si="70"/>
        <v>0.92502123662153624</v>
      </c>
    </row>
    <row r="463" spans="1:11" x14ac:dyDescent="0.15">
      <c r="A463" s="7">
        <v>39235.558865740742</v>
      </c>
      <c r="B463">
        <v>40.200000000000003</v>
      </c>
      <c r="C463" s="6">
        <f t="shared" si="63"/>
        <v>886.00000028964132</v>
      </c>
      <c r="D463" t="str">
        <f t="shared" si="64"/>
        <v/>
      </c>
      <c r="E463">
        <f t="shared" si="62"/>
        <v>39235.558865740742</v>
      </c>
      <c r="F463" s="4">
        <f t="shared" si="65"/>
        <v>2.6000000000000014</v>
      </c>
      <c r="G463" s="4">
        <f t="shared" si="66"/>
        <v>1.3000000000000007</v>
      </c>
      <c r="H463" s="5">
        <f t="shared" si="67"/>
        <v>2.549999794573524</v>
      </c>
      <c r="I463" s="14">
        <f t="shared" si="68"/>
        <v>465.40987414261554</v>
      </c>
      <c r="J463" s="19">
        <f t="shared" si="69"/>
        <v>934579.6052516686</v>
      </c>
      <c r="K463" s="16">
        <f t="shared" si="70"/>
        <v>0.92548211605088837</v>
      </c>
    </row>
    <row r="464" spans="1:11" x14ac:dyDescent="0.15">
      <c r="A464" s="7">
        <v>39235.558888888889</v>
      </c>
      <c r="B464">
        <v>40</v>
      </c>
      <c r="C464" s="6">
        <f t="shared" si="63"/>
        <v>888.00000012852252</v>
      </c>
      <c r="D464" t="str">
        <f t="shared" si="64"/>
        <v/>
      </c>
      <c r="E464">
        <f t="shared" si="62"/>
        <v>39235.558888888889</v>
      </c>
      <c r="F464" s="4">
        <f t="shared" si="65"/>
        <v>2.3999999999999986</v>
      </c>
      <c r="G464" s="4">
        <f t="shared" si="66"/>
        <v>1.1999999999999993</v>
      </c>
      <c r="H464" s="5">
        <f t="shared" si="67"/>
        <v>2.4999997986014932</v>
      </c>
      <c r="I464" s="14">
        <f t="shared" si="68"/>
        <v>456.28419033589745</v>
      </c>
      <c r="J464" s="19">
        <f t="shared" si="69"/>
        <v>935035.8894420045</v>
      </c>
      <c r="K464" s="16">
        <f t="shared" si="70"/>
        <v>0.92593395862868455</v>
      </c>
    </row>
    <row r="465" spans="1:11" x14ac:dyDescent="0.15">
      <c r="A465" s="7">
        <v>39235.558912037035</v>
      </c>
      <c r="B465">
        <v>40</v>
      </c>
      <c r="C465" s="6">
        <f t="shared" si="63"/>
        <v>889.99999996740371</v>
      </c>
      <c r="D465" t="str">
        <f t="shared" si="64"/>
        <v/>
      </c>
      <c r="E465">
        <f t="shared" si="62"/>
        <v>39235.558912037035</v>
      </c>
      <c r="F465" s="4">
        <f t="shared" si="65"/>
        <v>2.3999999999999986</v>
      </c>
      <c r="G465" s="4">
        <f t="shared" si="66"/>
        <v>1.1999999999999993</v>
      </c>
      <c r="H465" s="5">
        <f t="shared" si="67"/>
        <v>2.3999998066574322</v>
      </c>
      <c r="I465" s="14">
        <f t="shared" si="68"/>
        <v>438.03282272246133</v>
      </c>
      <c r="J465" s="19">
        <f t="shared" si="69"/>
        <v>935473.92226472695</v>
      </c>
      <c r="K465" s="16">
        <f t="shared" si="70"/>
        <v>0.92636772750336882</v>
      </c>
    </row>
    <row r="466" spans="1:11" x14ac:dyDescent="0.15">
      <c r="A466" s="7">
        <v>39235.558935185189</v>
      </c>
      <c r="B466">
        <v>40</v>
      </c>
      <c r="C466" s="6">
        <f t="shared" si="63"/>
        <v>892.00000043492764</v>
      </c>
      <c r="D466" t="str">
        <f t="shared" si="64"/>
        <v/>
      </c>
      <c r="E466">
        <f t="shared" si="62"/>
        <v>39235.558935185189</v>
      </c>
      <c r="F466" s="4">
        <f t="shared" si="65"/>
        <v>2.3999999999999986</v>
      </c>
      <c r="G466" s="4">
        <f t="shared" si="66"/>
        <v>1.1999999999999993</v>
      </c>
      <c r="H466" s="5">
        <f t="shared" si="67"/>
        <v>2.4000005610287176</v>
      </c>
      <c r="I466" s="14">
        <f t="shared" si="68"/>
        <v>438.03296040554886</v>
      </c>
      <c r="J466" s="19">
        <f t="shared" si="69"/>
        <v>935911.95522513252</v>
      </c>
      <c r="K466" s="16">
        <f t="shared" si="70"/>
        <v>0.92680149651439603</v>
      </c>
    </row>
    <row r="467" spans="1:11" x14ac:dyDescent="0.15">
      <c r="A467" s="7">
        <v>39235.558958333335</v>
      </c>
      <c r="B467">
        <v>39.9</v>
      </c>
      <c r="C467" s="6">
        <f t="shared" si="63"/>
        <v>894.00000027380884</v>
      </c>
      <c r="D467" t="str">
        <f t="shared" si="64"/>
        <v/>
      </c>
      <c r="E467">
        <f t="shared" si="62"/>
        <v>39235.558958333335</v>
      </c>
      <c r="F467" s="4">
        <f t="shared" si="65"/>
        <v>2.2999999999999972</v>
      </c>
      <c r="G467" s="4">
        <f t="shared" si="66"/>
        <v>1.1499999999999986</v>
      </c>
      <c r="H467" s="5">
        <f t="shared" si="67"/>
        <v>2.3499998106854014</v>
      </c>
      <c r="I467" s="14">
        <f t="shared" si="68"/>
        <v>428.90713891574319</v>
      </c>
      <c r="J467" s="19">
        <f t="shared" si="69"/>
        <v>936340.86236404825</v>
      </c>
      <c r="K467" s="16">
        <f t="shared" si="70"/>
        <v>0.92722622853752434</v>
      </c>
    </row>
    <row r="468" spans="1:11" x14ac:dyDescent="0.15">
      <c r="A468" s="7">
        <v>39235.558981481481</v>
      </c>
      <c r="B468">
        <v>39.9</v>
      </c>
      <c r="C468" s="6">
        <f t="shared" si="63"/>
        <v>896.00000011269003</v>
      </c>
      <c r="D468" t="str">
        <f t="shared" si="64"/>
        <v/>
      </c>
      <c r="E468">
        <f t="shared" si="62"/>
        <v>39235.558981481481</v>
      </c>
      <c r="F468" s="4">
        <f t="shared" si="65"/>
        <v>2.2999999999999972</v>
      </c>
      <c r="G468" s="4">
        <f t="shared" si="66"/>
        <v>1.1499999999999986</v>
      </c>
      <c r="H468" s="5">
        <f t="shared" si="67"/>
        <v>2.2999998147133711</v>
      </c>
      <c r="I468" s="14">
        <f t="shared" si="68"/>
        <v>419.78145510902516</v>
      </c>
      <c r="J468" s="19">
        <f t="shared" si="69"/>
        <v>936760.64381915727</v>
      </c>
      <c r="K468" s="16">
        <f t="shared" si="70"/>
        <v>0.92764192370909682</v>
      </c>
    </row>
    <row r="469" spans="1:11" x14ac:dyDescent="0.15">
      <c r="A469" s="7">
        <v>39235.559004629627</v>
      </c>
      <c r="B469">
        <v>40</v>
      </c>
      <c r="C469" s="6">
        <f t="shared" si="63"/>
        <v>897.99999995157123</v>
      </c>
      <c r="D469" t="str">
        <f t="shared" si="64"/>
        <v/>
      </c>
      <c r="E469">
        <f t="shared" ref="E469:E532" si="71">IF(B469-$B$6&gt;0,A469," ")</f>
        <v>39235.559004629627</v>
      </c>
      <c r="F469" s="4">
        <f t="shared" si="65"/>
        <v>2.3999999999999986</v>
      </c>
      <c r="G469" s="4">
        <f t="shared" si="66"/>
        <v>1.1999999999999993</v>
      </c>
      <c r="H469" s="5">
        <f t="shared" si="67"/>
        <v>2.3499998106854014</v>
      </c>
      <c r="I469" s="14">
        <f t="shared" si="68"/>
        <v>428.90713891574319</v>
      </c>
      <c r="J469" s="19">
        <f t="shared" si="69"/>
        <v>937189.550958073</v>
      </c>
      <c r="K469" s="16">
        <f t="shared" si="70"/>
        <v>0.92806665573222524</v>
      </c>
    </row>
    <row r="470" spans="1:11" x14ac:dyDescent="0.15">
      <c r="A470" s="7">
        <v>39235.559027777781</v>
      </c>
      <c r="B470">
        <v>40</v>
      </c>
      <c r="C470" s="6">
        <f t="shared" si="63"/>
        <v>900.00000041909516</v>
      </c>
      <c r="D470" t="str">
        <f t="shared" si="64"/>
        <v/>
      </c>
      <c r="E470">
        <f t="shared" si="71"/>
        <v>39235.559027777781</v>
      </c>
      <c r="F470" s="4">
        <f t="shared" si="65"/>
        <v>2.3999999999999986</v>
      </c>
      <c r="G470" s="4">
        <f t="shared" si="66"/>
        <v>1.1999999999999993</v>
      </c>
      <c r="H470" s="5">
        <f t="shared" si="67"/>
        <v>2.4000005610287176</v>
      </c>
      <c r="I470" s="14">
        <f t="shared" si="68"/>
        <v>438.03296040554886</v>
      </c>
      <c r="J470" s="19">
        <f t="shared" si="69"/>
        <v>937627.58391847857</v>
      </c>
      <c r="K470" s="16">
        <f t="shared" si="70"/>
        <v>0.92850042474325245</v>
      </c>
    </row>
    <row r="471" spans="1:11" x14ac:dyDescent="0.15">
      <c r="A471" s="7">
        <v>39235.559050925927</v>
      </c>
      <c r="B471">
        <v>40.200000000000003</v>
      </c>
      <c r="C471" s="6">
        <f t="shared" si="63"/>
        <v>902.00000025797635</v>
      </c>
      <c r="D471" t="str">
        <f t="shared" si="64"/>
        <v/>
      </c>
      <c r="E471">
        <f t="shared" si="71"/>
        <v>39235.559050925927</v>
      </c>
      <c r="F471" s="4">
        <f t="shared" si="65"/>
        <v>2.6000000000000014</v>
      </c>
      <c r="G471" s="4">
        <f t="shared" si="66"/>
        <v>1.3000000000000007</v>
      </c>
      <c r="H471" s="5">
        <f t="shared" si="67"/>
        <v>2.4999997986014932</v>
      </c>
      <c r="I471" s="14">
        <f t="shared" si="68"/>
        <v>456.28419033589745</v>
      </c>
      <c r="J471" s="19">
        <f t="shared" si="69"/>
        <v>938083.86810881447</v>
      </c>
      <c r="K471" s="16">
        <f t="shared" si="70"/>
        <v>0.92895226732104852</v>
      </c>
    </row>
    <row r="472" spans="1:11" x14ac:dyDescent="0.15">
      <c r="A472" s="7">
        <v>39235.559074074074</v>
      </c>
      <c r="B472">
        <v>40.1</v>
      </c>
      <c r="C472" s="6">
        <f t="shared" si="63"/>
        <v>904.00000009685755</v>
      </c>
      <c r="D472" t="str">
        <f t="shared" si="64"/>
        <v/>
      </c>
      <c r="E472">
        <f t="shared" si="71"/>
        <v>39235.559074074074</v>
      </c>
      <c r="F472" s="4">
        <f t="shared" si="65"/>
        <v>2.5</v>
      </c>
      <c r="G472" s="4">
        <f t="shared" si="66"/>
        <v>1.25</v>
      </c>
      <c r="H472" s="5">
        <f t="shared" si="67"/>
        <v>2.549999794573524</v>
      </c>
      <c r="I472" s="14">
        <f t="shared" si="68"/>
        <v>465.40987414261554</v>
      </c>
      <c r="J472" s="19">
        <f t="shared" si="69"/>
        <v>938549.27798295708</v>
      </c>
      <c r="K472" s="16">
        <f t="shared" si="70"/>
        <v>0.92941314675040065</v>
      </c>
    </row>
    <row r="473" spans="1:11" x14ac:dyDescent="0.15">
      <c r="A473" s="7">
        <v>39235.55909722222</v>
      </c>
      <c r="B473">
        <v>40.1</v>
      </c>
      <c r="C473" s="6">
        <f t="shared" si="63"/>
        <v>905.99999993573874</v>
      </c>
      <c r="D473" t="str">
        <f t="shared" si="64"/>
        <v/>
      </c>
      <c r="E473">
        <f t="shared" si="71"/>
        <v>39235.55909722222</v>
      </c>
      <c r="F473" s="4">
        <f t="shared" si="65"/>
        <v>2.5</v>
      </c>
      <c r="G473" s="4">
        <f t="shared" si="66"/>
        <v>1.25</v>
      </c>
      <c r="H473" s="5">
        <f t="shared" si="67"/>
        <v>2.4999997986014932</v>
      </c>
      <c r="I473" s="14">
        <f t="shared" si="68"/>
        <v>456.28419033589745</v>
      </c>
      <c r="J473" s="19">
        <f t="shared" si="69"/>
        <v>939005.56217329297</v>
      </c>
      <c r="K473" s="16">
        <f t="shared" si="70"/>
        <v>0.92986498932819683</v>
      </c>
    </row>
    <row r="474" spans="1:11" x14ac:dyDescent="0.15">
      <c r="A474" s="7">
        <v>39235.559120370373</v>
      </c>
      <c r="B474">
        <v>40.1</v>
      </c>
      <c r="C474" s="6">
        <f t="shared" si="63"/>
        <v>908.00000040326267</v>
      </c>
      <c r="D474" t="str">
        <f t="shared" si="64"/>
        <v/>
      </c>
      <c r="E474">
        <f t="shared" si="71"/>
        <v>39235.559120370373</v>
      </c>
      <c r="F474" s="4">
        <f t="shared" si="65"/>
        <v>2.5</v>
      </c>
      <c r="G474" s="4">
        <f t="shared" si="66"/>
        <v>1.25</v>
      </c>
      <c r="H474" s="5">
        <f t="shared" si="67"/>
        <v>2.5000005844049156</v>
      </c>
      <c r="I474" s="14">
        <f t="shared" si="68"/>
        <v>456.28433375578032</v>
      </c>
      <c r="J474" s="19">
        <f t="shared" si="69"/>
        <v>939461.8465070487</v>
      </c>
      <c r="K474" s="16">
        <f t="shared" si="70"/>
        <v>0.93031683204801674</v>
      </c>
    </row>
    <row r="475" spans="1:11" x14ac:dyDescent="0.15">
      <c r="A475" s="7">
        <v>39235.55914351852</v>
      </c>
      <c r="B475">
        <v>40.1</v>
      </c>
      <c r="C475" s="6">
        <f t="shared" si="63"/>
        <v>910.00000024214387</v>
      </c>
      <c r="D475" t="str">
        <f t="shared" si="64"/>
        <v/>
      </c>
      <c r="E475">
        <f t="shared" si="71"/>
        <v>39235.55914351852</v>
      </c>
      <c r="F475" s="4">
        <f t="shared" si="65"/>
        <v>2.5</v>
      </c>
      <c r="G475" s="4">
        <f t="shared" si="66"/>
        <v>1.25</v>
      </c>
      <c r="H475" s="5">
        <f t="shared" si="67"/>
        <v>2.4999997986014932</v>
      </c>
      <c r="I475" s="14">
        <f t="shared" si="68"/>
        <v>456.28419033589745</v>
      </c>
      <c r="J475" s="19">
        <f t="shared" si="69"/>
        <v>939918.13069738459</v>
      </c>
      <c r="K475" s="16">
        <f t="shared" si="70"/>
        <v>0.93076867462581281</v>
      </c>
    </row>
    <row r="476" spans="1:11" x14ac:dyDescent="0.15">
      <c r="A476" s="7">
        <v>39235.559166666666</v>
      </c>
      <c r="B476">
        <v>40.200000000000003</v>
      </c>
      <c r="C476" s="6">
        <f t="shared" si="63"/>
        <v>912.00000008102506</v>
      </c>
      <c r="D476" t="str">
        <f t="shared" si="64"/>
        <v/>
      </c>
      <c r="E476">
        <f t="shared" si="71"/>
        <v>39235.559166666666</v>
      </c>
      <c r="F476" s="4">
        <f t="shared" si="65"/>
        <v>2.6000000000000014</v>
      </c>
      <c r="G476" s="4">
        <f t="shared" si="66"/>
        <v>1.3000000000000007</v>
      </c>
      <c r="H476" s="5">
        <f t="shared" si="67"/>
        <v>2.549999794573524</v>
      </c>
      <c r="I476" s="14">
        <f t="shared" si="68"/>
        <v>465.40987414261554</v>
      </c>
      <c r="J476" s="19">
        <f t="shared" si="69"/>
        <v>940383.54057152721</v>
      </c>
      <c r="K476" s="16">
        <f t="shared" si="70"/>
        <v>0.93122955405516494</v>
      </c>
    </row>
    <row r="477" spans="1:11" x14ac:dyDescent="0.15">
      <c r="A477" s="7">
        <v>39235.559189814812</v>
      </c>
      <c r="B477">
        <v>40.200000000000003</v>
      </c>
      <c r="C477" s="6">
        <f t="shared" si="63"/>
        <v>913.99999991990626</v>
      </c>
      <c r="D477" t="str">
        <f t="shared" si="64"/>
        <v/>
      </c>
      <c r="E477">
        <f t="shared" si="71"/>
        <v>39235.559189814812</v>
      </c>
      <c r="F477" s="4">
        <f t="shared" si="65"/>
        <v>2.6000000000000014</v>
      </c>
      <c r="G477" s="4">
        <f t="shared" si="66"/>
        <v>1.3000000000000007</v>
      </c>
      <c r="H477" s="5">
        <f t="shared" si="67"/>
        <v>2.5999997905455543</v>
      </c>
      <c r="I477" s="14">
        <f t="shared" si="68"/>
        <v>474.53555794933362</v>
      </c>
      <c r="J477" s="19">
        <f t="shared" si="69"/>
        <v>940858.07612947654</v>
      </c>
      <c r="K477" s="16">
        <f t="shared" si="70"/>
        <v>0.93169947033607292</v>
      </c>
    </row>
    <row r="478" spans="1:11" x14ac:dyDescent="0.15">
      <c r="A478" s="7">
        <v>39235.559212962966</v>
      </c>
      <c r="B478">
        <v>39.9</v>
      </c>
      <c r="C478" s="6">
        <f t="shared" si="63"/>
        <v>916.00000038743019</v>
      </c>
      <c r="D478" t="str">
        <f t="shared" si="64"/>
        <v/>
      </c>
      <c r="E478">
        <f t="shared" si="71"/>
        <v>39235.559212962966</v>
      </c>
      <c r="F478" s="4">
        <f t="shared" si="65"/>
        <v>2.2999999999999972</v>
      </c>
      <c r="G478" s="4">
        <f t="shared" si="66"/>
        <v>1.1499999999999986</v>
      </c>
      <c r="H478" s="5">
        <f t="shared" si="67"/>
        <v>2.4500005727168164</v>
      </c>
      <c r="I478" s="14">
        <f t="shared" si="68"/>
        <v>447.15864708066459</v>
      </c>
      <c r="J478" s="19">
        <f t="shared" si="69"/>
        <v>941305.23477655719</v>
      </c>
      <c r="K478" s="16">
        <f t="shared" si="70"/>
        <v>0.93214227620149648</v>
      </c>
    </row>
    <row r="479" spans="1:11" x14ac:dyDescent="0.15">
      <c r="A479" s="7">
        <v>39235.559236111112</v>
      </c>
      <c r="B479">
        <v>39.9</v>
      </c>
      <c r="C479" s="6">
        <f t="shared" si="63"/>
        <v>918.00000022631139</v>
      </c>
      <c r="D479" t="str">
        <f t="shared" si="64"/>
        <v/>
      </c>
      <c r="E479">
        <f t="shared" si="71"/>
        <v>39235.559236111112</v>
      </c>
      <c r="F479" s="4">
        <f t="shared" si="65"/>
        <v>2.2999999999999972</v>
      </c>
      <c r="G479" s="4">
        <f t="shared" si="66"/>
        <v>1.1499999999999986</v>
      </c>
      <c r="H479" s="5">
        <f t="shared" si="67"/>
        <v>2.2999998147133711</v>
      </c>
      <c r="I479" s="14">
        <f t="shared" si="68"/>
        <v>419.78145510902516</v>
      </c>
      <c r="J479" s="19">
        <f t="shared" si="69"/>
        <v>941725.0162316662</v>
      </c>
      <c r="K479" s="16">
        <f t="shared" si="70"/>
        <v>0.93255797137306895</v>
      </c>
    </row>
    <row r="480" spans="1:11" x14ac:dyDescent="0.15">
      <c r="A480" s="7">
        <v>39235.559259259258</v>
      </c>
      <c r="B480">
        <v>39.9</v>
      </c>
      <c r="C480" s="6">
        <f t="shared" si="63"/>
        <v>920.00000006519258</v>
      </c>
      <c r="D480" t="str">
        <f t="shared" si="64"/>
        <v/>
      </c>
      <c r="E480">
        <f t="shared" si="71"/>
        <v>39235.559259259258</v>
      </c>
      <c r="F480" s="4">
        <f t="shared" si="65"/>
        <v>2.2999999999999972</v>
      </c>
      <c r="G480" s="4">
        <f t="shared" si="66"/>
        <v>1.1499999999999986</v>
      </c>
      <c r="H480" s="5">
        <f t="shared" si="67"/>
        <v>2.2999998147133711</v>
      </c>
      <c r="I480" s="14">
        <f t="shared" si="68"/>
        <v>419.78145510902516</v>
      </c>
      <c r="J480" s="19">
        <f t="shared" si="69"/>
        <v>942144.79768677521</v>
      </c>
      <c r="K480" s="16">
        <f t="shared" si="70"/>
        <v>0.93297366654464142</v>
      </c>
    </row>
    <row r="481" spans="1:11" x14ac:dyDescent="0.15">
      <c r="A481" s="7">
        <v>39235.559282407405</v>
      </c>
      <c r="B481">
        <v>39.9</v>
      </c>
      <c r="C481" s="6">
        <f t="shared" si="63"/>
        <v>921.99999990407377</v>
      </c>
      <c r="D481" t="str">
        <f t="shared" si="64"/>
        <v/>
      </c>
      <c r="E481">
        <f t="shared" si="71"/>
        <v>39235.559282407405</v>
      </c>
      <c r="F481" s="4">
        <f t="shared" si="65"/>
        <v>2.2999999999999972</v>
      </c>
      <c r="G481" s="4">
        <f t="shared" si="66"/>
        <v>1.1499999999999986</v>
      </c>
      <c r="H481" s="5">
        <f t="shared" si="67"/>
        <v>2.2999998147133711</v>
      </c>
      <c r="I481" s="14">
        <f t="shared" si="68"/>
        <v>419.78145510902516</v>
      </c>
      <c r="J481" s="19">
        <f t="shared" si="69"/>
        <v>942564.57914188423</v>
      </c>
      <c r="K481" s="16">
        <f t="shared" si="70"/>
        <v>0.93338936171621389</v>
      </c>
    </row>
    <row r="482" spans="1:11" x14ac:dyDescent="0.15">
      <c r="A482" s="7">
        <v>39235.559305555558</v>
      </c>
      <c r="B482">
        <v>39.700000000000003</v>
      </c>
      <c r="C482" s="6">
        <f t="shared" si="63"/>
        <v>924.00000037159771</v>
      </c>
      <c r="D482" t="str">
        <f t="shared" si="64"/>
        <v/>
      </c>
      <c r="E482">
        <f t="shared" si="71"/>
        <v>39235.559305555558</v>
      </c>
      <c r="F482" s="4">
        <f t="shared" si="65"/>
        <v>2.1000000000000014</v>
      </c>
      <c r="G482" s="4">
        <f t="shared" si="66"/>
        <v>1.0500000000000007</v>
      </c>
      <c r="H482" s="5">
        <f t="shared" si="67"/>
        <v>2.2000005142763248</v>
      </c>
      <c r="I482" s="14">
        <f t="shared" si="68"/>
        <v>401.53021370508651</v>
      </c>
      <c r="J482" s="19">
        <f t="shared" si="69"/>
        <v>942966.10935558926</v>
      </c>
      <c r="K482" s="16">
        <f t="shared" si="70"/>
        <v>0.93378698330965537</v>
      </c>
    </row>
    <row r="483" spans="1:11" x14ac:dyDescent="0.15">
      <c r="A483" s="7">
        <v>39235.559328703705</v>
      </c>
      <c r="B483">
        <v>39.700000000000003</v>
      </c>
      <c r="C483" s="6">
        <f t="shared" si="63"/>
        <v>926.0000002104789</v>
      </c>
      <c r="D483" t="str">
        <f t="shared" si="64"/>
        <v/>
      </c>
      <c r="E483">
        <f t="shared" si="71"/>
        <v>39235.559328703705</v>
      </c>
      <c r="F483" s="4">
        <f t="shared" si="65"/>
        <v>2.1000000000000014</v>
      </c>
      <c r="G483" s="4">
        <f t="shared" si="66"/>
        <v>1.0500000000000007</v>
      </c>
      <c r="H483" s="5">
        <f t="shared" si="67"/>
        <v>2.0999998308252557</v>
      </c>
      <c r="I483" s="14">
        <f t="shared" si="68"/>
        <v>383.27871988215412</v>
      </c>
      <c r="J483" s="19">
        <f t="shared" si="69"/>
        <v>943349.38807547139</v>
      </c>
      <c r="K483" s="16">
        <f t="shared" si="70"/>
        <v>0.93416653107500414</v>
      </c>
    </row>
    <row r="484" spans="1:11" x14ac:dyDescent="0.15">
      <c r="A484" s="7">
        <v>39235.559351851851</v>
      </c>
      <c r="B484">
        <v>39.700000000000003</v>
      </c>
      <c r="C484" s="6">
        <f t="shared" si="63"/>
        <v>928.0000000493601</v>
      </c>
      <c r="D484" t="str">
        <f t="shared" si="64"/>
        <v/>
      </c>
      <c r="E484">
        <f t="shared" si="71"/>
        <v>39235.559351851851</v>
      </c>
      <c r="F484" s="4">
        <f t="shared" si="65"/>
        <v>2.1000000000000014</v>
      </c>
      <c r="G484" s="4">
        <f t="shared" si="66"/>
        <v>1.0500000000000007</v>
      </c>
      <c r="H484" s="5">
        <f t="shared" si="67"/>
        <v>2.0999998308252557</v>
      </c>
      <c r="I484" s="14">
        <f t="shared" si="68"/>
        <v>383.27871988215412</v>
      </c>
      <c r="J484" s="19">
        <f t="shared" si="69"/>
        <v>943732.66679535352</v>
      </c>
      <c r="K484" s="16">
        <f t="shared" si="70"/>
        <v>0.9345460788403529</v>
      </c>
    </row>
    <row r="485" spans="1:11" x14ac:dyDescent="0.15">
      <c r="A485" s="7">
        <v>39235.559374999997</v>
      </c>
      <c r="B485">
        <v>39.700000000000003</v>
      </c>
      <c r="C485" s="6">
        <f t="shared" si="63"/>
        <v>929.99999988824129</v>
      </c>
      <c r="D485" t="str">
        <f t="shared" si="64"/>
        <v/>
      </c>
      <c r="E485">
        <f t="shared" si="71"/>
        <v>39235.559374999997</v>
      </c>
      <c r="F485" s="4">
        <f t="shared" si="65"/>
        <v>2.1000000000000014</v>
      </c>
      <c r="G485" s="4">
        <f t="shared" si="66"/>
        <v>1.0500000000000007</v>
      </c>
      <c r="H485" s="5">
        <f t="shared" si="67"/>
        <v>2.0999998308252557</v>
      </c>
      <c r="I485" s="14">
        <f t="shared" si="68"/>
        <v>383.27871988215412</v>
      </c>
      <c r="J485" s="19">
        <f t="shared" si="69"/>
        <v>944115.94551523565</v>
      </c>
      <c r="K485" s="16">
        <f t="shared" si="70"/>
        <v>0.93492562660570155</v>
      </c>
    </row>
    <row r="486" spans="1:11" x14ac:dyDescent="0.15">
      <c r="A486" s="7">
        <v>39235.559398148151</v>
      </c>
      <c r="B486">
        <v>39.6</v>
      </c>
      <c r="C486" s="6">
        <f t="shared" si="63"/>
        <v>932.00000035576522</v>
      </c>
      <c r="D486" t="str">
        <f t="shared" si="64"/>
        <v/>
      </c>
      <c r="E486">
        <f t="shared" si="71"/>
        <v>39235.559398148151</v>
      </c>
      <c r="F486" s="4">
        <f t="shared" si="65"/>
        <v>2</v>
      </c>
      <c r="G486" s="4">
        <f t="shared" si="66"/>
        <v>1</v>
      </c>
      <c r="H486" s="5">
        <f t="shared" si="67"/>
        <v>2.0500004792120317</v>
      </c>
      <c r="I486" s="14">
        <f t="shared" si="68"/>
        <v>374.15315367974006</v>
      </c>
      <c r="J486" s="19">
        <f t="shared" si="69"/>
        <v>944490.09866891534</v>
      </c>
      <c r="K486" s="16">
        <f t="shared" si="70"/>
        <v>0.93529613763595387</v>
      </c>
    </row>
    <row r="487" spans="1:11" x14ac:dyDescent="0.15">
      <c r="A487" s="7">
        <v>39235.559421296297</v>
      </c>
      <c r="B487">
        <v>39.6</v>
      </c>
      <c r="C487" s="6">
        <f t="shared" si="63"/>
        <v>934.00000019464642</v>
      </c>
      <c r="D487" t="str">
        <f t="shared" si="64"/>
        <v/>
      </c>
      <c r="E487">
        <f t="shared" si="71"/>
        <v>39235.559421296297</v>
      </c>
      <c r="F487" s="4">
        <f t="shared" si="65"/>
        <v>2</v>
      </c>
      <c r="G487" s="4">
        <f t="shared" si="66"/>
        <v>1</v>
      </c>
      <c r="H487" s="5">
        <f t="shared" si="67"/>
        <v>1.9999998388811946</v>
      </c>
      <c r="I487" s="14">
        <f t="shared" si="68"/>
        <v>365.02735226871795</v>
      </c>
      <c r="J487" s="19">
        <f t="shared" si="69"/>
        <v>944855.12602118403</v>
      </c>
      <c r="K487" s="16">
        <f t="shared" si="70"/>
        <v>0.93565761169819084</v>
      </c>
    </row>
    <row r="488" spans="1:11" x14ac:dyDescent="0.15">
      <c r="A488" s="7">
        <v>39235.559444444443</v>
      </c>
      <c r="B488">
        <v>39.6</v>
      </c>
      <c r="C488" s="6">
        <f t="shared" ref="C488:C551" si="72">(A488-$B$4)*24*60*60</f>
        <v>936.00000003352761</v>
      </c>
      <c r="D488" t="str">
        <f t="shared" ref="D488:D551" si="73">IF(F488=$B$8,A488,"")</f>
        <v/>
      </c>
      <c r="E488">
        <f t="shared" si="71"/>
        <v>39235.559444444443</v>
      </c>
      <c r="F488" s="4">
        <f t="shared" ref="F488:F551" si="74">IF((B488-$B$6)&gt;0,B488-$B$6,0)</f>
        <v>2</v>
      </c>
      <c r="G488" s="4">
        <f t="shared" ref="G488:G551" si="75">F488/2</f>
        <v>1</v>
      </c>
      <c r="H488" s="5">
        <f t="shared" ref="H488:H551" si="76">AVERAGE(G487:G488)*(C488-C487)</f>
        <v>1.9999998388811946</v>
      </c>
      <c r="I488" s="14">
        <f t="shared" ref="I488:I551" si="77">H488*$B$14</f>
        <v>365.02735226871795</v>
      </c>
      <c r="J488" s="19">
        <f t="shared" ref="J488:J551" si="78">J487+I488</f>
        <v>945220.15337345272</v>
      </c>
      <c r="K488" s="16">
        <f t="shared" ref="K488:K551" si="79">J488/($B$12*1000)</f>
        <v>0.93601908576042769</v>
      </c>
    </row>
    <row r="489" spans="1:11" x14ac:dyDescent="0.15">
      <c r="A489" s="7">
        <v>39235.559467592589</v>
      </c>
      <c r="B489">
        <v>39.6</v>
      </c>
      <c r="C489" s="6">
        <f t="shared" si="72"/>
        <v>937.99999987240881</v>
      </c>
      <c r="D489" t="str">
        <f t="shared" si="73"/>
        <v/>
      </c>
      <c r="E489">
        <f t="shared" si="71"/>
        <v>39235.559467592589</v>
      </c>
      <c r="F489" s="4">
        <f t="shared" si="74"/>
        <v>2</v>
      </c>
      <c r="G489" s="4">
        <f t="shared" si="75"/>
        <v>1</v>
      </c>
      <c r="H489" s="5">
        <f t="shared" si="76"/>
        <v>1.9999998388811946</v>
      </c>
      <c r="I489" s="14">
        <f t="shared" si="77"/>
        <v>365.02735226871795</v>
      </c>
      <c r="J489" s="19">
        <f t="shared" si="78"/>
        <v>945585.18072572141</v>
      </c>
      <c r="K489" s="16">
        <f t="shared" si="79"/>
        <v>0.93638055982266466</v>
      </c>
    </row>
    <row r="490" spans="1:11" x14ac:dyDescent="0.15">
      <c r="A490" s="7">
        <v>39235.559490740743</v>
      </c>
      <c r="B490">
        <v>39.4</v>
      </c>
      <c r="C490" s="6">
        <f t="shared" si="72"/>
        <v>940.00000033993274</v>
      </c>
      <c r="D490" t="str">
        <f t="shared" si="73"/>
        <v/>
      </c>
      <c r="E490">
        <f t="shared" si="71"/>
        <v>39235.559490740743</v>
      </c>
      <c r="F490" s="4">
        <f t="shared" si="74"/>
        <v>1.7999999999999972</v>
      </c>
      <c r="G490" s="4">
        <f t="shared" si="75"/>
        <v>0.89999999999999858</v>
      </c>
      <c r="H490" s="5">
        <f t="shared" si="76"/>
        <v>1.9000004441477345</v>
      </c>
      <c r="I490" s="14">
        <f t="shared" si="77"/>
        <v>346.77609365439281</v>
      </c>
      <c r="J490" s="19">
        <f t="shared" si="78"/>
        <v>945931.95681937586</v>
      </c>
      <c r="K490" s="16">
        <f t="shared" si="79"/>
        <v>0.93672396028972782</v>
      </c>
    </row>
    <row r="491" spans="1:11" x14ac:dyDescent="0.15">
      <c r="A491" s="7">
        <v>39235.559513888889</v>
      </c>
      <c r="B491">
        <v>39.200000000000003</v>
      </c>
      <c r="C491" s="6">
        <f t="shared" si="72"/>
        <v>942.00000017881393</v>
      </c>
      <c r="D491" t="str">
        <f t="shared" si="73"/>
        <v/>
      </c>
      <c r="E491">
        <f t="shared" si="71"/>
        <v>39235.559513888889</v>
      </c>
      <c r="F491" s="4">
        <f t="shared" si="74"/>
        <v>1.6000000000000014</v>
      </c>
      <c r="G491" s="4">
        <f t="shared" si="75"/>
        <v>0.80000000000000071</v>
      </c>
      <c r="H491" s="5">
        <f t="shared" si="76"/>
        <v>1.6999998630490147</v>
      </c>
      <c r="I491" s="14">
        <f t="shared" si="77"/>
        <v>310.27324942841017</v>
      </c>
      <c r="J491" s="19">
        <f t="shared" si="78"/>
        <v>946242.23006880423</v>
      </c>
      <c r="K491" s="16">
        <f t="shared" si="79"/>
        <v>0.93703121324262917</v>
      </c>
    </row>
    <row r="492" spans="1:11" x14ac:dyDescent="0.15">
      <c r="A492" s="7">
        <v>39235.559537037036</v>
      </c>
      <c r="B492">
        <v>39.4</v>
      </c>
      <c r="C492" s="6">
        <f t="shared" si="72"/>
        <v>944.00000001769513</v>
      </c>
      <c r="D492" t="str">
        <f t="shared" si="73"/>
        <v/>
      </c>
      <c r="E492">
        <f t="shared" si="71"/>
        <v>39235.559537037036</v>
      </c>
      <c r="F492" s="4">
        <f t="shared" si="74"/>
        <v>1.7999999999999972</v>
      </c>
      <c r="G492" s="4">
        <f t="shared" si="75"/>
        <v>0.89999999999999858</v>
      </c>
      <c r="H492" s="5">
        <f t="shared" si="76"/>
        <v>1.6999998630490147</v>
      </c>
      <c r="I492" s="14">
        <f t="shared" si="77"/>
        <v>310.27324942841017</v>
      </c>
      <c r="J492" s="19">
        <f t="shared" si="78"/>
        <v>946552.5033182326</v>
      </c>
      <c r="K492" s="16">
        <f t="shared" si="79"/>
        <v>0.93733846619553052</v>
      </c>
    </row>
    <row r="493" spans="1:11" x14ac:dyDescent="0.15">
      <c r="A493" s="7">
        <v>39235.559560185182</v>
      </c>
      <c r="B493">
        <v>39.4</v>
      </c>
      <c r="C493" s="6">
        <f t="shared" si="72"/>
        <v>945.99999985657632</v>
      </c>
      <c r="D493" t="str">
        <f t="shared" si="73"/>
        <v/>
      </c>
      <c r="E493">
        <f t="shared" si="71"/>
        <v>39235.559560185182</v>
      </c>
      <c r="F493" s="4">
        <f t="shared" si="74"/>
        <v>1.7999999999999972</v>
      </c>
      <c r="G493" s="4">
        <f t="shared" si="75"/>
        <v>0.89999999999999858</v>
      </c>
      <c r="H493" s="5">
        <f t="shared" si="76"/>
        <v>1.7999998549930722</v>
      </c>
      <c r="I493" s="14">
        <f t="shared" si="77"/>
        <v>328.52461704184566</v>
      </c>
      <c r="J493" s="19">
        <f t="shared" si="78"/>
        <v>946881.02793527441</v>
      </c>
      <c r="K493" s="16">
        <f t="shared" si="79"/>
        <v>0.93766379285154378</v>
      </c>
    </row>
    <row r="494" spans="1:11" x14ac:dyDescent="0.15">
      <c r="A494" s="7">
        <v>39235.559583333335</v>
      </c>
      <c r="B494">
        <v>39.6</v>
      </c>
      <c r="C494" s="6">
        <f t="shared" si="72"/>
        <v>948.00000032410026</v>
      </c>
      <c r="D494" t="str">
        <f t="shared" si="73"/>
        <v/>
      </c>
      <c r="E494">
        <f t="shared" si="71"/>
        <v>39235.559583333335</v>
      </c>
      <c r="F494" s="4">
        <f t="shared" si="74"/>
        <v>2</v>
      </c>
      <c r="G494" s="4">
        <f t="shared" si="75"/>
        <v>1</v>
      </c>
      <c r="H494" s="5">
        <f t="shared" si="76"/>
        <v>1.9000004441477345</v>
      </c>
      <c r="I494" s="14">
        <f t="shared" si="77"/>
        <v>346.77609365439281</v>
      </c>
      <c r="J494" s="19">
        <f t="shared" si="78"/>
        <v>947227.80402892886</v>
      </c>
      <c r="K494" s="16">
        <f t="shared" si="79"/>
        <v>0.93800719331860694</v>
      </c>
    </row>
    <row r="495" spans="1:11" x14ac:dyDescent="0.15">
      <c r="A495" s="7">
        <v>39235.559606481482</v>
      </c>
      <c r="B495">
        <v>39.4</v>
      </c>
      <c r="C495" s="6">
        <f t="shared" si="72"/>
        <v>950.00000016298145</v>
      </c>
      <c r="D495" t="str">
        <f t="shared" si="73"/>
        <v/>
      </c>
      <c r="E495">
        <f t="shared" si="71"/>
        <v>39235.559606481482</v>
      </c>
      <c r="F495" s="4">
        <f t="shared" si="74"/>
        <v>1.7999999999999972</v>
      </c>
      <c r="G495" s="4">
        <f t="shared" si="75"/>
        <v>0.89999999999999858</v>
      </c>
      <c r="H495" s="5">
        <f t="shared" si="76"/>
        <v>1.8999998469371335</v>
      </c>
      <c r="I495" s="14">
        <f t="shared" si="77"/>
        <v>346.77598465528183</v>
      </c>
      <c r="J495" s="19">
        <f t="shared" si="78"/>
        <v>947574.58001358411</v>
      </c>
      <c r="K495" s="16">
        <f t="shared" si="79"/>
        <v>0.93835059367773199</v>
      </c>
    </row>
    <row r="496" spans="1:11" x14ac:dyDescent="0.15">
      <c r="A496" s="7">
        <v>39235.559629629628</v>
      </c>
      <c r="B496">
        <v>39.4</v>
      </c>
      <c r="C496" s="6">
        <f t="shared" si="72"/>
        <v>952.00000000186265</v>
      </c>
      <c r="D496" t="str">
        <f t="shared" si="73"/>
        <v/>
      </c>
      <c r="E496">
        <f t="shared" si="71"/>
        <v>39235.559629629628</v>
      </c>
      <c r="F496" s="4">
        <f t="shared" si="74"/>
        <v>1.7999999999999972</v>
      </c>
      <c r="G496" s="4">
        <f t="shared" si="75"/>
        <v>0.89999999999999858</v>
      </c>
      <c r="H496" s="5">
        <f t="shared" si="76"/>
        <v>1.7999998549930722</v>
      </c>
      <c r="I496" s="14">
        <f t="shared" si="77"/>
        <v>328.52461704184566</v>
      </c>
      <c r="J496" s="19">
        <f t="shared" si="78"/>
        <v>947903.10463062592</v>
      </c>
      <c r="K496" s="16">
        <f t="shared" si="79"/>
        <v>0.93867592033374525</v>
      </c>
    </row>
    <row r="497" spans="1:11" x14ac:dyDescent="0.15">
      <c r="A497" s="7">
        <v>39235.559652777774</v>
      </c>
      <c r="B497">
        <v>39.4</v>
      </c>
      <c r="C497" s="6">
        <f t="shared" si="72"/>
        <v>953.99999984074384</v>
      </c>
      <c r="D497" t="str">
        <f t="shared" si="73"/>
        <v/>
      </c>
      <c r="E497">
        <f t="shared" si="71"/>
        <v>39235.559652777774</v>
      </c>
      <c r="F497" s="4">
        <f t="shared" si="74"/>
        <v>1.7999999999999972</v>
      </c>
      <c r="G497" s="4">
        <f t="shared" si="75"/>
        <v>0.89999999999999858</v>
      </c>
      <c r="H497" s="5">
        <f t="shared" si="76"/>
        <v>1.7999998549930722</v>
      </c>
      <c r="I497" s="14">
        <f t="shared" si="77"/>
        <v>328.52461704184566</v>
      </c>
      <c r="J497" s="19">
        <f t="shared" si="78"/>
        <v>948231.62924766773</v>
      </c>
      <c r="K497" s="16">
        <f t="shared" si="79"/>
        <v>0.9390012469897584</v>
      </c>
    </row>
    <row r="498" spans="1:11" x14ac:dyDescent="0.15">
      <c r="A498" s="7">
        <v>39235.559675925928</v>
      </c>
      <c r="B498">
        <v>39.4</v>
      </c>
      <c r="C498" s="6">
        <f t="shared" si="72"/>
        <v>956.00000030826777</v>
      </c>
      <c r="D498" t="str">
        <f t="shared" si="73"/>
        <v/>
      </c>
      <c r="E498">
        <f t="shared" si="71"/>
        <v>39235.559675925928</v>
      </c>
      <c r="F498" s="4">
        <f t="shared" si="74"/>
        <v>1.7999999999999972</v>
      </c>
      <c r="G498" s="4">
        <f t="shared" si="75"/>
        <v>0.89999999999999858</v>
      </c>
      <c r="H498" s="5">
        <f t="shared" si="76"/>
        <v>1.8000004207715363</v>
      </c>
      <c r="I498" s="14">
        <f t="shared" si="77"/>
        <v>328.52472030416129</v>
      </c>
      <c r="J498" s="19">
        <f t="shared" si="78"/>
        <v>948560.15396797191</v>
      </c>
      <c r="K498" s="16">
        <f t="shared" si="79"/>
        <v>0.93932657374802875</v>
      </c>
    </row>
    <row r="499" spans="1:11" x14ac:dyDescent="0.15">
      <c r="A499" s="7">
        <v>39235.559699074074</v>
      </c>
      <c r="B499">
        <v>39.5</v>
      </c>
      <c r="C499" s="6">
        <f t="shared" si="72"/>
        <v>958.00000014714897</v>
      </c>
      <c r="D499" t="str">
        <f t="shared" si="73"/>
        <v/>
      </c>
      <c r="E499">
        <f t="shared" si="71"/>
        <v>39235.559699074074</v>
      </c>
      <c r="F499" s="4">
        <f t="shared" si="74"/>
        <v>1.8999999999999986</v>
      </c>
      <c r="G499" s="4">
        <f t="shared" si="75"/>
        <v>0.94999999999999929</v>
      </c>
      <c r="H499" s="5">
        <f t="shared" si="76"/>
        <v>1.8499998509651028</v>
      </c>
      <c r="I499" s="14">
        <f t="shared" si="77"/>
        <v>337.65030084856369</v>
      </c>
      <c r="J499" s="19">
        <f t="shared" si="78"/>
        <v>948897.80426882044</v>
      </c>
      <c r="K499" s="16">
        <f t="shared" si="79"/>
        <v>0.93966093725559796</v>
      </c>
    </row>
    <row r="500" spans="1:11" x14ac:dyDescent="0.15">
      <c r="A500" s="7">
        <v>39235.55972222222</v>
      </c>
      <c r="B500">
        <v>39.4</v>
      </c>
      <c r="C500" s="6">
        <f t="shared" si="72"/>
        <v>959.99999998603016</v>
      </c>
      <c r="D500" t="str">
        <f t="shared" si="73"/>
        <v/>
      </c>
      <c r="E500">
        <f t="shared" si="71"/>
        <v>39235.55972222222</v>
      </c>
      <c r="F500" s="4">
        <f t="shared" si="74"/>
        <v>1.7999999999999972</v>
      </c>
      <c r="G500" s="4">
        <f t="shared" si="75"/>
        <v>0.89999999999999858</v>
      </c>
      <c r="H500" s="5">
        <f t="shared" si="76"/>
        <v>1.8499998509651028</v>
      </c>
      <c r="I500" s="14">
        <f t="shared" si="77"/>
        <v>337.65030084856369</v>
      </c>
      <c r="J500" s="19">
        <f t="shared" si="78"/>
        <v>949235.45456966897</v>
      </c>
      <c r="K500" s="16">
        <f t="shared" si="79"/>
        <v>0.93999530076316706</v>
      </c>
    </row>
    <row r="501" spans="1:11" x14ac:dyDescent="0.15">
      <c r="A501" s="7">
        <v>39235.559745370374</v>
      </c>
      <c r="B501">
        <v>39.4</v>
      </c>
      <c r="C501" s="6">
        <f t="shared" si="72"/>
        <v>962.00000045355409</v>
      </c>
      <c r="D501" t="str">
        <f t="shared" si="73"/>
        <v/>
      </c>
      <c r="E501">
        <f t="shared" si="71"/>
        <v>39235.559745370374</v>
      </c>
      <c r="F501" s="4">
        <f t="shared" si="74"/>
        <v>1.7999999999999972</v>
      </c>
      <c r="G501" s="4">
        <f t="shared" si="75"/>
        <v>0.89999999999999858</v>
      </c>
      <c r="H501" s="5">
        <f t="shared" si="76"/>
        <v>1.8000004207715363</v>
      </c>
      <c r="I501" s="14">
        <f t="shared" si="77"/>
        <v>328.52472030416129</v>
      </c>
      <c r="J501" s="19">
        <f t="shared" si="78"/>
        <v>949563.97928997315</v>
      </c>
      <c r="K501" s="16">
        <f t="shared" si="79"/>
        <v>0.94032062752143741</v>
      </c>
    </row>
    <row r="502" spans="1:11" x14ac:dyDescent="0.15">
      <c r="A502" s="7">
        <v>39235.55976851852</v>
      </c>
      <c r="B502">
        <v>39.4</v>
      </c>
      <c r="C502" s="6">
        <f t="shared" si="72"/>
        <v>964.00000029243529</v>
      </c>
      <c r="D502" t="str">
        <f t="shared" si="73"/>
        <v/>
      </c>
      <c r="E502">
        <f t="shared" si="71"/>
        <v>39235.55976851852</v>
      </c>
      <c r="F502" s="4">
        <f t="shared" si="74"/>
        <v>1.7999999999999972</v>
      </c>
      <c r="G502" s="4">
        <f t="shared" si="75"/>
        <v>0.89999999999999858</v>
      </c>
      <c r="H502" s="5">
        <f t="shared" si="76"/>
        <v>1.7999998549930722</v>
      </c>
      <c r="I502" s="14">
        <f t="shared" si="77"/>
        <v>328.52461704184566</v>
      </c>
      <c r="J502" s="19">
        <f t="shared" si="78"/>
        <v>949892.50390701497</v>
      </c>
      <c r="K502" s="16">
        <f t="shared" si="79"/>
        <v>0.94064595417745067</v>
      </c>
    </row>
    <row r="503" spans="1:11" x14ac:dyDescent="0.15">
      <c r="A503" s="7">
        <v>39235.559791666667</v>
      </c>
      <c r="B503">
        <v>39.4</v>
      </c>
      <c r="C503" s="6">
        <f t="shared" si="72"/>
        <v>966.00000013131648</v>
      </c>
      <c r="D503" t="str">
        <f t="shared" si="73"/>
        <v/>
      </c>
      <c r="E503">
        <f t="shared" si="71"/>
        <v>39235.559791666667</v>
      </c>
      <c r="F503" s="4">
        <f t="shared" si="74"/>
        <v>1.7999999999999972</v>
      </c>
      <c r="G503" s="4">
        <f t="shared" si="75"/>
        <v>0.89999999999999858</v>
      </c>
      <c r="H503" s="5">
        <f t="shared" si="76"/>
        <v>1.7999998549930722</v>
      </c>
      <c r="I503" s="14">
        <f t="shared" si="77"/>
        <v>328.52461704184566</v>
      </c>
      <c r="J503" s="19">
        <f t="shared" si="78"/>
        <v>950221.02852405678</v>
      </c>
      <c r="K503" s="16">
        <f t="shared" si="79"/>
        <v>0.94097128083346382</v>
      </c>
    </row>
    <row r="504" spans="1:11" x14ac:dyDescent="0.15">
      <c r="A504" s="7">
        <v>39235.559814814813</v>
      </c>
      <c r="B504">
        <v>39.4</v>
      </c>
      <c r="C504" s="6">
        <f t="shared" si="72"/>
        <v>967.99999997019768</v>
      </c>
      <c r="D504" t="str">
        <f t="shared" si="73"/>
        <v/>
      </c>
      <c r="E504">
        <f t="shared" si="71"/>
        <v>39235.559814814813</v>
      </c>
      <c r="F504" s="4">
        <f t="shared" si="74"/>
        <v>1.7999999999999972</v>
      </c>
      <c r="G504" s="4">
        <f t="shared" si="75"/>
        <v>0.89999999999999858</v>
      </c>
      <c r="H504" s="5">
        <f t="shared" si="76"/>
        <v>1.7999998549930722</v>
      </c>
      <c r="I504" s="14">
        <f t="shared" si="77"/>
        <v>328.52461704184566</v>
      </c>
      <c r="J504" s="19">
        <f t="shared" si="78"/>
        <v>950549.55314109859</v>
      </c>
      <c r="K504" s="16">
        <f t="shared" si="79"/>
        <v>0.94129660748947708</v>
      </c>
    </row>
    <row r="505" spans="1:11" x14ac:dyDescent="0.15">
      <c r="A505" s="7">
        <v>39235.559837962966</v>
      </c>
      <c r="B505">
        <v>39.299999999999997</v>
      </c>
      <c r="C505" s="6">
        <f t="shared" si="72"/>
        <v>970.00000043772161</v>
      </c>
      <c r="D505" t="str">
        <f t="shared" si="73"/>
        <v/>
      </c>
      <c r="E505">
        <f t="shared" si="71"/>
        <v>39235.559837962966</v>
      </c>
      <c r="F505" s="4">
        <f t="shared" si="74"/>
        <v>1.6999999999999957</v>
      </c>
      <c r="G505" s="4">
        <f t="shared" si="75"/>
        <v>0.84999999999999787</v>
      </c>
      <c r="H505" s="5">
        <f t="shared" si="76"/>
        <v>1.7500004090834373</v>
      </c>
      <c r="I505" s="14">
        <f t="shared" si="77"/>
        <v>319.39903362904556</v>
      </c>
      <c r="J505" s="19">
        <f t="shared" si="78"/>
        <v>950868.95217472769</v>
      </c>
      <c r="K505" s="16">
        <f t="shared" si="79"/>
        <v>0.94161289739335108</v>
      </c>
    </row>
    <row r="506" spans="1:11" x14ac:dyDescent="0.15">
      <c r="A506" s="7">
        <v>39235.559861111113</v>
      </c>
      <c r="B506">
        <v>39.299999999999997</v>
      </c>
      <c r="C506" s="6">
        <f t="shared" si="72"/>
        <v>972.0000002766028</v>
      </c>
      <c r="D506" t="str">
        <f t="shared" si="73"/>
        <v/>
      </c>
      <c r="E506">
        <f t="shared" si="71"/>
        <v>39235.559861111113</v>
      </c>
      <c r="F506" s="4">
        <f t="shared" si="74"/>
        <v>1.6999999999999957</v>
      </c>
      <c r="G506" s="4">
        <f t="shared" si="75"/>
        <v>0.84999999999999787</v>
      </c>
      <c r="H506" s="5">
        <f t="shared" si="76"/>
        <v>1.6999998630490112</v>
      </c>
      <c r="I506" s="14">
        <f t="shared" si="77"/>
        <v>310.27324942840949</v>
      </c>
      <c r="J506" s="19">
        <f t="shared" si="78"/>
        <v>951179.22542415606</v>
      </c>
      <c r="K506" s="16">
        <f t="shared" si="79"/>
        <v>0.94192015034625243</v>
      </c>
    </row>
    <row r="507" spans="1:11" x14ac:dyDescent="0.15">
      <c r="A507" s="7">
        <v>39235.559884259259</v>
      </c>
      <c r="B507">
        <v>39.299999999999997</v>
      </c>
      <c r="C507" s="6">
        <f t="shared" si="72"/>
        <v>974.000000115484</v>
      </c>
      <c r="D507" t="str">
        <f t="shared" si="73"/>
        <v/>
      </c>
      <c r="E507">
        <f t="shared" si="71"/>
        <v>39235.559884259259</v>
      </c>
      <c r="F507" s="4">
        <f t="shared" si="74"/>
        <v>1.6999999999999957</v>
      </c>
      <c r="G507" s="4">
        <f t="shared" si="75"/>
        <v>0.84999999999999787</v>
      </c>
      <c r="H507" s="5">
        <f t="shared" si="76"/>
        <v>1.6999998630490112</v>
      </c>
      <c r="I507" s="14">
        <f t="shared" si="77"/>
        <v>310.27324942840949</v>
      </c>
      <c r="J507" s="19">
        <f t="shared" si="78"/>
        <v>951489.49867358443</v>
      </c>
      <c r="K507" s="16">
        <f t="shared" si="79"/>
        <v>0.94222740329915378</v>
      </c>
    </row>
    <row r="508" spans="1:11" x14ac:dyDescent="0.15">
      <c r="A508" s="7">
        <v>39235.559907407405</v>
      </c>
      <c r="B508">
        <v>39.299999999999997</v>
      </c>
      <c r="C508" s="6">
        <f t="shared" si="72"/>
        <v>975.99999995436519</v>
      </c>
      <c r="D508" t="str">
        <f t="shared" si="73"/>
        <v/>
      </c>
      <c r="E508">
        <f t="shared" si="71"/>
        <v>39235.559907407405</v>
      </c>
      <c r="F508" s="4">
        <f t="shared" si="74"/>
        <v>1.6999999999999957</v>
      </c>
      <c r="G508" s="4">
        <f t="shared" si="75"/>
        <v>0.84999999999999787</v>
      </c>
      <c r="H508" s="5">
        <f t="shared" si="76"/>
        <v>1.6999998630490112</v>
      </c>
      <c r="I508" s="14">
        <f t="shared" si="77"/>
        <v>310.27324942840949</v>
      </c>
      <c r="J508" s="19">
        <f t="shared" si="78"/>
        <v>951799.7719230128</v>
      </c>
      <c r="K508" s="16">
        <f t="shared" si="79"/>
        <v>0.94253465625205513</v>
      </c>
    </row>
    <row r="509" spans="1:11" x14ac:dyDescent="0.15">
      <c r="A509" s="7">
        <v>39235.559930555559</v>
      </c>
      <c r="B509">
        <v>39.299999999999997</v>
      </c>
      <c r="C509" s="6">
        <f t="shared" si="72"/>
        <v>978.00000042188913</v>
      </c>
      <c r="D509" t="str">
        <f t="shared" si="73"/>
        <v/>
      </c>
      <c r="E509">
        <f t="shared" si="71"/>
        <v>39235.559930555559</v>
      </c>
      <c r="F509" s="4">
        <f t="shared" si="74"/>
        <v>1.6999999999999957</v>
      </c>
      <c r="G509" s="4">
        <f t="shared" si="75"/>
        <v>0.84999999999999787</v>
      </c>
      <c r="H509" s="5">
        <f t="shared" si="76"/>
        <v>1.7000003973953384</v>
      </c>
      <c r="I509" s="14">
        <f t="shared" si="77"/>
        <v>310.27334695392983</v>
      </c>
      <c r="J509" s="19">
        <f t="shared" si="78"/>
        <v>952110.04526996671</v>
      </c>
      <c r="K509" s="16">
        <f t="shared" si="79"/>
        <v>0.94284190930153267</v>
      </c>
    </row>
    <row r="510" spans="1:11" x14ac:dyDescent="0.15">
      <c r="A510" s="7">
        <v>39235.559953703705</v>
      </c>
      <c r="B510">
        <v>39.299999999999997</v>
      </c>
      <c r="C510" s="6">
        <f t="shared" si="72"/>
        <v>980.00000026077032</v>
      </c>
      <c r="D510" t="str">
        <f t="shared" si="73"/>
        <v/>
      </c>
      <c r="E510">
        <f t="shared" si="71"/>
        <v>39235.559953703705</v>
      </c>
      <c r="F510" s="4">
        <f t="shared" si="74"/>
        <v>1.6999999999999957</v>
      </c>
      <c r="G510" s="4">
        <f t="shared" si="75"/>
        <v>0.84999999999999787</v>
      </c>
      <c r="H510" s="5">
        <f t="shared" si="76"/>
        <v>1.6999998630490112</v>
      </c>
      <c r="I510" s="14">
        <f t="shared" si="77"/>
        <v>310.27324942840949</v>
      </c>
      <c r="J510" s="19">
        <f t="shared" si="78"/>
        <v>952420.31851939508</v>
      </c>
      <c r="K510" s="16">
        <f t="shared" si="79"/>
        <v>0.94314916225443401</v>
      </c>
    </row>
    <row r="511" spans="1:11" x14ac:dyDescent="0.15">
      <c r="A511" s="7">
        <v>39235.559976851851</v>
      </c>
      <c r="B511">
        <v>39.299999999999997</v>
      </c>
      <c r="C511" s="6">
        <f t="shared" si="72"/>
        <v>982.00000009965152</v>
      </c>
      <c r="D511" t="str">
        <f t="shared" si="73"/>
        <v/>
      </c>
      <c r="E511">
        <f t="shared" si="71"/>
        <v>39235.559976851851</v>
      </c>
      <c r="F511" s="4">
        <f t="shared" si="74"/>
        <v>1.6999999999999957</v>
      </c>
      <c r="G511" s="4">
        <f t="shared" si="75"/>
        <v>0.84999999999999787</v>
      </c>
      <c r="H511" s="5">
        <f t="shared" si="76"/>
        <v>1.6999998630490112</v>
      </c>
      <c r="I511" s="14">
        <f t="shared" si="77"/>
        <v>310.27324942840949</v>
      </c>
      <c r="J511" s="19">
        <f t="shared" si="78"/>
        <v>952730.59176882345</v>
      </c>
      <c r="K511" s="16">
        <f t="shared" si="79"/>
        <v>0.94345641520733536</v>
      </c>
    </row>
    <row r="512" spans="1:11" x14ac:dyDescent="0.15">
      <c r="A512" s="7">
        <v>39235.56</v>
      </c>
      <c r="B512">
        <v>39.200000000000003</v>
      </c>
      <c r="C512" s="6">
        <f t="shared" si="72"/>
        <v>983.99999993853271</v>
      </c>
      <c r="D512" t="str">
        <f t="shared" si="73"/>
        <v/>
      </c>
      <c r="E512">
        <f t="shared" si="71"/>
        <v>39235.56</v>
      </c>
      <c r="F512" s="4">
        <f t="shared" si="74"/>
        <v>1.6000000000000014</v>
      </c>
      <c r="G512" s="4">
        <f t="shared" si="75"/>
        <v>0.80000000000000071</v>
      </c>
      <c r="H512" s="5">
        <f t="shared" si="76"/>
        <v>1.6499998670769842</v>
      </c>
      <c r="I512" s="14">
        <f t="shared" si="77"/>
        <v>301.14756562169208</v>
      </c>
      <c r="J512" s="19">
        <f t="shared" si="78"/>
        <v>953031.7393344451</v>
      </c>
      <c r="K512" s="16">
        <f t="shared" si="79"/>
        <v>0.94375463130868076</v>
      </c>
    </row>
    <row r="513" spans="1:11" x14ac:dyDescent="0.15">
      <c r="A513" s="7">
        <v>39235.560023148151</v>
      </c>
      <c r="B513">
        <v>39.200000000000003</v>
      </c>
      <c r="C513" s="6">
        <f t="shared" si="72"/>
        <v>986.00000040605664</v>
      </c>
      <c r="D513" t="str">
        <f t="shared" si="73"/>
        <v/>
      </c>
      <c r="E513">
        <f t="shared" si="71"/>
        <v>39235.560023148151</v>
      </c>
      <c r="F513" s="4">
        <f t="shared" si="74"/>
        <v>1.6000000000000014</v>
      </c>
      <c r="G513" s="4">
        <f t="shared" si="75"/>
        <v>0.80000000000000071</v>
      </c>
      <c r="H513" s="5">
        <f t="shared" si="76"/>
        <v>1.6000003740191473</v>
      </c>
      <c r="I513" s="14">
        <f t="shared" si="77"/>
        <v>292.02197360369968</v>
      </c>
      <c r="J513" s="19">
        <f t="shared" si="78"/>
        <v>953323.76130804885</v>
      </c>
      <c r="K513" s="16">
        <f t="shared" si="79"/>
        <v>0.9440438106493656</v>
      </c>
    </row>
    <row r="514" spans="1:11" x14ac:dyDescent="0.15">
      <c r="A514" s="7">
        <v>39235.560046296298</v>
      </c>
      <c r="B514">
        <v>39.299999999999997</v>
      </c>
      <c r="C514" s="6">
        <f t="shared" si="72"/>
        <v>988.00000024493784</v>
      </c>
      <c r="D514" t="str">
        <f t="shared" si="73"/>
        <v/>
      </c>
      <c r="E514">
        <f t="shared" si="71"/>
        <v>39235.560046296298</v>
      </c>
      <c r="F514" s="4">
        <f t="shared" si="74"/>
        <v>1.6999999999999957</v>
      </c>
      <c r="G514" s="4">
        <f t="shared" si="75"/>
        <v>0.84999999999999787</v>
      </c>
      <c r="H514" s="5">
        <f t="shared" si="76"/>
        <v>1.6499998670769842</v>
      </c>
      <c r="I514" s="14">
        <f t="shared" si="77"/>
        <v>301.14756562169208</v>
      </c>
      <c r="J514" s="19">
        <f t="shared" si="78"/>
        <v>953624.9088736705</v>
      </c>
      <c r="K514" s="16">
        <f t="shared" si="79"/>
        <v>0.94434202675071099</v>
      </c>
    </row>
    <row r="515" spans="1:11" x14ac:dyDescent="0.15">
      <c r="A515" s="7">
        <v>39235.560069444444</v>
      </c>
      <c r="B515">
        <v>39.299999999999997</v>
      </c>
      <c r="C515" s="6">
        <f t="shared" si="72"/>
        <v>990.00000008381903</v>
      </c>
      <c r="D515" t="str">
        <f t="shared" si="73"/>
        <v/>
      </c>
      <c r="E515">
        <f t="shared" si="71"/>
        <v>39235.560069444444</v>
      </c>
      <c r="F515" s="4">
        <f t="shared" si="74"/>
        <v>1.6999999999999957</v>
      </c>
      <c r="G515" s="4">
        <f t="shared" si="75"/>
        <v>0.84999999999999787</v>
      </c>
      <c r="H515" s="5">
        <f t="shared" si="76"/>
        <v>1.6999998630490112</v>
      </c>
      <c r="I515" s="14">
        <f t="shared" si="77"/>
        <v>310.27324942840949</v>
      </c>
      <c r="J515" s="19">
        <f t="shared" si="78"/>
        <v>953935.18212309887</v>
      </c>
      <c r="K515" s="16">
        <f t="shared" si="79"/>
        <v>0.94464927970361234</v>
      </c>
    </row>
    <row r="516" spans="1:11" x14ac:dyDescent="0.15">
      <c r="A516" s="7">
        <v>39235.56009259259</v>
      </c>
      <c r="B516">
        <v>39.299999999999997</v>
      </c>
      <c r="C516" s="6">
        <f t="shared" si="72"/>
        <v>991.99999992270023</v>
      </c>
      <c r="D516" t="str">
        <f t="shared" si="73"/>
        <v/>
      </c>
      <c r="E516">
        <f t="shared" si="71"/>
        <v>39235.56009259259</v>
      </c>
      <c r="F516" s="4">
        <f t="shared" si="74"/>
        <v>1.6999999999999957</v>
      </c>
      <c r="G516" s="4">
        <f t="shared" si="75"/>
        <v>0.84999999999999787</v>
      </c>
      <c r="H516" s="5">
        <f t="shared" si="76"/>
        <v>1.6999998630490112</v>
      </c>
      <c r="I516" s="14">
        <f t="shared" si="77"/>
        <v>310.27324942840949</v>
      </c>
      <c r="J516" s="19">
        <f t="shared" si="78"/>
        <v>954245.45537252724</v>
      </c>
      <c r="K516" s="16">
        <f t="shared" si="79"/>
        <v>0.94495653265651369</v>
      </c>
    </row>
    <row r="517" spans="1:11" x14ac:dyDescent="0.15">
      <c r="A517" s="7">
        <v>39235.560115740744</v>
      </c>
      <c r="B517">
        <v>39.299999999999997</v>
      </c>
      <c r="C517" s="6">
        <f t="shared" si="72"/>
        <v>994.00000039022416</v>
      </c>
      <c r="D517" t="str">
        <f t="shared" si="73"/>
        <v/>
      </c>
      <c r="E517">
        <f t="shared" si="71"/>
        <v>39235.560115740744</v>
      </c>
      <c r="F517" s="4">
        <f t="shared" si="74"/>
        <v>1.6999999999999957</v>
      </c>
      <c r="G517" s="4">
        <f t="shared" si="75"/>
        <v>0.84999999999999787</v>
      </c>
      <c r="H517" s="5">
        <f t="shared" si="76"/>
        <v>1.7000003973953384</v>
      </c>
      <c r="I517" s="14">
        <f t="shared" si="77"/>
        <v>310.27334695392983</v>
      </c>
      <c r="J517" s="19">
        <f t="shared" si="78"/>
        <v>954555.72871948115</v>
      </c>
      <c r="K517" s="16">
        <f t="shared" si="79"/>
        <v>0.94526378570599123</v>
      </c>
    </row>
    <row r="518" spans="1:11" x14ac:dyDescent="0.15">
      <c r="A518" s="7">
        <v>39235.56013888889</v>
      </c>
      <c r="B518">
        <v>39.4</v>
      </c>
      <c r="C518" s="6">
        <f t="shared" si="72"/>
        <v>996.00000022910535</v>
      </c>
      <c r="D518" t="str">
        <f t="shared" si="73"/>
        <v/>
      </c>
      <c r="E518">
        <f t="shared" si="71"/>
        <v>39235.56013888889</v>
      </c>
      <c r="F518" s="4">
        <f t="shared" si="74"/>
        <v>1.7999999999999972</v>
      </c>
      <c r="G518" s="4">
        <f t="shared" si="75"/>
        <v>0.89999999999999858</v>
      </c>
      <c r="H518" s="5">
        <f t="shared" si="76"/>
        <v>1.7499998590210417</v>
      </c>
      <c r="I518" s="14">
        <f t="shared" si="77"/>
        <v>319.39893323512757</v>
      </c>
      <c r="J518" s="19">
        <f t="shared" si="78"/>
        <v>954875.12765271624</v>
      </c>
      <c r="K518" s="16">
        <f t="shared" si="79"/>
        <v>0.94558007551044854</v>
      </c>
    </row>
    <row r="519" spans="1:11" x14ac:dyDescent="0.15">
      <c r="A519" s="7">
        <v>39235.560162037036</v>
      </c>
      <c r="B519">
        <v>39.299999999999997</v>
      </c>
      <c r="C519" s="6">
        <f t="shared" si="72"/>
        <v>998.00000006798655</v>
      </c>
      <c r="D519" t="str">
        <f t="shared" si="73"/>
        <v/>
      </c>
      <c r="E519">
        <f t="shared" si="71"/>
        <v>39235.560162037036</v>
      </c>
      <c r="F519" s="4">
        <f t="shared" si="74"/>
        <v>1.6999999999999957</v>
      </c>
      <c r="G519" s="4">
        <f t="shared" si="75"/>
        <v>0.84999999999999787</v>
      </c>
      <c r="H519" s="5">
        <f t="shared" si="76"/>
        <v>1.7499998590210417</v>
      </c>
      <c r="I519" s="14">
        <f t="shared" si="77"/>
        <v>319.39893323512757</v>
      </c>
      <c r="J519" s="19">
        <f t="shared" si="78"/>
        <v>955194.52658595133</v>
      </c>
      <c r="K519" s="16">
        <f t="shared" si="79"/>
        <v>0.94589636531490584</v>
      </c>
    </row>
    <row r="520" spans="1:11" x14ac:dyDescent="0.15">
      <c r="A520" s="7">
        <v>39235.560185185182</v>
      </c>
      <c r="B520">
        <v>39.4</v>
      </c>
      <c r="C520" s="6">
        <f t="shared" si="72"/>
        <v>999.99999990686774</v>
      </c>
      <c r="D520" t="str">
        <f t="shared" si="73"/>
        <v/>
      </c>
      <c r="E520">
        <f t="shared" si="71"/>
        <v>39235.560185185182</v>
      </c>
      <c r="F520" s="4">
        <f t="shared" si="74"/>
        <v>1.7999999999999972</v>
      </c>
      <c r="G520" s="4">
        <f t="shared" si="75"/>
        <v>0.89999999999999858</v>
      </c>
      <c r="H520" s="5">
        <f t="shared" si="76"/>
        <v>1.7499998590210417</v>
      </c>
      <c r="I520" s="14">
        <f t="shared" si="77"/>
        <v>319.39893323512757</v>
      </c>
      <c r="J520" s="19">
        <f t="shared" si="78"/>
        <v>955513.92551918642</v>
      </c>
      <c r="K520" s="16">
        <f t="shared" si="79"/>
        <v>0.94621265511936303</v>
      </c>
    </row>
    <row r="521" spans="1:11" x14ac:dyDescent="0.15">
      <c r="A521" s="7">
        <v>39235.560208333336</v>
      </c>
      <c r="B521">
        <v>39.4</v>
      </c>
      <c r="C521" s="6">
        <f t="shared" si="72"/>
        <v>1002.0000003743917</v>
      </c>
      <c r="D521" t="str">
        <f t="shared" si="73"/>
        <v/>
      </c>
      <c r="E521">
        <f t="shared" si="71"/>
        <v>39235.560208333336</v>
      </c>
      <c r="F521" s="4">
        <f t="shared" si="74"/>
        <v>1.7999999999999972</v>
      </c>
      <c r="G521" s="4">
        <f t="shared" si="75"/>
        <v>0.89999999999999858</v>
      </c>
      <c r="H521" s="5">
        <f t="shared" si="76"/>
        <v>1.8000004207715363</v>
      </c>
      <c r="I521" s="14">
        <f t="shared" si="77"/>
        <v>328.52472030416129</v>
      </c>
      <c r="J521" s="19">
        <f t="shared" si="78"/>
        <v>955842.4502394906</v>
      </c>
      <c r="K521" s="16">
        <f t="shared" si="79"/>
        <v>0.94653798187763349</v>
      </c>
    </row>
    <row r="522" spans="1:11" x14ac:dyDescent="0.15">
      <c r="A522" s="7">
        <v>39235.560231481482</v>
      </c>
      <c r="B522">
        <v>39.4</v>
      </c>
      <c r="C522" s="6">
        <f t="shared" si="72"/>
        <v>1004.0000002132729</v>
      </c>
      <c r="D522" t="str">
        <f t="shared" si="73"/>
        <v/>
      </c>
      <c r="E522">
        <f t="shared" si="71"/>
        <v>39235.560231481482</v>
      </c>
      <c r="F522" s="4">
        <f t="shared" si="74"/>
        <v>1.7999999999999972</v>
      </c>
      <c r="G522" s="4">
        <f t="shared" si="75"/>
        <v>0.89999999999999858</v>
      </c>
      <c r="H522" s="5">
        <f t="shared" si="76"/>
        <v>1.7999998549930722</v>
      </c>
      <c r="I522" s="14">
        <f t="shared" si="77"/>
        <v>328.52461704184566</v>
      </c>
      <c r="J522" s="19">
        <f t="shared" si="78"/>
        <v>956170.97485653241</v>
      </c>
      <c r="K522" s="16">
        <f t="shared" si="79"/>
        <v>0.94686330853364664</v>
      </c>
    </row>
    <row r="523" spans="1:11" x14ac:dyDescent="0.15">
      <c r="A523" s="7">
        <v>39235.560254629629</v>
      </c>
      <c r="B523">
        <v>39.4</v>
      </c>
      <c r="C523" s="6">
        <f t="shared" si="72"/>
        <v>1006.0000000521541</v>
      </c>
      <c r="D523" t="str">
        <f t="shared" si="73"/>
        <v/>
      </c>
      <c r="E523">
        <f t="shared" si="71"/>
        <v>39235.560254629629</v>
      </c>
      <c r="F523" s="4">
        <f t="shared" si="74"/>
        <v>1.7999999999999972</v>
      </c>
      <c r="G523" s="4">
        <f t="shared" si="75"/>
        <v>0.89999999999999858</v>
      </c>
      <c r="H523" s="5">
        <f t="shared" si="76"/>
        <v>1.7999998549930722</v>
      </c>
      <c r="I523" s="14">
        <f t="shared" si="77"/>
        <v>328.52461704184566</v>
      </c>
      <c r="J523" s="19">
        <f t="shared" si="78"/>
        <v>956499.49947357422</v>
      </c>
      <c r="K523" s="16">
        <f t="shared" si="79"/>
        <v>0.9471886351896599</v>
      </c>
    </row>
    <row r="524" spans="1:11" x14ac:dyDescent="0.15">
      <c r="A524" s="7">
        <v>39235.560277777775</v>
      </c>
      <c r="B524">
        <v>39.6</v>
      </c>
      <c r="C524" s="6">
        <f t="shared" si="72"/>
        <v>1007.9999998910353</v>
      </c>
      <c r="D524" t="str">
        <f t="shared" si="73"/>
        <v/>
      </c>
      <c r="E524">
        <f t="shared" si="71"/>
        <v>39235.560277777775</v>
      </c>
      <c r="F524" s="4">
        <f t="shared" si="74"/>
        <v>2</v>
      </c>
      <c r="G524" s="4">
        <f t="shared" si="75"/>
        <v>1</v>
      </c>
      <c r="H524" s="5">
        <f t="shared" si="76"/>
        <v>1.8999998469371335</v>
      </c>
      <c r="I524" s="14">
        <f t="shared" si="77"/>
        <v>346.77598465528183</v>
      </c>
      <c r="J524" s="19">
        <f t="shared" si="78"/>
        <v>956846.27545822947</v>
      </c>
      <c r="K524" s="16">
        <f t="shared" si="79"/>
        <v>0.94753203554878496</v>
      </c>
    </row>
    <row r="525" spans="1:11" x14ac:dyDescent="0.15">
      <c r="A525" s="7">
        <v>39235.560300925928</v>
      </c>
      <c r="B525">
        <v>39.6</v>
      </c>
      <c r="C525" s="6">
        <f t="shared" si="72"/>
        <v>1010.0000003585592</v>
      </c>
      <c r="D525" t="str">
        <f t="shared" si="73"/>
        <v/>
      </c>
      <c r="E525">
        <f t="shared" si="71"/>
        <v>39235.560300925928</v>
      </c>
      <c r="F525" s="4">
        <f t="shared" si="74"/>
        <v>2</v>
      </c>
      <c r="G525" s="4">
        <f t="shared" si="75"/>
        <v>1</v>
      </c>
      <c r="H525" s="5">
        <f t="shared" si="76"/>
        <v>2.0000004675239325</v>
      </c>
      <c r="I525" s="14">
        <f t="shared" si="77"/>
        <v>365.02746700462427</v>
      </c>
      <c r="J525" s="19">
        <f t="shared" si="78"/>
        <v>957211.30292523408</v>
      </c>
      <c r="K525" s="16">
        <f t="shared" si="79"/>
        <v>0.94789350972464081</v>
      </c>
    </row>
    <row r="526" spans="1:11" x14ac:dyDescent="0.15">
      <c r="A526" s="7">
        <v>39235.560324074075</v>
      </c>
      <c r="B526">
        <v>39.6</v>
      </c>
      <c r="C526" s="6">
        <f t="shared" si="72"/>
        <v>1012.0000001974404</v>
      </c>
      <c r="D526" t="str">
        <f t="shared" si="73"/>
        <v/>
      </c>
      <c r="E526">
        <f t="shared" si="71"/>
        <v>39235.560324074075</v>
      </c>
      <c r="F526" s="4">
        <f t="shared" si="74"/>
        <v>2</v>
      </c>
      <c r="G526" s="4">
        <f t="shared" si="75"/>
        <v>1</v>
      </c>
      <c r="H526" s="5">
        <f t="shared" si="76"/>
        <v>1.9999998388811946</v>
      </c>
      <c r="I526" s="14">
        <f t="shared" si="77"/>
        <v>365.02735226871795</v>
      </c>
      <c r="J526" s="19">
        <f t="shared" si="78"/>
        <v>957576.33027750277</v>
      </c>
      <c r="K526" s="16">
        <f t="shared" si="79"/>
        <v>0.94825498378687778</v>
      </c>
    </row>
    <row r="527" spans="1:11" x14ac:dyDescent="0.15">
      <c r="A527" s="7">
        <v>39235.560347222221</v>
      </c>
      <c r="B527">
        <v>39.700000000000003</v>
      </c>
      <c r="C527" s="6">
        <f t="shared" si="72"/>
        <v>1014.0000000363216</v>
      </c>
      <c r="D527" t="str">
        <f t="shared" si="73"/>
        <v/>
      </c>
      <c r="E527">
        <f t="shared" si="71"/>
        <v>39235.560347222221</v>
      </c>
      <c r="F527" s="4">
        <f t="shared" si="74"/>
        <v>2.1000000000000014</v>
      </c>
      <c r="G527" s="4">
        <f t="shared" si="75"/>
        <v>1.0500000000000007</v>
      </c>
      <c r="H527" s="5">
        <f t="shared" si="76"/>
        <v>2.0499998348532253</v>
      </c>
      <c r="I527" s="14">
        <f t="shared" si="77"/>
        <v>374.15303607543609</v>
      </c>
      <c r="J527" s="19">
        <f t="shared" si="78"/>
        <v>957950.48331357818</v>
      </c>
      <c r="K527" s="16">
        <f t="shared" si="79"/>
        <v>0.94862549470067059</v>
      </c>
    </row>
    <row r="528" spans="1:11" x14ac:dyDescent="0.15">
      <c r="A528" s="7">
        <v>39235.560370370367</v>
      </c>
      <c r="B528">
        <v>39.6</v>
      </c>
      <c r="C528" s="6">
        <f t="shared" si="72"/>
        <v>1015.9999998752028</v>
      </c>
      <c r="D528" t="str">
        <f t="shared" si="73"/>
        <v/>
      </c>
      <c r="E528">
        <f t="shared" si="71"/>
        <v>39235.560370370367</v>
      </c>
      <c r="F528" s="4">
        <f t="shared" si="74"/>
        <v>2</v>
      </c>
      <c r="G528" s="4">
        <f t="shared" si="75"/>
        <v>1</v>
      </c>
      <c r="H528" s="5">
        <f t="shared" si="76"/>
        <v>2.0499998348532253</v>
      </c>
      <c r="I528" s="14">
        <f t="shared" si="77"/>
        <v>374.15303607543609</v>
      </c>
      <c r="J528" s="19">
        <f t="shared" si="78"/>
        <v>958324.63634965359</v>
      </c>
      <c r="K528" s="16">
        <f t="shared" si="79"/>
        <v>0.9489960056144634</v>
      </c>
    </row>
    <row r="529" spans="1:11" x14ac:dyDescent="0.15">
      <c r="A529" s="7">
        <v>39235.560393518521</v>
      </c>
      <c r="B529">
        <v>39.700000000000003</v>
      </c>
      <c r="C529" s="6">
        <f t="shared" si="72"/>
        <v>1018.0000003427267</v>
      </c>
      <c r="D529" t="str">
        <f t="shared" si="73"/>
        <v/>
      </c>
      <c r="E529">
        <f t="shared" si="71"/>
        <v>39235.560393518521</v>
      </c>
      <c r="F529" s="4">
        <f t="shared" si="74"/>
        <v>2.1000000000000014</v>
      </c>
      <c r="G529" s="4">
        <f t="shared" si="75"/>
        <v>1.0500000000000007</v>
      </c>
      <c r="H529" s="5">
        <f t="shared" si="76"/>
        <v>2.0500004792120317</v>
      </c>
      <c r="I529" s="14">
        <f t="shared" si="77"/>
        <v>374.15315367974006</v>
      </c>
      <c r="J529" s="19">
        <f t="shared" si="78"/>
        <v>958698.78950333328</v>
      </c>
      <c r="K529" s="16">
        <f t="shared" si="79"/>
        <v>0.94936651664471572</v>
      </c>
    </row>
    <row r="530" spans="1:11" x14ac:dyDescent="0.15">
      <c r="A530" s="7">
        <v>39235.560416666667</v>
      </c>
      <c r="B530">
        <v>39.700000000000003</v>
      </c>
      <c r="C530" s="6">
        <f t="shared" si="72"/>
        <v>1020.0000001816079</v>
      </c>
      <c r="D530" t="str">
        <f t="shared" si="73"/>
        <v/>
      </c>
      <c r="E530">
        <f t="shared" si="71"/>
        <v>39235.560416666667</v>
      </c>
      <c r="F530" s="4">
        <f t="shared" si="74"/>
        <v>2.1000000000000014</v>
      </c>
      <c r="G530" s="4">
        <f t="shared" si="75"/>
        <v>1.0500000000000007</v>
      </c>
      <c r="H530" s="5">
        <f t="shared" si="76"/>
        <v>2.0999998308252557</v>
      </c>
      <c r="I530" s="14">
        <f t="shared" si="77"/>
        <v>383.27871988215412</v>
      </c>
      <c r="J530" s="19">
        <f t="shared" si="78"/>
        <v>959082.06822321541</v>
      </c>
      <c r="K530" s="16">
        <f t="shared" si="79"/>
        <v>0.94974606441006448</v>
      </c>
    </row>
    <row r="531" spans="1:11" x14ac:dyDescent="0.15">
      <c r="A531" s="7">
        <v>39235.560439814813</v>
      </c>
      <c r="B531">
        <v>39.700000000000003</v>
      </c>
      <c r="C531" s="6">
        <f t="shared" si="72"/>
        <v>1022.0000000204891</v>
      </c>
      <c r="D531" t="str">
        <f t="shared" si="73"/>
        <v/>
      </c>
      <c r="E531">
        <f t="shared" si="71"/>
        <v>39235.560439814813</v>
      </c>
      <c r="F531" s="4">
        <f t="shared" si="74"/>
        <v>2.1000000000000014</v>
      </c>
      <c r="G531" s="4">
        <f t="shared" si="75"/>
        <v>1.0500000000000007</v>
      </c>
      <c r="H531" s="5">
        <f t="shared" si="76"/>
        <v>2.0999998308252557</v>
      </c>
      <c r="I531" s="14">
        <f t="shared" si="77"/>
        <v>383.27871988215412</v>
      </c>
      <c r="J531" s="19">
        <f t="shared" si="78"/>
        <v>959465.34694309754</v>
      </c>
      <c r="K531" s="16">
        <f t="shared" si="79"/>
        <v>0.95012561217541325</v>
      </c>
    </row>
    <row r="532" spans="1:11" x14ac:dyDescent="0.15">
      <c r="A532" s="7">
        <v>39235.56046296296</v>
      </c>
      <c r="B532">
        <v>39.9</v>
      </c>
      <c r="C532" s="6">
        <f t="shared" si="72"/>
        <v>1023.9999998593703</v>
      </c>
      <c r="D532" t="str">
        <f t="shared" si="73"/>
        <v/>
      </c>
      <c r="E532">
        <f t="shared" si="71"/>
        <v>39235.56046296296</v>
      </c>
      <c r="F532" s="4">
        <f t="shared" si="74"/>
        <v>2.2999999999999972</v>
      </c>
      <c r="G532" s="4">
        <f t="shared" si="75"/>
        <v>1.1499999999999986</v>
      </c>
      <c r="H532" s="5">
        <f t="shared" si="76"/>
        <v>2.1999998227693132</v>
      </c>
      <c r="I532" s="14">
        <f t="shared" si="77"/>
        <v>401.53008749558961</v>
      </c>
      <c r="J532" s="19">
        <f t="shared" si="78"/>
        <v>959866.87703059311</v>
      </c>
      <c r="K532" s="16">
        <f t="shared" si="79"/>
        <v>0.95052323364387381</v>
      </c>
    </row>
    <row r="533" spans="1:11" x14ac:dyDescent="0.15">
      <c r="A533" s="7">
        <v>39235.560486111113</v>
      </c>
      <c r="B533">
        <v>39.700000000000003</v>
      </c>
      <c r="C533" s="6">
        <f t="shared" si="72"/>
        <v>1026.0000003268942</v>
      </c>
      <c r="D533" t="str">
        <f t="shared" si="73"/>
        <v/>
      </c>
      <c r="E533">
        <f t="shared" ref="E533:E596" si="80">IF(B533-$B$6&gt;0,A533," ")</f>
        <v>39235.560486111113</v>
      </c>
      <c r="F533" s="4">
        <f t="shared" si="74"/>
        <v>2.1000000000000014</v>
      </c>
      <c r="G533" s="4">
        <f t="shared" si="75"/>
        <v>1.0500000000000007</v>
      </c>
      <c r="H533" s="5">
        <f t="shared" si="76"/>
        <v>2.2000005142763248</v>
      </c>
      <c r="I533" s="14">
        <f t="shared" si="77"/>
        <v>401.53021370508651</v>
      </c>
      <c r="J533" s="19">
        <f t="shared" si="78"/>
        <v>960268.40724429814</v>
      </c>
      <c r="K533" s="16">
        <f t="shared" si="79"/>
        <v>0.95092085523731529</v>
      </c>
    </row>
    <row r="534" spans="1:11" x14ac:dyDescent="0.15">
      <c r="A534" s="7">
        <v>39235.56050925926</v>
      </c>
      <c r="B534">
        <v>39.700000000000003</v>
      </c>
      <c r="C534" s="6">
        <f t="shared" si="72"/>
        <v>1028.0000001657754</v>
      </c>
      <c r="D534" t="str">
        <f t="shared" si="73"/>
        <v/>
      </c>
      <c r="E534">
        <f t="shared" si="80"/>
        <v>39235.56050925926</v>
      </c>
      <c r="F534" s="4">
        <f t="shared" si="74"/>
        <v>2.1000000000000014</v>
      </c>
      <c r="G534" s="4">
        <f t="shared" si="75"/>
        <v>1.0500000000000007</v>
      </c>
      <c r="H534" s="5">
        <f t="shared" si="76"/>
        <v>2.0999998308252557</v>
      </c>
      <c r="I534" s="14">
        <f t="shared" si="77"/>
        <v>383.27871988215412</v>
      </c>
      <c r="J534" s="19">
        <f t="shared" si="78"/>
        <v>960651.68596418027</v>
      </c>
      <c r="K534" s="16">
        <f t="shared" si="79"/>
        <v>0.95130040300266405</v>
      </c>
    </row>
    <row r="535" spans="1:11" x14ac:dyDescent="0.15">
      <c r="A535" s="7">
        <v>39235.560532407406</v>
      </c>
      <c r="B535">
        <v>39.700000000000003</v>
      </c>
      <c r="C535" s="6">
        <f t="shared" si="72"/>
        <v>1030.0000000046566</v>
      </c>
      <c r="D535" t="str">
        <f t="shared" si="73"/>
        <v/>
      </c>
      <c r="E535">
        <f t="shared" si="80"/>
        <v>39235.560532407406</v>
      </c>
      <c r="F535" s="4">
        <f t="shared" si="74"/>
        <v>2.1000000000000014</v>
      </c>
      <c r="G535" s="4">
        <f t="shared" si="75"/>
        <v>1.0500000000000007</v>
      </c>
      <c r="H535" s="5">
        <f t="shared" si="76"/>
        <v>2.0999998308252557</v>
      </c>
      <c r="I535" s="14">
        <f t="shared" si="77"/>
        <v>383.27871988215412</v>
      </c>
      <c r="J535" s="19">
        <f t="shared" si="78"/>
        <v>961034.9646840624</v>
      </c>
      <c r="K535" s="16">
        <f t="shared" si="79"/>
        <v>0.95167995076801282</v>
      </c>
    </row>
    <row r="536" spans="1:11" x14ac:dyDescent="0.15">
      <c r="A536" s="7">
        <v>39235.560555555552</v>
      </c>
      <c r="B536">
        <v>39.9</v>
      </c>
      <c r="C536" s="6">
        <f t="shared" si="72"/>
        <v>1031.9999998435378</v>
      </c>
      <c r="D536" t="str">
        <f t="shared" si="73"/>
        <v/>
      </c>
      <c r="E536">
        <f t="shared" si="80"/>
        <v>39235.560555555552</v>
      </c>
      <c r="F536" s="4">
        <f t="shared" si="74"/>
        <v>2.2999999999999972</v>
      </c>
      <c r="G536" s="4">
        <f t="shared" si="75"/>
        <v>1.1499999999999986</v>
      </c>
      <c r="H536" s="5">
        <f t="shared" si="76"/>
        <v>2.1999998227693132</v>
      </c>
      <c r="I536" s="14">
        <f t="shared" si="77"/>
        <v>401.53008749558961</v>
      </c>
      <c r="J536" s="19">
        <f t="shared" si="78"/>
        <v>961436.49477155798</v>
      </c>
      <c r="K536" s="16">
        <f t="shared" si="79"/>
        <v>0.95207757223647349</v>
      </c>
    </row>
    <row r="537" spans="1:11" x14ac:dyDescent="0.15">
      <c r="A537" s="7">
        <v>39235.560578703706</v>
      </c>
      <c r="B537">
        <v>39.700000000000003</v>
      </c>
      <c r="C537" s="6">
        <f t="shared" si="72"/>
        <v>1034.0000003110617</v>
      </c>
      <c r="D537" t="str">
        <f t="shared" si="73"/>
        <v/>
      </c>
      <c r="E537">
        <f t="shared" si="80"/>
        <v>39235.560578703706</v>
      </c>
      <c r="F537" s="4">
        <f t="shared" si="74"/>
        <v>2.1000000000000014</v>
      </c>
      <c r="G537" s="4">
        <f t="shared" si="75"/>
        <v>1.0500000000000007</v>
      </c>
      <c r="H537" s="5">
        <f t="shared" si="76"/>
        <v>2.2000005142763248</v>
      </c>
      <c r="I537" s="14">
        <f t="shared" si="77"/>
        <v>401.53021370508651</v>
      </c>
      <c r="J537" s="19">
        <f t="shared" si="78"/>
        <v>961838.02498526301</v>
      </c>
      <c r="K537" s="16">
        <f t="shared" si="79"/>
        <v>0.95247519382991497</v>
      </c>
    </row>
    <row r="538" spans="1:11" x14ac:dyDescent="0.15">
      <c r="A538" s="7">
        <v>39235.560601851852</v>
      </c>
      <c r="B538">
        <v>39.700000000000003</v>
      </c>
      <c r="C538" s="6">
        <f t="shared" si="72"/>
        <v>1036.0000001499429</v>
      </c>
      <c r="D538" t="str">
        <f t="shared" si="73"/>
        <v/>
      </c>
      <c r="E538">
        <f t="shared" si="80"/>
        <v>39235.560601851852</v>
      </c>
      <c r="F538" s="4">
        <f t="shared" si="74"/>
        <v>2.1000000000000014</v>
      </c>
      <c r="G538" s="4">
        <f t="shared" si="75"/>
        <v>1.0500000000000007</v>
      </c>
      <c r="H538" s="5">
        <f t="shared" si="76"/>
        <v>2.0999998308252557</v>
      </c>
      <c r="I538" s="14">
        <f t="shared" si="77"/>
        <v>383.27871988215412</v>
      </c>
      <c r="J538" s="19">
        <f t="shared" si="78"/>
        <v>962221.30370514514</v>
      </c>
      <c r="K538" s="16">
        <f t="shared" si="79"/>
        <v>0.95285474159526373</v>
      </c>
    </row>
    <row r="539" spans="1:11" x14ac:dyDescent="0.15">
      <c r="A539" s="7">
        <v>39235.560624999998</v>
      </c>
      <c r="B539">
        <v>39.700000000000003</v>
      </c>
      <c r="C539" s="6">
        <f t="shared" si="72"/>
        <v>1037.9999999888241</v>
      </c>
      <c r="D539" t="str">
        <f t="shared" si="73"/>
        <v/>
      </c>
      <c r="E539">
        <f t="shared" si="80"/>
        <v>39235.560624999998</v>
      </c>
      <c r="F539" s="4">
        <f t="shared" si="74"/>
        <v>2.1000000000000014</v>
      </c>
      <c r="G539" s="4">
        <f t="shared" si="75"/>
        <v>1.0500000000000007</v>
      </c>
      <c r="H539" s="5">
        <f t="shared" si="76"/>
        <v>2.0999998308252557</v>
      </c>
      <c r="I539" s="14">
        <f t="shared" si="77"/>
        <v>383.27871988215412</v>
      </c>
      <c r="J539" s="19">
        <f t="shared" si="78"/>
        <v>962604.58242502727</v>
      </c>
      <c r="K539" s="16">
        <f t="shared" si="79"/>
        <v>0.9532342893606125</v>
      </c>
    </row>
    <row r="540" spans="1:11" x14ac:dyDescent="0.15">
      <c r="A540" s="7">
        <v>39235.560648148145</v>
      </c>
      <c r="B540">
        <v>39.700000000000003</v>
      </c>
      <c r="C540" s="6">
        <f t="shared" si="72"/>
        <v>1039.9999998277053</v>
      </c>
      <c r="D540" t="str">
        <f t="shared" si="73"/>
        <v/>
      </c>
      <c r="E540">
        <f t="shared" si="80"/>
        <v>39235.560648148145</v>
      </c>
      <c r="F540" s="4">
        <f t="shared" si="74"/>
        <v>2.1000000000000014</v>
      </c>
      <c r="G540" s="4">
        <f t="shared" si="75"/>
        <v>1.0500000000000007</v>
      </c>
      <c r="H540" s="5">
        <f t="shared" si="76"/>
        <v>2.0999998308252557</v>
      </c>
      <c r="I540" s="14">
        <f t="shared" si="77"/>
        <v>383.27871988215412</v>
      </c>
      <c r="J540" s="19">
        <f t="shared" si="78"/>
        <v>962987.8611449094</v>
      </c>
      <c r="K540" s="16">
        <f t="shared" si="79"/>
        <v>0.95361383712596115</v>
      </c>
    </row>
    <row r="541" spans="1:11" x14ac:dyDescent="0.15">
      <c r="A541" s="7">
        <v>39235.560671296298</v>
      </c>
      <c r="B541">
        <v>39.700000000000003</v>
      </c>
      <c r="C541" s="6">
        <f t="shared" si="72"/>
        <v>1042.0000002952293</v>
      </c>
      <c r="D541" t="str">
        <f t="shared" si="73"/>
        <v/>
      </c>
      <c r="E541">
        <f t="shared" si="80"/>
        <v>39235.560671296298</v>
      </c>
      <c r="F541" s="4">
        <f t="shared" si="74"/>
        <v>2.1000000000000014</v>
      </c>
      <c r="G541" s="4">
        <f t="shared" si="75"/>
        <v>1.0500000000000007</v>
      </c>
      <c r="H541" s="5">
        <f t="shared" si="76"/>
        <v>2.1000004909001304</v>
      </c>
      <c r="I541" s="14">
        <f t="shared" si="77"/>
        <v>383.27884035485573</v>
      </c>
      <c r="J541" s="19">
        <f t="shared" si="78"/>
        <v>963371.13998526428</v>
      </c>
      <c r="K541" s="16">
        <f t="shared" si="79"/>
        <v>0.95399338501060993</v>
      </c>
    </row>
    <row r="542" spans="1:11" x14ac:dyDescent="0.15">
      <c r="A542" s="7">
        <v>39235.560694444444</v>
      </c>
      <c r="B542">
        <v>39.6</v>
      </c>
      <c r="C542" s="6">
        <f t="shared" si="72"/>
        <v>1044.0000001341105</v>
      </c>
      <c r="D542" t="str">
        <f t="shared" si="73"/>
        <v/>
      </c>
      <c r="E542">
        <f t="shared" si="80"/>
        <v>39235.560694444444</v>
      </c>
      <c r="F542" s="4">
        <f t="shared" si="74"/>
        <v>2</v>
      </c>
      <c r="G542" s="4">
        <f t="shared" si="75"/>
        <v>1</v>
      </c>
      <c r="H542" s="5">
        <f t="shared" si="76"/>
        <v>2.0499998348532253</v>
      </c>
      <c r="I542" s="14">
        <f t="shared" si="77"/>
        <v>374.15303607543609</v>
      </c>
      <c r="J542" s="19">
        <f t="shared" si="78"/>
        <v>963745.29302133969</v>
      </c>
      <c r="K542" s="16">
        <f t="shared" si="79"/>
        <v>0.95436389592440285</v>
      </c>
    </row>
    <row r="543" spans="1:11" x14ac:dyDescent="0.15">
      <c r="A543" s="7">
        <v>39235.560717592591</v>
      </c>
      <c r="B543">
        <v>39.6</v>
      </c>
      <c r="C543" s="6">
        <f t="shared" si="72"/>
        <v>1045.9999999729916</v>
      </c>
      <c r="D543" t="str">
        <f t="shared" si="73"/>
        <v/>
      </c>
      <c r="E543">
        <f t="shared" si="80"/>
        <v>39235.560717592591</v>
      </c>
      <c r="F543" s="4">
        <f t="shared" si="74"/>
        <v>2</v>
      </c>
      <c r="G543" s="4">
        <f t="shared" si="75"/>
        <v>1</v>
      </c>
      <c r="H543" s="5">
        <f t="shared" si="76"/>
        <v>1.9999998388811946</v>
      </c>
      <c r="I543" s="14">
        <f t="shared" si="77"/>
        <v>365.02735226871795</v>
      </c>
      <c r="J543" s="19">
        <f t="shared" si="78"/>
        <v>964110.32037360838</v>
      </c>
      <c r="K543" s="16">
        <f t="shared" si="79"/>
        <v>0.9547253699866397</v>
      </c>
    </row>
    <row r="544" spans="1:11" x14ac:dyDescent="0.15">
      <c r="A544" s="7">
        <v>39235.560740740744</v>
      </c>
      <c r="B544">
        <v>39.6</v>
      </c>
      <c r="C544" s="6">
        <f t="shared" si="72"/>
        <v>1048.0000004405156</v>
      </c>
      <c r="D544" t="str">
        <f t="shared" si="73"/>
        <v/>
      </c>
      <c r="E544">
        <f t="shared" si="80"/>
        <v>39235.560740740744</v>
      </c>
      <c r="F544" s="4">
        <f t="shared" si="74"/>
        <v>2</v>
      </c>
      <c r="G544" s="4">
        <f t="shared" si="75"/>
        <v>1</v>
      </c>
      <c r="H544" s="5">
        <f t="shared" si="76"/>
        <v>2.0000004675239325</v>
      </c>
      <c r="I544" s="14">
        <f t="shared" si="77"/>
        <v>365.02746700462427</v>
      </c>
      <c r="J544" s="19">
        <f t="shared" si="78"/>
        <v>964475.34784061299</v>
      </c>
      <c r="K544" s="16">
        <f t="shared" si="79"/>
        <v>0.95508684416249567</v>
      </c>
    </row>
    <row r="545" spans="1:11" x14ac:dyDescent="0.15">
      <c r="A545" s="7">
        <v>39235.560763888891</v>
      </c>
      <c r="B545">
        <v>39.299999999999997</v>
      </c>
      <c r="C545" s="6">
        <f t="shared" si="72"/>
        <v>1050.0000002793968</v>
      </c>
      <c r="D545" t="str">
        <f t="shared" si="73"/>
        <v/>
      </c>
      <c r="E545">
        <f t="shared" si="80"/>
        <v>39235.560763888891</v>
      </c>
      <c r="F545" s="4">
        <f t="shared" si="74"/>
        <v>1.6999999999999957</v>
      </c>
      <c r="G545" s="4">
        <f t="shared" si="75"/>
        <v>0.84999999999999787</v>
      </c>
      <c r="H545" s="5">
        <f t="shared" si="76"/>
        <v>1.8499998509651028</v>
      </c>
      <c r="I545" s="14">
        <f t="shared" si="77"/>
        <v>337.65030084856369</v>
      </c>
      <c r="J545" s="19">
        <f t="shared" si="78"/>
        <v>964812.99814146152</v>
      </c>
      <c r="K545" s="16">
        <f t="shared" si="79"/>
        <v>0.95542120767006478</v>
      </c>
    </row>
    <row r="546" spans="1:11" x14ac:dyDescent="0.15">
      <c r="A546" s="7">
        <v>39235.560787037037</v>
      </c>
      <c r="B546">
        <v>39.299999999999997</v>
      </c>
      <c r="C546" s="6">
        <f t="shared" si="72"/>
        <v>1052.000000118278</v>
      </c>
      <c r="D546" t="str">
        <f t="shared" si="73"/>
        <v/>
      </c>
      <c r="E546">
        <f t="shared" si="80"/>
        <v>39235.560787037037</v>
      </c>
      <c r="F546" s="4">
        <f t="shared" si="74"/>
        <v>1.6999999999999957</v>
      </c>
      <c r="G546" s="4">
        <f t="shared" si="75"/>
        <v>0.84999999999999787</v>
      </c>
      <c r="H546" s="5">
        <f t="shared" si="76"/>
        <v>1.6999998630490112</v>
      </c>
      <c r="I546" s="14">
        <f t="shared" si="77"/>
        <v>310.27324942840949</v>
      </c>
      <c r="J546" s="19">
        <f t="shared" si="78"/>
        <v>965123.27139088989</v>
      </c>
      <c r="K546" s="16">
        <f t="shared" si="79"/>
        <v>0.95572846062296613</v>
      </c>
    </row>
    <row r="547" spans="1:11" x14ac:dyDescent="0.15">
      <c r="A547" s="7">
        <v>39235.560810185183</v>
      </c>
      <c r="B547">
        <v>39.299999999999997</v>
      </c>
      <c r="C547" s="6">
        <f t="shared" si="72"/>
        <v>1053.9999999571592</v>
      </c>
      <c r="D547" t="str">
        <f t="shared" si="73"/>
        <v/>
      </c>
      <c r="E547">
        <f t="shared" si="80"/>
        <v>39235.560810185183</v>
      </c>
      <c r="F547" s="4">
        <f t="shared" si="74"/>
        <v>1.6999999999999957</v>
      </c>
      <c r="G547" s="4">
        <f t="shared" si="75"/>
        <v>0.84999999999999787</v>
      </c>
      <c r="H547" s="5">
        <f t="shared" si="76"/>
        <v>1.6999998630490112</v>
      </c>
      <c r="I547" s="14">
        <f t="shared" si="77"/>
        <v>310.27324942840949</v>
      </c>
      <c r="J547" s="19">
        <f t="shared" si="78"/>
        <v>965433.54464031826</v>
      </c>
      <c r="K547" s="16">
        <f t="shared" si="79"/>
        <v>0.95603571357586747</v>
      </c>
    </row>
    <row r="548" spans="1:11" x14ac:dyDescent="0.15">
      <c r="A548" s="7">
        <v>39235.560833333337</v>
      </c>
      <c r="B548">
        <v>39.299999999999997</v>
      </c>
      <c r="C548" s="6">
        <f t="shared" si="72"/>
        <v>1056.0000004246831</v>
      </c>
      <c r="D548" t="str">
        <f t="shared" si="73"/>
        <v/>
      </c>
      <c r="E548">
        <f t="shared" si="80"/>
        <v>39235.560833333337</v>
      </c>
      <c r="F548" s="4">
        <f t="shared" si="74"/>
        <v>1.6999999999999957</v>
      </c>
      <c r="G548" s="4">
        <f t="shared" si="75"/>
        <v>0.84999999999999787</v>
      </c>
      <c r="H548" s="5">
        <f t="shared" si="76"/>
        <v>1.7000003973953384</v>
      </c>
      <c r="I548" s="14">
        <f t="shared" si="77"/>
        <v>310.27334695392983</v>
      </c>
      <c r="J548" s="19">
        <f t="shared" si="78"/>
        <v>965743.81798727217</v>
      </c>
      <c r="K548" s="16">
        <f t="shared" si="79"/>
        <v>0.95634296662534501</v>
      </c>
    </row>
    <row r="549" spans="1:11" x14ac:dyDescent="0.15">
      <c r="A549" s="7">
        <v>39235.560856481483</v>
      </c>
      <c r="B549">
        <v>39.299999999999997</v>
      </c>
      <c r="C549" s="6">
        <f t="shared" si="72"/>
        <v>1058.0000002635643</v>
      </c>
      <c r="D549" t="str">
        <f t="shared" si="73"/>
        <v/>
      </c>
      <c r="E549">
        <f t="shared" si="80"/>
        <v>39235.560856481483</v>
      </c>
      <c r="F549" s="4">
        <f t="shared" si="74"/>
        <v>1.6999999999999957</v>
      </c>
      <c r="G549" s="4">
        <f t="shared" si="75"/>
        <v>0.84999999999999787</v>
      </c>
      <c r="H549" s="5">
        <f t="shared" si="76"/>
        <v>1.6999998630490112</v>
      </c>
      <c r="I549" s="14">
        <f t="shared" si="77"/>
        <v>310.27324942840949</v>
      </c>
      <c r="J549" s="19">
        <f t="shared" si="78"/>
        <v>966054.09123670054</v>
      </c>
      <c r="K549" s="16">
        <f t="shared" si="79"/>
        <v>0.95665021957824636</v>
      </c>
    </row>
    <row r="550" spans="1:11" x14ac:dyDescent="0.15">
      <c r="A550" s="7">
        <v>39235.560879629629</v>
      </c>
      <c r="B550">
        <v>39.200000000000003</v>
      </c>
      <c r="C550" s="6">
        <f t="shared" si="72"/>
        <v>1060.0000001024455</v>
      </c>
      <c r="D550" t="str">
        <f t="shared" si="73"/>
        <v/>
      </c>
      <c r="E550">
        <f t="shared" si="80"/>
        <v>39235.560879629629</v>
      </c>
      <c r="F550" s="4">
        <f t="shared" si="74"/>
        <v>1.6000000000000014</v>
      </c>
      <c r="G550" s="4">
        <f t="shared" si="75"/>
        <v>0.80000000000000071</v>
      </c>
      <c r="H550" s="5">
        <f t="shared" si="76"/>
        <v>1.6499998670769842</v>
      </c>
      <c r="I550" s="14">
        <f t="shared" si="77"/>
        <v>301.14756562169208</v>
      </c>
      <c r="J550" s="19">
        <f t="shared" si="78"/>
        <v>966355.23880232219</v>
      </c>
      <c r="K550" s="16">
        <f t="shared" si="79"/>
        <v>0.95694843567959176</v>
      </c>
    </row>
    <row r="551" spans="1:11" x14ac:dyDescent="0.15">
      <c r="A551" s="7">
        <v>39235.560902777775</v>
      </c>
      <c r="B551">
        <v>39.200000000000003</v>
      </c>
      <c r="C551" s="6">
        <f t="shared" si="72"/>
        <v>1061.9999999413267</v>
      </c>
      <c r="D551" t="str">
        <f t="shared" si="73"/>
        <v/>
      </c>
      <c r="E551">
        <f t="shared" si="80"/>
        <v>39235.560902777775</v>
      </c>
      <c r="F551" s="4">
        <f t="shared" si="74"/>
        <v>1.6000000000000014</v>
      </c>
      <c r="G551" s="4">
        <f t="shared" si="75"/>
        <v>0.80000000000000071</v>
      </c>
      <c r="H551" s="5">
        <f t="shared" si="76"/>
        <v>1.599999871104957</v>
      </c>
      <c r="I551" s="14">
        <f t="shared" si="77"/>
        <v>292.02188181497462</v>
      </c>
      <c r="J551" s="19">
        <f t="shared" si="78"/>
        <v>966647.26068413712</v>
      </c>
      <c r="K551" s="16">
        <f t="shared" si="79"/>
        <v>0.95723761492938131</v>
      </c>
    </row>
    <row r="552" spans="1:11" x14ac:dyDescent="0.15">
      <c r="A552" s="7">
        <v>39235.560925925929</v>
      </c>
      <c r="B552">
        <v>39</v>
      </c>
      <c r="C552" s="6">
        <f t="shared" ref="C552:C615" si="81">(A552-$B$4)*24*60*60</f>
        <v>1064.0000004088506</v>
      </c>
      <c r="D552" t="str">
        <f t="shared" ref="D552:D615" si="82">IF(F552=$B$8,A552,"")</f>
        <v/>
      </c>
      <c r="E552">
        <f t="shared" si="80"/>
        <v>39235.560925925929</v>
      </c>
      <c r="F552" s="4">
        <f t="shared" ref="F552:F615" si="83">IF((B552-$B$6)&gt;0,B552-$B$6,0)</f>
        <v>1.3999999999999986</v>
      </c>
      <c r="G552" s="4">
        <f t="shared" ref="G552:G615" si="84">F552/2</f>
        <v>0.69999999999999929</v>
      </c>
      <c r="H552" s="5">
        <f t="shared" ref="H552:H615" si="85">AVERAGE(G551:G552)*(C552-C551)</f>
        <v>1.5000003506429493</v>
      </c>
      <c r="I552" s="14">
        <f t="shared" ref="I552:I615" si="86">H552*$B$14</f>
        <v>273.77060025346822</v>
      </c>
      <c r="J552" s="19">
        <f t="shared" ref="J552:J615" si="87">J551+I552</f>
        <v>966921.0312843906</v>
      </c>
      <c r="K552" s="16">
        <f t="shared" ref="K552:K615" si="88">J552/($B$12*1000)</f>
        <v>0.95750872056127323</v>
      </c>
    </row>
    <row r="553" spans="1:11" x14ac:dyDescent="0.15">
      <c r="A553" s="7">
        <v>39235.560949074075</v>
      </c>
      <c r="B553">
        <v>39</v>
      </c>
      <c r="C553" s="6">
        <f t="shared" si="81"/>
        <v>1066.0000002477318</v>
      </c>
      <c r="D553" t="str">
        <f t="shared" si="82"/>
        <v/>
      </c>
      <c r="E553">
        <f t="shared" si="80"/>
        <v>39235.560949074075</v>
      </c>
      <c r="F553" s="4">
        <f t="shared" si="83"/>
        <v>1.3999999999999986</v>
      </c>
      <c r="G553" s="4">
        <f t="shared" si="84"/>
        <v>0.69999999999999929</v>
      </c>
      <c r="H553" s="5">
        <f t="shared" si="85"/>
        <v>1.3999998872168349</v>
      </c>
      <c r="I553" s="14">
        <f t="shared" si="86"/>
        <v>255.51914658810233</v>
      </c>
      <c r="J553" s="19">
        <f t="shared" si="87"/>
        <v>967176.55043097865</v>
      </c>
      <c r="K553" s="16">
        <f t="shared" si="88"/>
        <v>0.95776175240483907</v>
      </c>
    </row>
    <row r="554" spans="1:11" x14ac:dyDescent="0.15">
      <c r="A554" s="7">
        <v>39235.560972222222</v>
      </c>
      <c r="B554">
        <v>39</v>
      </c>
      <c r="C554" s="6">
        <f t="shared" si="81"/>
        <v>1068.000000086613</v>
      </c>
      <c r="D554" t="str">
        <f t="shared" si="82"/>
        <v/>
      </c>
      <c r="E554">
        <f t="shared" si="80"/>
        <v>39235.560972222222</v>
      </c>
      <c r="F554" s="4">
        <f t="shared" si="83"/>
        <v>1.3999999999999986</v>
      </c>
      <c r="G554" s="4">
        <f t="shared" si="84"/>
        <v>0.69999999999999929</v>
      </c>
      <c r="H554" s="5">
        <f t="shared" si="85"/>
        <v>1.3999998872168349</v>
      </c>
      <c r="I554" s="14">
        <f t="shared" si="86"/>
        <v>255.51914658810233</v>
      </c>
      <c r="J554" s="19">
        <f t="shared" si="87"/>
        <v>967432.0695775667</v>
      </c>
      <c r="K554" s="16">
        <f t="shared" si="88"/>
        <v>0.95801478424840492</v>
      </c>
    </row>
    <row r="555" spans="1:11" x14ac:dyDescent="0.15">
      <c r="A555" s="7">
        <v>39235.560995370368</v>
      </c>
      <c r="B555">
        <v>38.9</v>
      </c>
      <c r="C555" s="6">
        <f t="shared" si="81"/>
        <v>1069.9999999254942</v>
      </c>
      <c r="D555" t="str">
        <f t="shared" si="82"/>
        <v/>
      </c>
      <c r="E555">
        <f t="shared" si="80"/>
        <v>39235.560995370368</v>
      </c>
      <c r="F555" s="4">
        <f t="shared" si="83"/>
        <v>1.2999999999999972</v>
      </c>
      <c r="G555" s="4">
        <f t="shared" si="84"/>
        <v>0.64999999999999858</v>
      </c>
      <c r="H555" s="5">
        <f t="shared" si="85"/>
        <v>1.3499998912448041</v>
      </c>
      <c r="I555" s="14">
        <f t="shared" si="86"/>
        <v>246.39346278138422</v>
      </c>
      <c r="J555" s="19">
        <f t="shared" si="87"/>
        <v>967678.46304034803</v>
      </c>
      <c r="K555" s="16">
        <f t="shared" si="88"/>
        <v>0.9582587792404148</v>
      </c>
    </row>
    <row r="556" spans="1:11" x14ac:dyDescent="0.15">
      <c r="A556" s="7">
        <v>39235.561018518521</v>
      </c>
      <c r="B556">
        <v>39.299999999999997</v>
      </c>
      <c r="C556" s="6">
        <f t="shared" si="81"/>
        <v>1072.0000003930181</v>
      </c>
      <c r="D556" t="str">
        <f t="shared" si="82"/>
        <v/>
      </c>
      <c r="E556">
        <f t="shared" si="80"/>
        <v>39235.561018518521</v>
      </c>
      <c r="F556" s="4">
        <f t="shared" si="83"/>
        <v>1.6999999999999957</v>
      </c>
      <c r="G556" s="4">
        <f t="shared" si="84"/>
        <v>0.84999999999999787</v>
      </c>
      <c r="H556" s="5">
        <f t="shared" si="85"/>
        <v>1.5000003506429458</v>
      </c>
      <c r="I556" s="14">
        <f t="shared" si="86"/>
        <v>273.77060025346753</v>
      </c>
      <c r="J556" s="19">
        <f t="shared" si="87"/>
        <v>967952.23364060151</v>
      </c>
      <c r="K556" s="16">
        <f t="shared" si="88"/>
        <v>0.95852988487230673</v>
      </c>
    </row>
    <row r="557" spans="1:11" x14ac:dyDescent="0.15">
      <c r="A557" s="7">
        <v>39235.561041666668</v>
      </c>
      <c r="B557">
        <v>39</v>
      </c>
      <c r="C557" s="6">
        <f t="shared" si="81"/>
        <v>1074.0000002318993</v>
      </c>
      <c r="D557" t="str">
        <f t="shared" si="82"/>
        <v/>
      </c>
      <c r="E557">
        <f t="shared" si="80"/>
        <v>39235.561041666668</v>
      </c>
      <c r="F557" s="4">
        <f t="shared" si="83"/>
        <v>1.3999999999999986</v>
      </c>
      <c r="G557" s="4">
        <f t="shared" si="84"/>
        <v>0.69999999999999929</v>
      </c>
      <c r="H557" s="5">
        <f t="shared" si="85"/>
        <v>1.5499998751329229</v>
      </c>
      <c r="I557" s="14">
        <f t="shared" si="86"/>
        <v>282.89619800825591</v>
      </c>
      <c r="J557" s="19">
        <f t="shared" si="87"/>
        <v>968235.12983860972</v>
      </c>
      <c r="K557" s="16">
        <f t="shared" si="88"/>
        <v>0.95881002727054032</v>
      </c>
    </row>
    <row r="558" spans="1:11" x14ac:dyDescent="0.15">
      <c r="A558" s="7">
        <v>39235.561064814814</v>
      </c>
      <c r="B558">
        <v>39</v>
      </c>
      <c r="C558" s="6">
        <f t="shared" si="81"/>
        <v>1076.0000000707805</v>
      </c>
      <c r="D558" t="str">
        <f t="shared" si="82"/>
        <v/>
      </c>
      <c r="E558">
        <f t="shared" si="80"/>
        <v>39235.561064814814</v>
      </c>
      <c r="F558" s="4">
        <f t="shared" si="83"/>
        <v>1.3999999999999986</v>
      </c>
      <c r="G558" s="4">
        <f t="shared" si="84"/>
        <v>0.69999999999999929</v>
      </c>
      <c r="H558" s="5">
        <f t="shared" si="85"/>
        <v>1.3999998872168349</v>
      </c>
      <c r="I558" s="14">
        <f t="shared" si="86"/>
        <v>255.51914658810233</v>
      </c>
      <c r="J558" s="19">
        <f t="shared" si="87"/>
        <v>968490.64898519777</v>
      </c>
      <c r="K558" s="16">
        <f t="shared" si="88"/>
        <v>0.95906305911410605</v>
      </c>
    </row>
    <row r="559" spans="1:11" x14ac:dyDescent="0.15">
      <c r="A559" s="7">
        <v>39235.56108796296</v>
      </c>
      <c r="B559">
        <v>38.9</v>
      </c>
      <c r="C559" s="6">
        <f t="shared" si="81"/>
        <v>1077.9999999096617</v>
      </c>
      <c r="D559" t="str">
        <f t="shared" si="82"/>
        <v/>
      </c>
      <c r="E559">
        <f t="shared" si="80"/>
        <v>39235.56108796296</v>
      </c>
      <c r="F559" s="4">
        <f t="shared" si="83"/>
        <v>1.2999999999999972</v>
      </c>
      <c r="G559" s="4">
        <f t="shared" si="84"/>
        <v>0.64999999999999858</v>
      </c>
      <c r="H559" s="5">
        <f t="shared" si="85"/>
        <v>1.3499998912448041</v>
      </c>
      <c r="I559" s="14">
        <f t="shared" si="86"/>
        <v>246.39346278138422</v>
      </c>
      <c r="J559" s="19">
        <f t="shared" si="87"/>
        <v>968737.0424479791</v>
      </c>
      <c r="K559" s="16">
        <f t="shared" si="88"/>
        <v>0.95930705410611594</v>
      </c>
    </row>
    <row r="560" spans="1:11" x14ac:dyDescent="0.15">
      <c r="A560" s="7">
        <v>39235.561111111114</v>
      </c>
      <c r="B560">
        <v>39</v>
      </c>
      <c r="C560" s="6">
        <f t="shared" si="81"/>
        <v>1080.0000003771856</v>
      </c>
      <c r="D560" t="str">
        <f t="shared" si="82"/>
        <v/>
      </c>
      <c r="E560">
        <f t="shared" si="80"/>
        <v>39235.561111111114</v>
      </c>
      <c r="F560" s="4">
        <f t="shared" si="83"/>
        <v>1.3999999999999986</v>
      </c>
      <c r="G560" s="4">
        <f t="shared" si="84"/>
        <v>0.69999999999999929</v>
      </c>
      <c r="H560" s="5">
        <f t="shared" si="85"/>
        <v>1.3500003155786522</v>
      </c>
      <c r="I560" s="14">
        <f t="shared" si="86"/>
        <v>246.39354022812097</v>
      </c>
      <c r="J560" s="19">
        <f t="shared" si="87"/>
        <v>968983.43598820723</v>
      </c>
      <c r="K560" s="16">
        <f t="shared" si="88"/>
        <v>0.95955104917481882</v>
      </c>
    </row>
    <row r="561" spans="1:11" x14ac:dyDescent="0.15">
      <c r="A561" s="7">
        <v>39235.56113425926</v>
      </c>
      <c r="B561">
        <v>38.9</v>
      </c>
      <c r="C561" s="6">
        <f t="shared" si="81"/>
        <v>1082.0000002160668</v>
      </c>
      <c r="D561" t="str">
        <f t="shared" si="82"/>
        <v/>
      </c>
      <c r="E561">
        <f t="shared" si="80"/>
        <v>39235.56113425926</v>
      </c>
      <c r="F561" s="4">
        <f t="shared" si="83"/>
        <v>1.2999999999999972</v>
      </c>
      <c r="G561" s="4">
        <f t="shared" si="84"/>
        <v>0.64999999999999858</v>
      </c>
      <c r="H561" s="5">
        <f t="shared" si="85"/>
        <v>1.3499998912448041</v>
      </c>
      <c r="I561" s="14">
        <f t="shared" si="86"/>
        <v>246.39346278138422</v>
      </c>
      <c r="J561" s="19">
        <f t="shared" si="87"/>
        <v>969229.82945098856</v>
      </c>
      <c r="K561" s="16">
        <f t="shared" si="88"/>
        <v>0.95979504416682859</v>
      </c>
    </row>
    <row r="562" spans="1:11" x14ac:dyDescent="0.15">
      <c r="A562" s="7">
        <v>39235.561157407406</v>
      </c>
      <c r="B562">
        <v>39</v>
      </c>
      <c r="C562" s="6">
        <f t="shared" si="81"/>
        <v>1084.000000054948</v>
      </c>
      <c r="D562" t="str">
        <f t="shared" si="82"/>
        <v/>
      </c>
      <c r="E562">
        <f t="shared" si="80"/>
        <v>39235.561157407406</v>
      </c>
      <c r="F562" s="4">
        <f t="shared" si="83"/>
        <v>1.3999999999999986</v>
      </c>
      <c r="G562" s="4">
        <f t="shared" si="84"/>
        <v>0.69999999999999929</v>
      </c>
      <c r="H562" s="5">
        <f t="shared" si="85"/>
        <v>1.3499998912448041</v>
      </c>
      <c r="I562" s="14">
        <f t="shared" si="86"/>
        <v>246.39346278138422</v>
      </c>
      <c r="J562" s="19">
        <f t="shared" si="87"/>
        <v>969476.22291376989</v>
      </c>
      <c r="K562" s="16">
        <f t="shared" si="88"/>
        <v>0.96003903915883848</v>
      </c>
    </row>
    <row r="563" spans="1:11" x14ac:dyDescent="0.15">
      <c r="A563" s="7">
        <v>39235.561180555553</v>
      </c>
      <c r="B563">
        <v>39</v>
      </c>
      <c r="C563" s="6">
        <f t="shared" si="81"/>
        <v>1085.9999998938292</v>
      </c>
      <c r="D563" t="str">
        <f t="shared" si="82"/>
        <v/>
      </c>
      <c r="E563">
        <f t="shared" si="80"/>
        <v>39235.561180555553</v>
      </c>
      <c r="F563" s="4">
        <f t="shared" si="83"/>
        <v>1.3999999999999986</v>
      </c>
      <c r="G563" s="4">
        <f t="shared" si="84"/>
        <v>0.69999999999999929</v>
      </c>
      <c r="H563" s="5">
        <f t="shared" si="85"/>
        <v>1.3999998872168349</v>
      </c>
      <c r="I563" s="14">
        <f t="shared" si="86"/>
        <v>255.51914658810233</v>
      </c>
      <c r="J563" s="19">
        <f t="shared" si="87"/>
        <v>969731.74206035794</v>
      </c>
      <c r="K563" s="16">
        <f t="shared" si="88"/>
        <v>0.96029207100240432</v>
      </c>
    </row>
    <row r="564" spans="1:11" x14ac:dyDescent="0.15">
      <c r="A564" s="7">
        <v>39235.561203703706</v>
      </c>
      <c r="B564">
        <v>39</v>
      </c>
      <c r="C564" s="6">
        <f t="shared" si="81"/>
        <v>1088.0000003613532</v>
      </c>
      <c r="D564" t="str">
        <f t="shared" si="82"/>
        <v/>
      </c>
      <c r="E564">
        <f t="shared" si="80"/>
        <v>39235.561203703706</v>
      </c>
      <c r="F564" s="4">
        <f t="shared" si="83"/>
        <v>1.3999999999999986</v>
      </c>
      <c r="G564" s="4">
        <f t="shared" si="84"/>
        <v>0.69999999999999929</v>
      </c>
      <c r="H564" s="5">
        <f t="shared" si="85"/>
        <v>1.4000003272667514</v>
      </c>
      <c r="I564" s="14">
        <f t="shared" si="86"/>
        <v>255.51922690323676</v>
      </c>
      <c r="J564" s="19">
        <f t="shared" si="87"/>
        <v>969987.26128726115</v>
      </c>
      <c r="K564" s="16">
        <f t="shared" si="88"/>
        <v>0.96054510292550344</v>
      </c>
    </row>
    <row r="565" spans="1:11" x14ac:dyDescent="0.15">
      <c r="A565" s="7">
        <v>39235.561226851853</v>
      </c>
      <c r="B565">
        <v>39</v>
      </c>
      <c r="C565" s="6">
        <f t="shared" si="81"/>
        <v>1090.0000002002344</v>
      </c>
      <c r="D565" t="str">
        <f t="shared" si="82"/>
        <v/>
      </c>
      <c r="E565">
        <f t="shared" si="80"/>
        <v>39235.561226851853</v>
      </c>
      <c r="F565" s="4">
        <f t="shared" si="83"/>
        <v>1.3999999999999986</v>
      </c>
      <c r="G565" s="4">
        <f t="shared" si="84"/>
        <v>0.69999999999999929</v>
      </c>
      <c r="H565" s="5">
        <f t="shared" si="85"/>
        <v>1.3999998872168349</v>
      </c>
      <c r="I565" s="14">
        <f t="shared" si="86"/>
        <v>255.51914658810233</v>
      </c>
      <c r="J565" s="19">
        <f t="shared" si="87"/>
        <v>970242.7804338492</v>
      </c>
      <c r="K565" s="16">
        <f t="shared" si="88"/>
        <v>0.96079813476906928</v>
      </c>
    </row>
    <row r="566" spans="1:11" x14ac:dyDescent="0.15">
      <c r="A566" s="7">
        <v>39235.561249999999</v>
      </c>
      <c r="B566">
        <v>39</v>
      </c>
      <c r="C566" s="6">
        <f t="shared" si="81"/>
        <v>1092.0000000391155</v>
      </c>
      <c r="D566" t="str">
        <f t="shared" si="82"/>
        <v/>
      </c>
      <c r="E566">
        <f t="shared" si="80"/>
        <v>39235.561249999999</v>
      </c>
      <c r="F566" s="4">
        <f t="shared" si="83"/>
        <v>1.3999999999999986</v>
      </c>
      <c r="G566" s="4">
        <f t="shared" si="84"/>
        <v>0.69999999999999929</v>
      </c>
      <c r="H566" s="5">
        <f t="shared" si="85"/>
        <v>1.3999998872168349</v>
      </c>
      <c r="I566" s="14">
        <f t="shared" si="86"/>
        <v>255.51914658810233</v>
      </c>
      <c r="J566" s="19">
        <f t="shared" si="87"/>
        <v>970498.29958043725</v>
      </c>
      <c r="K566" s="16">
        <f t="shared" si="88"/>
        <v>0.96105116661263501</v>
      </c>
    </row>
    <row r="567" spans="1:11" x14ac:dyDescent="0.15">
      <c r="A567" s="7">
        <v>39235.561273148145</v>
      </c>
      <c r="B567">
        <v>39</v>
      </c>
      <c r="C567" s="6">
        <f t="shared" si="81"/>
        <v>1093.9999998779967</v>
      </c>
      <c r="D567" t="str">
        <f t="shared" si="82"/>
        <v/>
      </c>
      <c r="E567">
        <f t="shared" si="80"/>
        <v>39235.561273148145</v>
      </c>
      <c r="F567" s="4">
        <f t="shared" si="83"/>
        <v>1.3999999999999986</v>
      </c>
      <c r="G567" s="4">
        <f t="shared" si="84"/>
        <v>0.69999999999999929</v>
      </c>
      <c r="H567" s="5">
        <f t="shared" si="85"/>
        <v>1.3999998872168349</v>
      </c>
      <c r="I567" s="14">
        <f t="shared" si="86"/>
        <v>255.51914658810233</v>
      </c>
      <c r="J567" s="19">
        <f t="shared" si="87"/>
        <v>970753.8187270253</v>
      </c>
      <c r="K567" s="16">
        <f t="shared" si="88"/>
        <v>0.96130419845620085</v>
      </c>
    </row>
    <row r="568" spans="1:11" x14ac:dyDescent="0.15">
      <c r="A568" s="7">
        <v>39235.561296296299</v>
      </c>
      <c r="B568">
        <v>39</v>
      </c>
      <c r="C568" s="6">
        <f t="shared" si="81"/>
        <v>1096.0000003455207</v>
      </c>
      <c r="D568" t="str">
        <f t="shared" si="82"/>
        <v/>
      </c>
      <c r="E568">
        <f t="shared" si="80"/>
        <v>39235.561296296299</v>
      </c>
      <c r="F568" s="4">
        <f t="shared" si="83"/>
        <v>1.3999999999999986</v>
      </c>
      <c r="G568" s="4">
        <f t="shared" si="84"/>
        <v>0.69999999999999929</v>
      </c>
      <c r="H568" s="5">
        <f t="shared" si="85"/>
        <v>1.4000003272667514</v>
      </c>
      <c r="I568" s="14">
        <f t="shared" si="86"/>
        <v>255.51922690323676</v>
      </c>
      <c r="J568" s="19">
        <f t="shared" si="87"/>
        <v>971009.33795392851</v>
      </c>
      <c r="K568" s="16">
        <f t="shared" si="88"/>
        <v>0.96155723037929997</v>
      </c>
    </row>
    <row r="569" spans="1:11" x14ac:dyDescent="0.15">
      <c r="A569" s="7">
        <v>39235.561319444445</v>
      </c>
      <c r="B569">
        <v>39</v>
      </c>
      <c r="C569" s="6">
        <f t="shared" si="81"/>
        <v>1098.0000001844019</v>
      </c>
      <c r="D569" t="str">
        <f t="shared" si="82"/>
        <v/>
      </c>
      <c r="E569">
        <f t="shared" si="80"/>
        <v>39235.561319444445</v>
      </c>
      <c r="F569" s="4">
        <f t="shared" si="83"/>
        <v>1.3999999999999986</v>
      </c>
      <c r="G569" s="4">
        <f t="shared" si="84"/>
        <v>0.69999999999999929</v>
      </c>
      <c r="H569" s="5">
        <f t="shared" si="85"/>
        <v>1.3999998872168349</v>
      </c>
      <c r="I569" s="14">
        <f t="shared" si="86"/>
        <v>255.51914658810233</v>
      </c>
      <c r="J569" s="19">
        <f t="shared" si="87"/>
        <v>971264.85710051656</v>
      </c>
      <c r="K569" s="16">
        <f t="shared" si="88"/>
        <v>0.96181026222286581</v>
      </c>
    </row>
    <row r="570" spans="1:11" x14ac:dyDescent="0.15">
      <c r="A570" s="7">
        <v>39235.561342592591</v>
      </c>
      <c r="B570">
        <v>38.9</v>
      </c>
      <c r="C570" s="6">
        <f t="shared" si="81"/>
        <v>1100.0000000232831</v>
      </c>
      <c r="D570" t="str">
        <f t="shared" si="82"/>
        <v/>
      </c>
      <c r="E570">
        <f t="shared" si="80"/>
        <v>39235.561342592591</v>
      </c>
      <c r="F570" s="4">
        <f t="shared" si="83"/>
        <v>1.2999999999999972</v>
      </c>
      <c r="G570" s="4">
        <f t="shared" si="84"/>
        <v>0.64999999999999858</v>
      </c>
      <c r="H570" s="5">
        <f t="shared" si="85"/>
        <v>1.3499998912448041</v>
      </c>
      <c r="I570" s="14">
        <f t="shared" si="86"/>
        <v>246.39346278138422</v>
      </c>
      <c r="J570" s="19">
        <f t="shared" si="87"/>
        <v>971511.25056329789</v>
      </c>
      <c r="K570" s="16">
        <f t="shared" si="88"/>
        <v>0.9620542572148757</v>
      </c>
    </row>
    <row r="571" spans="1:11" x14ac:dyDescent="0.15">
      <c r="A571" s="7">
        <v>39235.561365740738</v>
      </c>
      <c r="B571">
        <v>38.9</v>
      </c>
      <c r="C571" s="6">
        <f t="shared" si="81"/>
        <v>1101.9999998621643</v>
      </c>
      <c r="D571" t="str">
        <f t="shared" si="82"/>
        <v/>
      </c>
      <c r="E571">
        <f t="shared" si="80"/>
        <v>39235.561365740738</v>
      </c>
      <c r="F571" s="4">
        <f t="shared" si="83"/>
        <v>1.2999999999999972</v>
      </c>
      <c r="G571" s="4">
        <f t="shared" si="84"/>
        <v>0.64999999999999858</v>
      </c>
      <c r="H571" s="5">
        <f t="shared" si="85"/>
        <v>1.2999998952727736</v>
      </c>
      <c r="I571" s="14">
        <f t="shared" si="86"/>
        <v>237.26777897466616</v>
      </c>
      <c r="J571" s="19">
        <f t="shared" si="87"/>
        <v>971748.51834227249</v>
      </c>
      <c r="K571" s="16">
        <f t="shared" si="88"/>
        <v>0.96228921535532963</v>
      </c>
    </row>
    <row r="572" spans="1:11" x14ac:dyDescent="0.15">
      <c r="A572" s="7">
        <v>39235.561388888891</v>
      </c>
      <c r="B572">
        <v>38.9</v>
      </c>
      <c r="C572" s="6">
        <f t="shared" si="81"/>
        <v>1104.0000003296882</v>
      </c>
      <c r="D572" t="str">
        <f t="shared" si="82"/>
        <v/>
      </c>
      <c r="E572">
        <f t="shared" si="80"/>
        <v>39235.561388888891</v>
      </c>
      <c r="F572" s="4">
        <f t="shared" si="83"/>
        <v>1.2999999999999972</v>
      </c>
      <c r="G572" s="4">
        <f t="shared" si="84"/>
        <v>0.64999999999999858</v>
      </c>
      <c r="H572" s="5">
        <f t="shared" si="85"/>
        <v>1.3000003038905532</v>
      </c>
      <c r="I572" s="14">
        <f t="shared" si="86"/>
        <v>237.26785355300524</v>
      </c>
      <c r="J572" s="19">
        <f t="shared" si="87"/>
        <v>971985.78619582555</v>
      </c>
      <c r="K572" s="16">
        <f t="shared" si="88"/>
        <v>0.96252417356963604</v>
      </c>
    </row>
    <row r="573" spans="1:11" x14ac:dyDescent="0.15">
      <c r="A573" s="7">
        <v>39235.561412037037</v>
      </c>
      <c r="B573">
        <v>38.9</v>
      </c>
      <c r="C573" s="6">
        <f t="shared" si="81"/>
        <v>1106.0000001685694</v>
      </c>
      <c r="D573" t="str">
        <f t="shared" si="82"/>
        <v/>
      </c>
      <c r="E573">
        <f t="shared" si="80"/>
        <v>39235.561412037037</v>
      </c>
      <c r="F573" s="4">
        <f t="shared" si="83"/>
        <v>1.2999999999999972</v>
      </c>
      <c r="G573" s="4">
        <f t="shared" si="84"/>
        <v>0.64999999999999858</v>
      </c>
      <c r="H573" s="5">
        <f t="shared" si="85"/>
        <v>1.2999998952727736</v>
      </c>
      <c r="I573" s="14">
        <f t="shared" si="86"/>
        <v>237.26777897466616</v>
      </c>
      <c r="J573" s="19">
        <f t="shared" si="87"/>
        <v>972223.05397480016</v>
      </c>
      <c r="K573" s="16">
        <f t="shared" si="88"/>
        <v>0.96275913171008998</v>
      </c>
    </row>
    <row r="574" spans="1:11" x14ac:dyDescent="0.15">
      <c r="A574" s="7">
        <v>39235.561435185184</v>
      </c>
      <c r="B574">
        <v>38.9</v>
      </c>
      <c r="C574" s="6">
        <f t="shared" si="81"/>
        <v>1108.0000000074506</v>
      </c>
      <c r="D574" t="str">
        <f t="shared" si="82"/>
        <v/>
      </c>
      <c r="E574">
        <f t="shared" si="80"/>
        <v>39235.561435185184</v>
      </c>
      <c r="F574" s="4">
        <f t="shared" si="83"/>
        <v>1.2999999999999972</v>
      </c>
      <c r="G574" s="4">
        <f t="shared" si="84"/>
        <v>0.64999999999999858</v>
      </c>
      <c r="H574" s="5">
        <f t="shared" si="85"/>
        <v>1.2999998952727736</v>
      </c>
      <c r="I574" s="14">
        <f t="shared" si="86"/>
        <v>237.26777897466616</v>
      </c>
      <c r="J574" s="19">
        <f t="shared" si="87"/>
        <v>972460.32175377477</v>
      </c>
      <c r="K574" s="16">
        <f t="shared" si="88"/>
        <v>0.96299408985054391</v>
      </c>
    </row>
    <row r="575" spans="1:11" x14ac:dyDescent="0.15">
      <c r="A575" s="7">
        <v>39235.56145833333</v>
      </c>
      <c r="B575">
        <v>38.9</v>
      </c>
      <c r="C575" s="6">
        <f t="shared" si="81"/>
        <v>1109.9999998463318</v>
      </c>
      <c r="D575" t="str">
        <f t="shared" si="82"/>
        <v/>
      </c>
      <c r="E575">
        <f t="shared" si="80"/>
        <v>39235.56145833333</v>
      </c>
      <c r="F575" s="4">
        <f t="shared" si="83"/>
        <v>1.2999999999999972</v>
      </c>
      <c r="G575" s="4">
        <f t="shared" si="84"/>
        <v>0.64999999999999858</v>
      </c>
      <c r="H575" s="5">
        <f t="shared" si="85"/>
        <v>1.2999998952727736</v>
      </c>
      <c r="I575" s="14">
        <f t="shared" si="86"/>
        <v>237.26777897466616</v>
      </c>
      <c r="J575" s="19">
        <f t="shared" si="87"/>
        <v>972697.58953274938</v>
      </c>
      <c r="K575" s="16">
        <f t="shared" si="88"/>
        <v>0.96322904799099784</v>
      </c>
    </row>
    <row r="576" spans="1:11" x14ac:dyDescent="0.15">
      <c r="A576" s="7">
        <v>39235.561481481483</v>
      </c>
      <c r="B576">
        <v>38.9</v>
      </c>
      <c r="C576" s="6">
        <f t="shared" si="81"/>
        <v>1112.0000003138557</v>
      </c>
      <c r="D576" t="str">
        <f t="shared" si="82"/>
        <v/>
      </c>
      <c r="E576">
        <f t="shared" si="80"/>
        <v>39235.561481481483</v>
      </c>
      <c r="F576" s="4">
        <f t="shared" si="83"/>
        <v>1.2999999999999972</v>
      </c>
      <c r="G576" s="4">
        <f t="shared" si="84"/>
        <v>0.64999999999999858</v>
      </c>
      <c r="H576" s="5">
        <f t="shared" si="85"/>
        <v>1.3000003038905532</v>
      </c>
      <c r="I576" s="14">
        <f t="shared" si="86"/>
        <v>237.26785355300524</v>
      </c>
      <c r="J576" s="19">
        <f t="shared" si="87"/>
        <v>972934.85738630244</v>
      </c>
      <c r="K576" s="16">
        <f t="shared" si="88"/>
        <v>0.96346400620530426</v>
      </c>
    </row>
    <row r="577" spans="1:11" x14ac:dyDescent="0.15">
      <c r="A577" s="7">
        <v>39235.56150462963</v>
      </c>
      <c r="B577">
        <v>38.700000000000003</v>
      </c>
      <c r="C577" s="6">
        <f t="shared" si="81"/>
        <v>1114.0000001527369</v>
      </c>
      <c r="D577" t="str">
        <f t="shared" si="82"/>
        <v/>
      </c>
      <c r="E577">
        <f t="shared" si="80"/>
        <v>39235.56150462963</v>
      </c>
      <c r="F577" s="4">
        <f t="shared" si="83"/>
        <v>1.1000000000000014</v>
      </c>
      <c r="G577" s="4">
        <f t="shared" si="84"/>
        <v>0.55000000000000071</v>
      </c>
      <c r="H577" s="5">
        <f t="shared" si="85"/>
        <v>1.1999999033287161</v>
      </c>
      <c r="I577" s="14">
        <f t="shared" si="86"/>
        <v>219.01641136123067</v>
      </c>
      <c r="J577" s="19">
        <f t="shared" si="87"/>
        <v>973153.87379766372</v>
      </c>
      <c r="K577" s="16">
        <f t="shared" si="88"/>
        <v>0.9636808906426465</v>
      </c>
    </row>
    <row r="578" spans="1:11" x14ac:dyDescent="0.15">
      <c r="A578" s="7">
        <v>39235.561527777776</v>
      </c>
      <c r="B578">
        <v>38.9</v>
      </c>
      <c r="C578" s="6">
        <f t="shared" si="81"/>
        <v>1115.9999999916181</v>
      </c>
      <c r="D578" t="str">
        <f t="shared" si="82"/>
        <v/>
      </c>
      <c r="E578">
        <f t="shared" si="80"/>
        <v>39235.561527777776</v>
      </c>
      <c r="F578" s="4">
        <f t="shared" si="83"/>
        <v>1.2999999999999972</v>
      </c>
      <c r="G578" s="4">
        <f t="shared" si="84"/>
        <v>0.64999999999999858</v>
      </c>
      <c r="H578" s="5">
        <f t="shared" si="85"/>
        <v>1.1999999033287161</v>
      </c>
      <c r="I578" s="14">
        <f t="shared" si="86"/>
        <v>219.01641136123067</v>
      </c>
      <c r="J578" s="19">
        <f t="shared" si="87"/>
        <v>973372.890209025</v>
      </c>
      <c r="K578" s="16">
        <f t="shared" si="88"/>
        <v>0.96389777507998875</v>
      </c>
    </row>
    <row r="579" spans="1:11" x14ac:dyDescent="0.15">
      <c r="A579" s="7">
        <v>39235.561550925922</v>
      </c>
      <c r="B579">
        <v>38.9</v>
      </c>
      <c r="C579" s="6">
        <f t="shared" si="81"/>
        <v>1117.9999998304993</v>
      </c>
      <c r="D579" t="str">
        <f t="shared" si="82"/>
        <v/>
      </c>
      <c r="E579">
        <f t="shared" si="80"/>
        <v>39235.561550925922</v>
      </c>
      <c r="F579" s="4">
        <f t="shared" si="83"/>
        <v>1.2999999999999972</v>
      </c>
      <c r="G579" s="4">
        <f t="shared" si="84"/>
        <v>0.64999999999999858</v>
      </c>
      <c r="H579" s="5">
        <f t="shared" si="85"/>
        <v>1.2999998952727736</v>
      </c>
      <c r="I579" s="14">
        <f t="shared" si="86"/>
        <v>237.26777897466616</v>
      </c>
      <c r="J579" s="19">
        <f t="shared" si="87"/>
        <v>973610.15798799961</v>
      </c>
      <c r="K579" s="16">
        <f t="shared" si="88"/>
        <v>0.96413273322044268</v>
      </c>
    </row>
    <row r="580" spans="1:11" x14ac:dyDescent="0.15">
      <c r="A580" s="7">
        <v>39235.561574074076</v>
      </c>
      <c r="B580">
        <v>38.9</v>
      </c>
      <c r="C580" s="6">
        <f t="shared" si="81"/>
        <v>1120.0000002980232</v>
      </c>
      <c r="D580" t="str">
        <f t="shared" si="82"/>
        <v/>
      </c>
      <c r="E580">
        <f t="shared" si="80"/>
        <v>39235.561574074076</v>
      </c>
      <c r="F580" s="4">
        <f t="shared" si="83"/>
        <v>1.2999999999999972</v>
      </c>
      <c r="G580" s="4">
        <f t="shared" si="84"/>
        <v>0.64999999999999858</v>
      </c>
      <c r="H580" s="5">
        <f t="shared" si="85"/>
        <v>1.3000003038905532</v>
      </c>
      <c r="I580" s="14">
        <f t="shared" si="86"/>
        <v>237.26785355300524</v>
      </c>
      <c r="J580" s="19">
        <f t="shared" si="87"/>
        <v>973847.42584155267</v>
      </c>
      <c r="K580" s="16">
        <f t="shared" si="88"/>
        <v>0.9643676914347491</v>
      </c>
    </row>
    <row r="581" spans="1:11" x14ac:dyDescent="0.15">
      <c r="A581" s="7">
        <v>39235.561597222222</v>
      </c>
      <c r="B581">
        <v>38.9</v>
      </c>
      <c r="C581" s="6">
        <f t="shared" si="81"/>
        <v>1122.0000001369044</v>
      </c>
      <c r="D581" t="str">
        <f t="shared" si="82"/>
        <v/>
      </c>
      <c r="E581">
        <f t="shared" si="80"/>
        <v>39235.561597222222</v>
      </c>
      <c r="F581" s="4">
        <f t="shared" si="83"/>
        <v>1.2999999999999972</v>
      </c>
      <c r="G581" s="4">
        <f t="shared" si="84"/>
        <v>0.64999999999999858</v>
      </c>
      <c r="H581" s="5">
        <f t="shared" si="85"/>
        <v>1.2999998952727736</v>
      </c>
      <c r="I581" s="14">
        <f t="shared" si="86"/>
        <v>237.26777897466616</v>
      </c>
      <c r="J581" s="19">
        <f t="shared" si="87"/>
        <v>974084.69362052728</v>
      </c>
      <c r="K581" s="16">
        <f t="shared" si="88"/>
        <v>0.96460264957520303</v>
      </c>
    </row>
    <row r="582" spans="1:11" x14ac:dyDescent="0.15">
      <c r="A582" s="7">
        <v>39235.561620370368</v>
      </c>
      <c r="B582">
        <v>38.9</v>
      </c>
      <c r="C582" s="6">
        <f t="shared" si="81"/>
        <v>1123.9999999757856</v>
      </c>
      <c r="D582" t="str">
        <f t="shared" si="82"/>
        <v/>
      </c>
      <c r="E582">
        <f t="shared" si="80"/>
        <v>39235.561620370368</v>
      </c>
      <c r="F582" s="4">
        <f t="shared" si="83"/>
        <v>1.2999999999999972</v>
      </c>
      <c r="G582" s="4">
        <f t="shared" si="84"/>
        <v>0.64999999999999858</v>
      </c>
      <c r="H582" s="5">
        <f t="shared" si="85"/>
        <v>1.2999998952727736</v>
      </c>
      <c r="I582" s="14">
        <f t="shared" si="86"/>
        <v>237.26777897466616</v>
      </c>
      <c r="J582" s="19">
        <f t="shared" si="87"/>
        <v>974321.96139950189</v>
      </c>
      <c r="K582" s="16">
        <f t="shared" si="88"/>
        <v>0.96483760771565696</v>
      </c>
    </row>
    <row r="583" spans="1:11" x14ac:dyDescent="0.15">
      <c r="A583" s="7">
        <v>39235.561643518522</v>
      </c>
      <c r="B583">
        <v>38.9</v>
      </c>
      <c r="C583" s="6">
        <f t="shared" si="81"/>
        <v>1126.0000004433095</v>
      </c>
      <c r="D583" t="str">
        <f t="shared" si="82"/>
        <v/>
      </c>
      <c r="E583">
        <f t="shared" si="80"/>
        <v>39235.561643518522</v>
      </c>
      <c r="F583" s="4">
        <f t="shared" si="83"/>
        <v>1.2999999999999972</v>
      </c>
      <c r="G583" s="4">
        <f t="shared" si="84"/>
        <v>0.64999999999999858</v>
      </c>
      <c r="H583" s="5">
        <f t="shared" si="85"/>
        <v>1.3000003038905532</v>
      </c>
      <c r="I583" s="14">
        <f t="shared" si="86"/>
        <v>237.26785355300524</v>
      </c>
      <c r="J583" s="19">
        <f t="shared" si="87"/>
        <v>974559.22925305495</v>
      </c>
      <c r="K583" s="16">
        <f t="shared" si="88"/>
        <v>0.96507256592996338</v>
      </c>
    </row>
    <row r="584" spans="1:11" x14ac:dyDescent="0.15">
      <c r="A584" s="7">
        <v>39235.561666666668</v>
      </c>
      <c r="B584">
        <v>38.9</v>
      </c>
      <c r="C584" s="6">
        <f t="shared" si="81"/>
        <v>1128.0000002821907</v>
      </c>
      <c r="D584" t="str">
        <f t="shared" si="82"/>
        <v/>
      </c>
      <c r="E584">
        <f t="shared" si="80"/>
        <v>39235.561666666668</v>
      </c>
      <c r="F584" s="4">
        <f t="shared" si="83"/>
        <v>1.2999999999999972</v>
      </c>
      <c r="G584" s="4">
        <f t="shared" si="84"/>
        <v>0.64999999999999858</v>
      </c>
      <c r="H584" s="5">
        <f t="shared" si="85"/>
        <v>1.2999998952727736</v>
      </c>
      <c r="I584" s="14">
        <f t="shared" si="86"/>
        <v>237.26777897466616</v>
      </c>
      <c r="J584" s="19">
        <f t="shared" si="87"/>
        <v>974796.49703202955</v>
      </c>
      <c r="K584" s="16">
        <f t="shared" si="88"/>
        <v>0.96530752407041731</v>
      </c>
    </row>
    <row r="585" spans="1:11" x14ac:dyDescent="0.15">
      <c r="A585" s="7">
        <v>39235.561689814815</v>
      </c>
      <c r="B585">
        <v>38.9</v>
      </c>
      <c r="C585" s="6">
        <f t="shared" si="81"/>
        <v>1130.0000001210719</v>
      </c>
      <c r="D585" t="str">
        <f t="shared" si="82"/>
        <v/>
      </c>
      <c r="E585">
        <f t="shared" si="80"/>
        <v>39235.561689814815</v>
      </c>
      <c r="F585" s="4">
        <f t="shared" si="83"/>
        <v>1.2999999999999972</v>
      </c>
      <c r="G585" s="4">
        <f t="shared" si="84"/>
        <v>0.64999999999999858</v>
      </c>
      <c r="H585" s="5">
        <f t="shared" si="85"/>
        <v>1.2999998952727736</v>
      </c>
      <c r="I585" s="14">
        <f t="shared" si="86"/>
        <v>237.26777897466616</v>
      </c>
      <c r="J585" s="19">
        <f t="shared" si="87"/>
        <v>975033.76481100416</v>
      </c>
      <c r="K585" s="16">
        <f t="shared" si="88"/>
        <v>0.96554248221087124</v>
      </c>
    </row>
    <row r="586" spans="1:11" x14ac:dyDescent="0.15">
      <c r="A586" s="7">
        <v>39235.561712962961</v>
      </c>
      <c r="B586">
        <v>38.9</v>
      </c>
      <c r="C586" s="6">
        <f t="shared" si="81"/>
        <v>1131.9999999599531</v>
      </c>
      <c r="D586" t="str">
        <f t="shared" si="82"/>
        <v/>
      </c>
      <c r="E586">
        <f t="shared" si="80"/>
        <v>39235.561712962961</v>
      </c>
      <c r="F586" s="4">
        <f t="shared" si="83"/>
        <v>1.2999999999999972</v>
      </c>
      <c r="G586" s="4">
        <f t="shared" si="84"/>
        <v>0.64999999999999858</v>
      </c>
      <c r="H586" s="5">
        <f t="shared" si="85"/>
        <v>1.2999998952727736</v>
      </c>
      <c r="I586" s="14">
        <f t="shared" si="86"/>
        <v>237.26777897466616</v>
      </c>
      <c r="J586" s="19">
        <f t="shared" si="87"/>
        <v>975271.03258997877</v>
      </c>
      <c r="K586" s="16">
        <f t="shared" si="88"/>
        <v>0.96577744035132529</v>
      </c>
    </row>
    <row r="587" spans="1:11" x14ac:dyDescent="0.15">
      <c r="A587" s="7">
        <v>39235.561736111114</v>
      </c>
      <c r="B587">
        <v>38.9</v>
      </c>
      <c r="C587" s="6">
        <f t="shared" si="81"/>
        <v>1134.0000004274771</v>
      </c>
      <c r="D587" t="str">
        <f t="shared" si="82"/>
        <v/>
      </c>
      <c r="E587">
        <f t="shared" si="80"/>
        <v>39235.561736111114</v>
      </c>
      <c r="F587" s="4">
        <f t="shared" si="83"/>
        <v>1.2999999999999972</v>
      </c>
      <c r="G587" s="4">
        <f t="shared" si="84"/>
        <v>0.64999999999999858</v>
      </c>
      <c r="H587" s="5">
        <f t="shared" si="85"/>
        <v>1.3000003038905532</v>
      </c>
      <c r="I587" s="14">
        <f t="shared" si="86"/>
        <v>237.26785355300524</v>
      </c>
      <c r="J587" s="19">
        <f t="shared" si="87"/>
        <v>975508.30044353183</v>
      </c>
      <c r="K587" s="16">
        <f t="shared" si="88"/>
        <v>0.9660123985656317</v>
      </c>
    </row>
    <row r="588" spans="1:11" x14ac:dyDescent="0.15">
      <c r="A588" s="7">
        <v>39235.561759259261</v>
      </c>
      <c r="B588">
        <v>38.9</v>
      </c>
      <c r="C588" s="6">
        <f t="shared" si="81"/>
        <v>1136.0000002663583</v>
      </c>
      <c r="D588" t="str">
        <f t="shared" si="82"/>
        <v/>
      </c>
      <c r="E588">
        <f t="shared" si="80"/>
        <v>39235.561759259261</v>
      </c>
      <c r="F588" s="4">
        <f t="shared" si="83"/>
        <v>1.2999999999999972</v>
      </c>
      <c r="G588" s="4">
        <f t="shared" si="84"/>
        <v>0.64999999999999858</v>
      </c>
      <c r="H588" s="5">
        <f t="shared" si="85"/>
        <v>1.2999998952727736</v>
      </c>
      <c r="I588" s="14">
        <f t="shared" si="86"/>
        <v>237.26777897466616</v>
      </c>
      <c r="J588" s="19">
        <f t="shared" si="87"/>
        <v>975745.56822250644</v>
      </c>
      <c r="K588" s="16">
        <f t="shared" si="88"/>
        <v>0.96624735670608564</v>
      </c>
    </row>
    <row r="589" spans="1:11" x14ac:dyDescent="0.15">
      <c r="A589" s="7">
        <v>39235.561782407407</v>
      </c>
      <c r="B589">
        <v>38.700000000000003</v>
      </c>
      <c r="C589" s="6">
        <f t="shared" si="81"/>
        <v>1138.0000001052395</v>
      </c>
      <c r="D589" t="str">
        <f t="shared" si="82"/>
        <v/>
      </c>
      <c r="E589">
        <f t="shared" si="80"/>
        <v>39235.561782407407</v>
      </c>
      <c r="F589" s="4">
        <f t="shared" si="83"/>
        <v>1.1000000000000014</v>
      </c>
      <c r="G589" s="4">
        <f t="shared" si="84"/>
        <v>0.55000000000000071</v>
      </c>
      <c r="H589" s="5">
        <f t="shared" si="85"/>
        <v>1.1999999033287161</v>
      </c>
      <c r="I589" s="14">
        <f t="shared" si="86"/>
        <v>219.01641136123067</v>
      </c>
      <c r="J589" s="19">
        <f t="shared" si="87"/>
        <v>975964.58463386772</v>
      </c>
      <c r="K589" s="16">
        <f t="shared" si="88"/>
        <v>0.96646424114342777</v>
      </c>
    </row>
    <row r="590" spans="1:11" x14ac:dyDescent="0.15">
      <c r="A590" s="7">
        <v>39235.561805555553</v>
      </c>
      <c r="B590">
        <v>38.700000000000003</v>
      </c>
      <c r="C590" s="6">
        <f t="shared" si="81"/>
        <v>1139.9999999441206</v>
      </c>
      <c r="D590" t="str">
        <f t="shared" si="82"/>
        <v/>
      </c>
      <c r="E590">
        <f t="shared" si="80"/>
        <v>39235.561805555553</v>
      </c>
      <c r="F590" s="4">
        <f t="shared" si="83"/>
        <v>1.1000000000000014</v>
      </c>
      <c r="G590" s="4">
        <f t="shared" si="84"/>
        <v>0.55000000000000071</v>
      </c>
      <c r="H590" s="5">
        <f t="shared" si="85"/>
        <v>1.0999999113846584</v>
      </c>
      <c r="I590" s="14">
        <f t="shared" si="86"/>
        <v>200.76504374779512</v>
      </c>
      <c r="J590" s="19">
        <f t="shared" si="87"/>
        <v>976165.34967761557</v>
      </c>
      <c r="K590" s="16">
        <f t="shared" si="88"/>
        <v>0.96666305187765822</v>
      </c>
    </row>
    <row r="591" spans="1:11" x14ac:dyDescent="0.15">
      <c r="A591" s="7">
        <v>39235.561828703707</v>
      </c>
      <c r="B591">
        <v>38.700000000000003</v>
      </c>
      <c r="C591" s="6">
        <f t="shared" si="81"/>
        <v>1142.0000004116446</v>
      </c>
      <c r="D591" t="str">
        <f t="shared" si="82"/>
        <v/>
      </c>
      <c r="E591">
        <f t="shared" si="80"/>
        <v>39235.561828703707</v>
      </c>
      <c r="F591" s="4">
        <f t="shared" si="83"/>
        <v>1.1000000000000014</v>
      </c>
      <c r="G591" s="4">
        <f t="shared" si="84"/>
        <v>0.55000000000000071</v>
      </c>
      <c r="H591" s="5">
        <f t="shared" si="85"/>
        <v>1.1000002571381642</v>
      </c>
      <c r="I591" s="14">
        <f t="shared" si="86"/>
        <v>200.7651068525436</v>
      </c>
      <c r="J591" s="19">
        <f t="shared" si="87"/>
        <v>976366.11478446808</v>
      </c>
      <c r="K591" s="16">
        <f t="shared" si="88"/>
        <v>0.9668618626743789</v>
      </c>
    </row>
    <row r="592" spans="1:11" x14ac:dyDescent="0.15">
      <c r="A592" s="7">
        <v>39235.561851851853</v>
      </c>
      <c r="B592">
        <v>38.700000000000003</v>
      </c>
      <c r="C592" s="6">
        <f t="shared" si="81"/>
        <v>1144.0000002505258</v>
      </c>
      <c r="D592" t="str">
        <f t="shared" si="82"/>
        <v/>
      </c>
      <c r="E592">
        <f t="shared" si="80"/>
        <v>39235.561851851853</v>
      </c>
      <c r="F592" s="4">
        <f t="shared" si="83"/>
        <v>1.1000000000000014</v>
      </c>
      <c r="G592" s="4">
        <f t="shared" si="84"/>
        <v>0.55000000000000071</v>
      </c>
      <c r="H592" s="5">
        <f t="shared" si="85"/>
        <v>1.0999999113846584</v>
      </c>
      <c r="I592" s="14">
        <f t="shared" si="86"/>
        <v>200.76504374779512</v>
      </c>
      <c r="J592" s="19">
        <f t="shared" si="87"/>
        <v>976566.87982821593</v>
      </c>
      <c r="K592" s="16">
        <f t="shared" si="88"/>
        <v>0.96706067340860935</v>
      </c>
    </row>
    <row r="593" spans="1:11" x14ac:dyDescent="0.15">
      <c r="A593" s="7">
        <v>39235.561874999999</v>
      </c>
      <c r="B593">
        <v>38.700000000000003</v>
      </c>
      <c r="C593" s="6">
        <f t="shared" si="81"/>
        <v>1146.000000089407</v>
      </c>
      <c r="D593" t="str">
        <f t="shared" si="82"/>
        <v/>
      </c>
      <c r="E593">
        <f t="shared" si="80"/>
        <v>39235.561874999999</v>
      </c>
      <c r="F593" s="4">
        <f t="shared" si="83"/>
        <v>1.1000000000000014</v>
      </c>
      <c r="G593" s="4">
        <f t="shared" si="84"/>
        <v>0.55000000000000071</v>
      </c>
      <c r="H593" s="5">
        <f t="shared" si="85"/>
        <v>1.0999999113846584</v>
      </c>
      <c r="I593" s="14">
        <f t="shared" si="86"/>
        <v>200.76504374779512</v>
      </c>
      <c r="J593" s="19">
        <f t="shared" si="87"/>
        <v>976767.64487196377</v>
      </c>
      <c r="K593" s="16">
        <f t="shared" si="88"/>
        <v>0.96725948414283969</v>
      </c>
    </row>
    <row r="594" spans="1:11" x14ac:dyDescent="0.15">
      <c r="A594" s="7">
        <v>39235.561898148146</v>
      </c>
      <c r="B594">
        <v>38.700000000000003</v>
      </c>
      <c r="C594" s="6">
        <f t="shared" si="81"/>
        <v>1147.9999999282882</v>
      </c>
      <c r="D594" t="str">
        <f t="shared" si="82"/>
        <v/>
      </c>
      <c r="E594">
        <f t="shared" si="80"/>
        <v>39235.561898148146</v>
      </c>
      <c r="F594" s="4">
        <f t="shared" si="83"/>
        <v>1.1000000000000014</v>
      </c>
      <c r="G594" s="4">
        <f t="shared" si="84"/>
        <v>0.55000000000000071</v>
      </c>
      <c r="H594" s="5">
        <f t="shared" si="85"/>
        <v>1.0999999113846584</v>
      </c>
      <c r="I594" s="14">
        <f t="shared" si="86"/>
        <v>200.76504374779512</v>
      </c>
      <c r="J594" s="19">
        <f t="shared" si="87"/>
        <v>976968.40991571161</v>
      </c>
      <c r="K594" s="16">
        <f t="shared" si="88"/>
        <v>0.96745829487707002</v>
      </c>
    </row>
    <row r="595" spans="1:11" x14ac:dyDescent="0.15">
      <c r="A595" s="7">
        <v>39235.561921296299</v>
      </c>
      <c r="B595">
        <v>38.700000000000003</v>
      </c>
      <c r="C595" s="6">
        <f t="shared" si="81"/>
        <v>1150.0000003958121</v>
      </c>
      <c r="D595" t="str">
        <f t="shared" si="82"/>
        <v/>
      </c>
      <c r="E595">
        <f t="shared" si="80"/>
        <v>39235.561921296299</v>
      </c>
      <c r="F595" s="4">
        <f t="shared" si="83"/>
        <v>1.1000000000000014</v>
      </c>
      <c r="G595" s="4">
        <f t="shared" si="84"/>
        <v>0.55000000000000071</v>
      </c>
      <c r="H595" s="5">
        <f t="shared" si="85"/>
        <v>1.1000002571381642</v>
      </c>
      <c r="I595" s="14">
        <f t="shared" si="86"/>
        <v>200.7651068525436</v>
      </c>
      <c r="J595" s="19">
        <f t="shared" si="87"/>
        <v>977169.17502256413</v>
      </c>
      <c r="K595" s="16">
        <f t="shared" si="88"/>
        <v>0.96765710567379082</v>
      </c>
    </row>
    <row r="596" spans="1:11" x14ac:dyDescent="0.15">
      <c r="A596" s="7">
        <v>39235.561944444446</v>
      </c>
      <c r="B596">
        <v>38.6</v>
      </c>
      <c r="C596" s="6">
        <f t="shared" si="81"/>
        <v>1152.0000002346933</v>
      </c>
      <c r="D596" t="str">
        <f t="shared" si="82"/>
        <v/>
      </c>
      <c r="E596">
        <f t="shared" si="80"/>
        <v>39235.561944444446</v>
      </c>
      <c r="F596" s="4">
        <f t="shared" si="83"/>
        <v>1</v>
      </c>
      <c r="G596" s="4">
        <f t="shared" si="84"/>
        <v>0.5</v>
      </c>
      <c r="H596" s="5">
        <f t="shared" si="85"/>
        <v>1.0499999154126278</v>
      </c>
      <c r="I596" s="14">
        <f t="shared" si="86"/>
        <v>191.63935994107706</v>
      </c>
      <c r="J596" s="19">
        <f t="shared" si="87"/>
        <v>977360.81438250525</v>
      </c>
      <c r="K596" s="16">
        <f t="shared" si="88"/>
        <v>0.9678468795564652</v>
      </c>
    </row>
    <row r="597" spans="1:11" x14ac:dyDescent="0.15">
      <c r="A597" s="7">
        <v>39235.561967592592</v>
      </c>
      <c r="B597">
        <v>38.700000000000003</v>
      </c>
      <c r="C597" s="6">
        <f t="shared" si="81"/>
        <v>1154.0000000735745</v>
      </c>
      <c r="D597" t="str">
        <f t="shared" si="82"/>
        <v/>
      </c>
      <c r="E597">
        <f t="shared" ref="E597:E660" si="89">IF(B597-$B$6&gt;0,A597," ")</f>
        <v>39235.561967592592</v>
      </c>
      <c r="F597" s="4">
        <f t="shared" si="83"/>
        <v>1.1000000000000014</v>
      </c>
      <c r="G597" s="4">
        <f t="shared" si="84"/>
        <v>0.55000000000000071</v>
      </c>
      <c r="H597" s="5">
        <f t="shared" si="85"/>
        <v>1.0499999154126278</v>
      </c>
      <c r="I597" s="14">
        <f t="shared" si="86"/>
        <v>191.63935994107706</v>
      </c>
      <c r="J597" s="19">
        <f t="shared" si="87"/>
        <v>977552.45374244638</v>
      </c>
      <c r="K597" s="16">
        <f t="shared" si="88"/>
        <v>0.96803665343913958</v>
      </c>
    </row>
    <row r="598" spans="1:11" x14ac:dyDescent="0.15">
      <c r="A598" s="7">
        <v>39235.561990740738</v>
      </c>
      <c r="B598">
        <v>38.6</v>
      </c>
      <c r="C598" s="6">
        <f t="shared" si="81"/>
        <v>1155.9999999124557</v>
      </c>
      <c r="D598" t="str">
        <f t="shared" si="82"/>
        <v/>
      </c>
      <c r="E598">
        <f t="shared" si="89"/>
        <v>39235.561990740738</v>
      </c>
      <c r="F598" s="4">
        <f t="shared" si="83"/>
        <v>1</v>
      </c>
      <c r="G598" s="4">
        <f t="shared" si="84"/>
        <v>0.5</v>
      </c>
      <c r="H598" s="5">
        <f t="shared" si="85"/>
        <v>1.0499999154126278</v>
      </c>
      <c r="I598" s="14">
        <f t="shared" si="86"/>
        <v>191.63935994107706</v>
      </c>
      <c r="J598" s="19">
        <f t="shared" si="87"/>
        <v>977744.0931023875</v>
      </c>
      <c r="K598" s="16">
        <f t="shared" si="88"/>
        <v>0.96822642732181408</v>
      </c>
    </row>
    <row r="599" spans="1:11" x14ac:dyDescent="0.15">
      <c r="A599" s="7">
        <v>39235.562013888892</v>
      </c>
      <c r="B599">
        <v>38.6</v>
      </c>
      <c r="C599" s="6">
        <f t="shared" si="81"/>
        <v>1158.0000003799796</v>
      </c>
      <c r="D599" t="str">
        <f t="shared" si="82"/>
        <v/>
      </c>
      <c r="E599">
        <f t="shared" si="89"/>
        <v>39235.562013888892</v>
      </c>
      <c r="F599" s="4">
        <f t="shared" si="83"/>
        <v>1</v>
      </c>
      <c r="G599" s="4">
        <f t="shared" si="84"/>
        <v>0.5</v>
      </c>
      <c r="H599" s="5">
        <f t="shared" si="85"/>
        <v>1.0000002337619662</v>
      </c>
      <c r="I599" s="14">
        <f t="shared" si="86"/>
        <v>182.51373350231214</v>
      </c>
      <c r="J599" s="19">
        <f t="shared" si="87"/>
        <v>977926.60683588986</v>
      </c>
      <c r="K599" s="16">
        <f t="shared" si="88"/>
        <v>0.96840716440974206</v>
      </c>
    </row>
    <row r="600" spans="1:11" x14ac:dyDescent="0.15">
      <c r="A600" s="7">
        <v>39235.562037037038</v>
      </c>
      <c r="B600">
        <v>38.6</v>
      </c>
      <c r="C600" s="6">
        <f t="shared" si="81"/>
        <v>1160.0000002188608</v>
      </c>
      <c r="D600" t="str">
        <f t="shared" si="82"/>
        <v/>
      </c>
      <c r="E600">
        <f t="shared" si="89"/>
        <v>39235.562037037038</v>
      </c>
      <c r="F600" s="4">
        <f t="shared" si="83"/>
        <v>1</v>
      </c>
      <c r="G600" s="4">
        <f t="shared" si="84"/>
        <v>0.5</v>
      </c>
      <c r="H600" s="5">
        <f t="shared" si="85"/>
        <v>0.9999999194405973</v>
      </c>
      <c r="I600" s="14">
        <f t="shared" si="86"/>
        <v>182.51367613435897</v>
      </c>
      <c r="J600" s="19">
        <f t="shared" si="87"/>
        <v>978109.12051202427</v>
      </c>
      <c r="K600" s="16">
        <f t="shared" si="88"/>
        <v>0.9685879014408606</v>
      </c>
    </row>
    <row r="601" spans="1:11" x14ac:dyDescent="0.15">
      <c r="A601" s="7">
        <v>39235.562060185184</v>
      </c>
      <c r="B601">
        <v>38.6</v>
      </c>
      <c r="C601" s="6">
        <f t="shared" si="81"/>
        <v>1162.000000057742</v>
      </c>
      <c r="D601" t="str">
        <f t="shared" si="82"/>
        <v/>
      </c>
      <c r="E601">
        <f t="shared" si="89"/>
        <v>39235.562060185184</v>
      </c>
      <c r="F601" s="4">
        <f t="shared" si="83"/>
        <v>1</v>
      </c>
      <c r="G601" s="4">
        <f t="shared" si="84"/>
        <v>0.5</v>
      </c>
      <c r="H601" s="5">
        <f t="shared" si="85"/>
        <v>0.9999999194405973</v>
      </c>
      <c r="I601" s="14">
        <f t="shared" si="86"/>
        <v>182.51367613435897</v>
      </c>
      <c r="J601" s="19">
        <f t="shared" si="87"/>
        <v>978291.63418815867</v>
      </c>
      <c r="K601" s="16">
        <f t="shared" si="88"/>
        <v>0.96876863847197914</v>
      </c>
    </row>
    <row r="602" spans="1:11" x14ac:dyDescent="0.15">
      <c r="A602" s="7">
        <v>39235.562083333331</v>
      </c>
      <c r="B602">
        <v>38.6</v>
      </c>
      <c r="C602" s="6">
        <f t="shared" si="81"/>
        <v>1163.9999998966232</v>
      </c>
      <c r="D602" t="str">
        <f t="shared" si="82"/>
        <v/>
      </c>
      <c r="E602">
        <f t="shared" si="89"/>
        <v>39235.562083333331</v>
      </c>
      <c r="F602" s="4">
        <f t="shared" si="83"/>
        <v>1</v>
      </c>
      <c r="G602" s="4">
        <f t="shared" si="84"/>
        <v>0.5</v>
      </c>
      <c r="H602" s="5">
        <f t="shared" si="85"/>
        <v>0.9999999194405973</v>
      </c>
      <c r="I602" s="14">
        <f t="shared" si="86"/>
        <v>182.51367613435897</v>
      </c>
      <c r="J602" s="19">
        <f t="shared" si="87"/>
        <v>978474.14786429307</v>
      </c>
      <c r="K602" s="16">
        <f t="shared" si="88"/>
        <v>0.96894937550309768</v>
      </c>
    </row>
    <row r="603" spans="1:11" x14ac:dyDescent="0.15">
      <c r="A603" s="7">
        <v>39235.562106481484</v>
      </c>
      <c r="B603">
        <v>38.6</v>
      </c>
      <c r="C603" s="6">
        <f t="shared" si="81"/>
        <v>1166.0000003641471</v>
      </c>
      <c r="D603" t="str">
        <f t="shared" si="82"/>
        <v/>
      </c>
      <c r="E603">
        <f t="shared" si="89"/>
        <v>39235.562106481484</v>
      </c>
      <c r="F603" s="4">
        <f t="shared" si="83"/>
        <v>1</v>
      </c>
      <c r="G603" s="4">
        <f t="shared" si="84"/>
        <v>0.5</v>
      </c>
      <c r="H603" s="5">
        <f t="shared" si="85"/>
        <v>1.0000002337619662</v>
      </c>
      <c r="I603" s="14">
        <f t="shared" si="86"/>
        <v>182.51373350231214</v>
      </c>
      <c r="J603" s="19">
        <f t="shared" si="87"/>
        <v>978656.66159779544</v>
      </c>
      <c r="K603" s="16">
        <f t="shared" si="88"/>
        <v>0.96913011259102566</v>
      </c>
    </row>
    <row r="604" spans="1:11" x14ac:dyDescent="0.15">
      <c r="A604" s="7">
        <v>39235.56212962963</v>
      </c>
      <c r="B604">
        <v>38.6</v>
      </c>
      <c r="C604" s="6">
        <f t="shared" si="81"/>
        <v>1168.0000002030283</v>
      </c>
      <c r="D604" t="str">
        <f t="shared" si="82"/>
        <v/>
      </c>
      <c r="E604">
        <f t="shared" si="89"/>
        <v>39235.56212962963</v>
      </c>
      <c r="F604" s="4">
        <f t="shared" si="83"/>
        <v>1</v>
      </c>
      <c r="G604" s="4">
        <f t="shared" si="84"/>
        <v>0.5</v>
      </c>
      <c r="H604" s="5">
        <f t="shared" si="85"/>
        <v>0.9999999194405973</v>
      </c>
      <c r="I604" s="14">
        <f t="shared" si="86"/>
        <v>182.51367613435897</v>
      </c>
      <c r="J604" s="19">
        <f t="shared" si="87"/>
        <v>978839.17527392984</v>
      </c>
      <c r="K604" s="16">
        <f t="shared" si="88"/>
        <v>0.9693108496221442</v>
      </c>
    </row>
    <row r="605" spans="1:11" x14ac:dyDescent="0.15">
      <c r="A605" s="7">
        <v>39235.562152777777</v>
      </c>
      <c r="B605">
        <v>38.5</v>
      </c>
      <c r="C605" s="6">
        <f t="shared" si="81"/>
        <v>1170.0000000419095</v>
      </c>
      <c r="D605" t="str">
        <f t="shared" si="82"/>
        <v/>
      </c>
      <c r="E605">
        <f t="shared" si="89"/>
        <v>39235.562152777777</v>
      </c>
      <c r="F605" s="4">
        <f t="shared" si="83"/>
        <v>0.89999999999999858</v>
      </c>
      <c r="G605" s="4">
        <f t="shared" si="84"/>
        <v>0.44999999999999929</v>
      </c>
      <c r="H605" s="5">
        <f t="shared" si="85"/>
        <v>0.94999992346856676</v>
      </c>
      <c r="I605" s="14">
        <f t="shared" si="86"/>
        <v>173.38799232764092</v>
      </c>
      <c r="J605" s="19">
        <f t="shared" si="87"/>
        <v>979012.56326625752</v>
      </c>
      <c r="K605" s="16">
        <f t="shared" si="88"/>
        <v>0.96948254980170678</v>
      </c>
    </row>
    <row r="606" spans="1:11" x14ac:dyDescent="0.15">
      <c r="A606" s="7">
        <v>39235.562175925923</v>
      </c>
      <c r="B606">
        <v>38.4</v>
      </c>
      <c r="C606" s="6">
        <f t="shared" si="81"/>
        <v>1171.9999998807907</v>
      </c>
      <c r="D606" t="str">
        <f t="shared" si="82"/>
        <v/>
      </c>
      <c r="E606">
        <f t="shared" si="89"/>
        <v>39235.562175925923</v>
      </c>
      <c r="F606" s="4">
        <f t="shared" si="83"/>
        <v>0.79999999999999716</v>
      </c>
      <c r="G606" s="4">
        <f t="shared" si="84"/>
        <v>0.39999999999999858</v>
      </c>
      <c r="H606" s="5">
        <f t="shared" si="85"/>
        <v>0.84999993152450559</v>
      </c>
      <c r="I606" s="14">
        <f t="shared" si="86"/>
        <v>155.13662471420474</v>
      </c>
      <c r="J606" s="19">
        <f t="shared" si="87"/>
        <v>979167.69989097177</v>
      </c>
      <c r="K606" s="16">
        <f t="shared" si="88"/>
        <v>0.96963617627815746</v>
      </c>
    </row>
    <row r="607" spans="1:11" x14ac:dyDescent="0.15">
      <c r="A607" s="7">
        <v>39235.562199074076</v>
      </c>
      <c r="B607">
        <v>38.4</v>
      </c>
      <c r="C607" s="6">
        <f t="shared" si="81"/>
        <v>1174.0000003483146</v>
      </c>
      <c r="D607" t="str">
        <f t="shared" si="82"/>
        <v/>
      </c>
      <c r="E607">
        <f t="shared" si="89"/>
        <v>39235.562199074076</v>
      </c>
      <c r="F607" s="4">
        <f t="shared" si="83"/>
        <v>0.79999999999999716</v>
      </c>
      <c r="G607" s="4">
        <f t="shared" si="84"/>
        <v>0.39999999999999858</v>
      </c>
      <c r="H607" s="5">
        <f t="shared" si="85"/>
        <v>0.8000001870095701</v>
      </c>
      <c r="I607" s="14">
        <f t="shared" si="86"/>
        <v>146.01098680184919</v>
      </c>
      <c r="J607" s="19">
        <f t="shared" si="87"/>
        <v>979313.71087777358</v>
      </c>
      <c r="K607" s="16">
        <f t="shared" si="88"/>
        <v>0.96978076594849982</v>
      </c>
    </row>
    <row r="608" spans="1:11" x14ac:dyDescent="0.15">
      <c r="A608" s="7">
        <v>39235.562222222223</v>
      </c>
      <c r="B608">
        <v>38.4</v>
      </c>
      <c r="C608" s="6">
        <f t="shared" si="81"/>
        <v>1176.0000001871958</v>
      </c>
      <c r="D608" t="str">
        <f t="shared" si="82"/>
        <v/>
      </c>
      <c r="E608">
        <f t="shared" si="89"/>
        <v>39235.562222222223</v>
      </c>
      <c r="F608" s="4">
        <f t="shared" si="83"/>
        <v>0.79999999999999716</v>
      </c>
      <c r="G608" s="4">
        <f t="shared" si="84"/>
        <v>0.39999999999999858</v>
      </c>
      <c r="H608" s="5">
        <f t="shared" si="85"/>
        <v>0.79999993555247495</v>
      </c>
      <c r="I608" s="14">
        <f t="shared" si="86"/>
        <v>146.01094090748666</v>
      </c>
      <c r="J608" s="19">
        <f t="shared" si="87"/>
        <v>979459.72181868111</v>
      </c>
      <c r="K608" s="16">
        <f t="shared" si="88"/>
        <v>0.96992535557339465</v>
      </c>
    </row>
    <row r="609" spans="1:11" x14ac:dyDescent="0.15">
      <c r="A609" s="7">
        <v>39235.562245370369</v>
      </c>
      <c r="B609">
        <v>38.4</v>
      </c>
      <c r="C609" s="6">
        <f t="shared" si="81"/>
        <v>1178.000000026077</v>
      </c>
      <c r="D609" t="str">
        <f t="shared" si="82"/>
        <v/>
      </c>
      <c r="E609">
        <f t="shared" si="89"/>
        <v>39235.562245370369</v>
      </c>
      <c r="F609" s="4">
        <f t="shared" si="83"/>
        <v>0.79999999999999716</v>
      </c>
      <c r="G609" s="4">
        <f t="shared" si="84"/>
        <v>0.39999999999999858</v>
      </c>
      <c r="H609" s="5">
        <f t="shared" si="85"/>
        <v>0.79999993555247495</v>
      </c>
      <c r="I609" s="14">
        <f t="shared" si="86"/>
        <v>146.01094090748666</v>
      </c>
      <c r="J609" s="19">
        <f t="shared" si="87"/>
        <v>979605.73275958863</v>
      </c>
      <c r="K609" s="16">
        <f t="shared" si="88"/>
        <v>0.97006994519828948</v>
      </c>
    </row>
    <row r="610" spans="1:11" x14ac:dyDescent="0.15">
      <c r="A610" s="7">
        <v>39235.562268518515</v>
      </c>
      <c r="B610">
        <v>38.4</v>
      </c>
      <c r="C610" s="6">
        <f t="shared" si="81"/>
        <v>1179.9999998649582</v>
      </c>
      <c r="D610" t="str">
        <f t="shared" si="82"/>
        <v/>
      </c>
      <c r="E610">
        <f t="shared" si="89"/>
        <v>39235.562268518515</v>
      </c>
      <c r="F610" s="4">
        <f t="shared" si="83"/>
        <v>0.79999999999999716</v>
      </c>
      <c r="G610" s="4">
        <f t="shared" si="84"/>
        <v>0.39999999999999858</v>
      </c>
      <c r="H610" s="5">
        <f t="shared" si="85"/>
        <v>0.79999993555247495</v>
      </c>
      <c r="I610" s="14">
        <f t="shared" si="86"/>
        <v>146.01094090748666</v>
      </c>
      <c r="J610" s="19">
        <f t="shared" si="87"/>
        <v>979751.74370049615</v>
      </c>
      <c r="K610" s="16">
        <f t="shared" si="88"/>
        <v>0.9702145348231842</v>
      </c>
    </row>
    <row r="611" spans="1:11" x14ac:dyDescent="0.15">
      <c r="A611" s="7">
        <v>39235.562291666669</v>
      </c>
      <c r="B611">
        <v>38.4</v>
      </c>
      <c r="C611" s="6">
        <f t="shared" si="81"/>
        <v>1182.0000003324822</v>
      </c>
      <c r="D611" t="str">
        <f t="shared" si="82"/>
        <v/>
      </c>
      <c r="E611">
        <f t="shared" si="89"/>
        <v>39235.562291666669</v>
      </c>
      <c r="F611" s="4">
        <f t="shared" si="83"/>
        <v>0.79999999999999716</v>
      </c>
      <c r="G611" s="4">
        <f t="shared" si="84"/>
        <v>0.39999999999999858</v>
      </c>
      <c r="H611" s="5">
        <f t="shared" si="85"/>
        <v>0.8000001870095701</v>
      </c>
      <c r="I611" s="14">
        <f t="shared" si="86"/>
        <v>146.01098680184919</v>
      </c>
      <c r="J611" s="19">
        <f t="shared" si="87"/>
        <v>979897.75468729797</v>
      </c>
      <c r="K611" s="16">
        <f t="shared" si="88"/>
        <v>0.97035912449352657</v>
      </c>
    </row>
    <row r="612" spans="1:11" x14ac:dyDescent="0.15">
      <c r="A612" s="7">
        <v>39235.562314814815</v>
      </c>
      <c r="B612">
        <v>38.4</v>
      </c>
      <c r="C612" s="6">
        <f t="shared" si="81"/>
        <v>1184.0000001713634</v>
      </c>
      <c r="D612" t="str">
        <f t="shared" si="82"/>
        <v/>
      </c>
      <c r="E612">
        <f t="shared" si="89"/>
        <v>39235.562314814815</v>
      </c>
      <c r="F612" s="4">
        <f t="shared" si="83"/>
        <v>0.79999999999999716</v>
      </c>
      <c r="G612" s="4">
        <f t="shared" si="84"/>
        <v>0.39999999999999858</v>
      </c>
      <c r="H612" s="5">
        <f t="shared" si="85"/>
        <v>0.79999993555247495</v>
      </c>
      <c r="I612" s="14">
        <f t="shared" si="86"/>
        <v>146.01094090748666</v>
      </c>
      <c r="J612" s="19">
        <f t="shared" si="87"/>
        <v>980043.7656282055</v>
      </c>
      <c r="K612" s="16">
        <f t="shared" si="88"/>
        <v>0.9705037141184214</v>
      </c>
    </row>
    <row r="613" spans="1:11" x14ac:dyDescent="0.15">
      <c r="A613" s="7">
        <v>39235.562337962961</v>
      </c>
      <c r="B613">
        <v>38.4</v>
      </c>
      <c r="C613" s="6">
        <f t="shared" si="81"/>
        <v>1186.0000000102445</v>
      </c>
      <c r="D613" t="str">
        <f t="shared" si="82"/>
        <v/>
      </c>
      <c r="E613">
        <f t="shared" si="89"/>
        <v>39235.562337962961</v>
      </c>
      <c r="F613" s="4">
        <f t="shared" si="83"/>
        <v>0.79999999999999716</v>
      </c>
      <c r="G613" s="4">
        <f t="shared" si="84"/>
        <v>0.39999999999999858</v>
      </c>
      <c r="H613" s="5">
        <f t="shared" si="85"/>
        <v>0.79999993555247495</v>
      </c>
      <c r="I613" s="14">
        <f t="shared" si="86"/>
        <v>146.01094090748666</v>
      </c>
      <c r="J613" s="19">
        <f t="shared" si="87"/>
        <v>980189.77656911302</v>
      </c>
      <c r="K613" s="16">
        <f t="shared" si="88"/>
        <v>0.97064830374331623</v>
      </c>
    </row>
    <row r="614" spans="1:11" x14ac:dyDescent="0.15">
      <c r="A614" s="7">
        <v>39235.562361111108</v>
      </c>
      <c r="B614">
        <v>38.4</v>
      </c>
      <c r="C614" s="6">
        <f t="shared" si="81"/>
        <v>1187.9999998491257</v>
      </c>
      <c r="D614" t="str">
        <f t="shared" si="82"/>
        <v/>
      </c>
      <c r="E614">
        <f t="shared" si="89"/>
        <v>39235.562361111108</v>
      </c>
      <c r="F614" s="4">
        <f t="shared" si="83"/>
        <v>0.79999999999999716</v>
      </c>
      <c r="G614" s="4">
        <f t="shared" si="84"/>
        <v>0.39999999999999858</v>
      </c>
      <c r="H614" s="5">
        <f t="shared" si="85"/>
        <v>0.79999993555247495</v>
      </c>
      <c r="I614" s="14">
        <f t="shared" si="86"/>
        <v>146.01094090748666</v>
      </c>
      <c r="J614" s="19">
        <f t="shared" si="87"/>
        <v>980335.78751002054</v>
      </c>
      <c r="K614" s="16">
        <f t="shared" si="88"/>
        <v>0.97079289336821106</v>
      </c>
    </row>
    <row r="615" spans="1:11" x14ac:dyDescent="0.15">
      <c r="A615" s="7">
        <v>39235.562384259261</v>
      </c>
      <c r="B615">
        <v>38.4</v>
      </c>
      <c r="C615" s="6">
        <f t="shared" si="81"/>
        <v>1190.0000003166497</v>
      </c>
      <c r="D615" t="str">
        <f t="shared" si="82"/>
        <v/>
      </c>
      <c r="E615">
        <f t="shared" si="89"/>
        <v>39235.562384259261</v>
      </c>
      <c r="F615" s="4">
        <f t="shared" si="83"/>
        <v>0.79999999999999716</v>
      </c>
      <c r="G615" s="4">
        <f t="shared" si="84"/>
        <v>0.39999999999999858</v>
      </c>
      <c r="H615" s="5">
        <f t="shared" si="85"/>
        <v>0.8000001870095701</v>
      </c>
      <c r="I615" s="14">
        <f t="shared" si="86"/>
        <v>146.01098680184919</v>
      </c>
      <c r="J615" s="19">
        <f t="shared" si="87"/>
        <v>980481.79849682236</v>
      </c>
      <c r="K615" s="16">
        <f t="shared" si="88"/>
        <v>0.97093748303855343</v>
      </c>
    </row>
    <row r="616" spans="1:11" x14ac:dyDescent="0.15">
      <c r="A616" s="7">
        <v>39235.562407407408</v>
      </c>
      <c r="B616">
        <v>38.4</v>
      </c>
      <c r="C616" s="6">
        <f t="shared" ref="C616:C679" si="90">(A616-$B$4)*24*60*60</f>
        <v>1192.0000001555309</v>
      </c>
      <c r="D616" t="str">
        <f t="shared" ref="D616:D679" si="91">IF(F616=$B$8,A616,"")</f>
        <v/>
      </c>
      <c r="E616">
        <f t="shared" si="89"/>
        <v>39235.562407407408</v>
      </c>
      <c r="F616" s="4">
        <f t="shared" ref="F616:F679" si="92">IF((B616-$B$6)&gt;0,B616-$B$6,0)</f>
        <v>0.79999999999999716</v>
      </c>
      <c r="G616" s="4">
        <f t="shared" ref="G616:G679" si="93">F616/2</f>
        <v>0.39999999999999858</v>
      </c>
      <c r="H616" s="5">
        <f t="shared" ref="H616:H679" si="94">AVERAGE(G615:G616)*(C616-C615)</f>
        <v>0.79999993555247495</v>
      </c>
      <c r="I616" s="14">
        <f t="shared" ref="I616:I679" si="95">H616*$B$14</f>
        <v>146.01094090748666</v>
      </c>
      <c r="J616" s="19">
        <f t="shared" ref="J616:J679" si="96">J615+I616</f>
        <v>980627.80943772988</v>
      </c>
      <c r="K616" s="16">
        <f t="shared" ref="K616:K679" si="97">J616/($B$12*1000)</f>
        <v>0.97108207266344815</v>
      </c>
    </row>
    <row r="617" spans="1:11" x14ac:dyDescent="0.15">
      <c r="A617" s="7">
        <v>39235.562430555554</v>
      </c>
      <c r="B617">
        <v>38.4</v>
      </c>
      <c r="C617" s="6">
        <f t="shared" si="90"/>
        <v>1193.9999999944121</v>
      </c>
      <c r="D617" t="str">
        <f t="shared" si="91"/>
        <v/>
      </c>
      <c r="E617">
        <f t="shared" si="89"/>
        <v>39235.562430555554</v>
      </c>
      <c r="F617" s="4">
        <f t="shared" si="92"/>
        <v>0.79999999999999716</v>
      </c>
      <c r="G617" s="4">
        <f t="shared" si="93"/>
        <v>0.39999999999999858</v>
      </c>
      <c r="H617" s="5">
        <f t="shared" si="94"/>
        <v>0.79999993555247495</v>
      </c>
      <c r="I617" s="14">
        <f t="shared" si="95"/>
        <v>146.01094090748666</v>
      </c>
      <c r="J617" s="19">
        <f t="shared" si="96"/>
        <v>980773.82037863741</v>
      </c>
      <c r="K617" s="16">
        <f t="shared" si="97"/>
        <v>0.97122666228834298</v>
      </c>
    </row>
    <row r="618" spans="1:11" x14ac:dyDescent="0.15">
      <c r="A618" s="7">
        <v>39235.5624537037</v>
      </c>
      <c r="B618">
        <v>38.4</v>
      </c>
      <c r="C618" s="6">
        <f t="shared" si="90"/>
        <v>1195.9999998332933</v>
      </c>
      <c r="D618" t="str">
        <f t="shared" si="91"/>
        <v/>
      </c>
      <c r="E618">
        <f t="shared" si="89"/>
        <v>39235.5624537037</v>
      </c>
      <c r="F618" s="4">
        <f t="shared" si="92"/>
        <v>0.79999999999999716</v>
      </c>
      <c r="G618" s="4">
        <f t="shared" si="93"/>
        <v>0.39999999999999858</v>
      </c>
      <c r="H618" s="5">
        <f t="shared" si="94"/>
        <v>0.79999993555247495</v>
      </c>
      <c r="I618" s="14">
        <f t="shared" si="95"/>
        <v>146.01094090748666</v>
      </c>
      <c r="J618" s="19">
        <f t="shared" si="96"/>
        <v>980919.83131954493</v>
      </c>
      <c r="K618" s="16">
        <f t="shared" si="97"/>
        <v>0.97137125191323781</v>
      </c>
    </row>
    <row r="619" spans="1:11" x14ac:dyDescent="0.15">
      <c r="A619" s="7">
        <v>39235.562476851854</v>
      </c>
      <c r="B619">
        <v>38.4</v>
      </c>
      <c r="C619" s="6">
        <f t="shared" si="90"/>
        <v>1198.0000003008172</v>
      </c>
      <c r="D619" t="str">
        <f t="shared" si="91"/>
        <v/>
      </c>
      <c r="E619">
        <f t="shared" si="89"/>
        <v>39235.562476851854</v>
      </c>
      <c r="F619" s="4">
        <f t="shared" si="92"/>
        <v>0.79999999999999716</v>
      </c>
      <c r="G619" s="4">
        <f t="shared" si="93"/>
        <v>0.39999999999999858</v>
      </c>
      <c r="H619" s="5">
        <f t="shared" si="94"/>
        <v>0.8000001870095701</v>
      </c>
      <c r="I619" s="14">
        <f t="shared" si="95"/>
        <v>146.01098680184919</v>
      </c>
      <c r="J619" s="19">
        <f t="shared" si="96"/>
        <v>981065.84230634675</v>
      </c>
      <c r="K619" s="16">
        <f t="shared" si="97"/>
        <v>0.97151584158358018</v>
      </c>
    </row>
    <row r="620" spans="1:11" x14ac:dyDescent="0.15">
      <c r="A620" s="7">
        <v>39235.5625</v>
      </c>
      <c r="B620">
        <v>38.5</v>
      </c>
      <c r="C620" s="6">
        <f t="shared" si="90"/>
        <v>1200.0000001396984</v>
      </c>
      <c r="D620" t="str">
        <f t="shared" si="91"/>
        <v/>
      </c>
      <c r="E620">
        <f t="shared" si="89"/>
        <v>39235.5625</v>
      </c>
      <c r="F620" s="4">
        <f t="shared" si="92"/>
        <v>0.89999999999999858</v>
      </c>
      <c r="G620" s="4">
        <f t="shared" si="93"/>
        <v>0.44999999999999929</v>
      </c>
      <c r="H620" s="5">
        <f t="shared" si="94"/>
        <v>0.84999993152450559</v>
      </c>
      <c r="I620" s="14">
        <f t="shared" si="95"/>
        <v>155.13662471420474</v>
      </c>
      <c r="J620" s="19">
        <f t="shared" si="96"/>
        <v>981220.97893106099</v>
      </c>
      <c r="K620" s="16">
        <f t="shared" si="97"/>
        <v>0.97166946806003085</v>
      </c>
    </row>
    <row r="621" spans="1:11" x14ac:dyDescent="0.15">
      <c r="A621" s="7">
        <v>39235.562523148146</v>
      </c>
      <c r="B621">
        <v>38.4</v>
      </c>
      <c r="C621" s="6">
        <f t="shared" si="90"/>
        <v>1201.9999999785796</v>
      </c>
      <c r="D621" t="str">
        <f t="shared" si="91"/>
        <v/>
      </c>
      <c r="E621">
        <f t="shared" si="89"/>
        <v>39235.562523148146</v>
      </c>
      <c r="F621" s="4">
        <f t="shared" si="92"/>
        <v>0.79999999999999716</v>
      </c>
      <c r="G621" s="4">
        <f t="shared" si="93"/>
        <v>0.39999999999999858</v>
      </c>
      <c r="H621" s="5">
        <f t="shared" si="94"/>
        <v>0.84999993152450559</v>
      </c>
      <c r="I621" s="14">
        <f t="shared" si="95"/>
        <v>155.13662471420474</v>
      </c>
      <c r="J621" s="19">
        <f t="shared" si="96"/>
        <v>981376.11555577524</v>
      </c>
      <c r="K621" s="16">
        <f t="shared" si="97"/>
        <v>0.97182309453648164</v>
      </c>
    </row>
    <row r="622" spans="1:11" x14ac:dyDescent="0.15">
      <c r="A622" s="7">
        <v>39235.5625462963</v>
      </c>
      <c r="B622">
        <v>38.4</v>
      </c>
      <c r="C622" s="6">
        <f t="shared" si="90"/>
        <v>1204.0000004461035</v>
      </c>
      <c r="D622" t="str">
        <f t="shared" si="91"/>
        <v/>
      </c>
      <c r="E622">
        <f t="shared" si="89"/>
        <v>39235.5625462963</v>
      </c>
      <c r="F622" s="4">
        <f t="shared" si="92"/>
        <v>0.79999999999999716</v>
      </c>
      <c r="G622" s="4">
        <f t="shared" si="93"/>
        <v>0.39999999999999858</v>
      </c>
      <c r="H622" s="5">
        <f t="shared" si="94"/>
        <v>0.8000001870095701</v>
      </c>
      <c r="I622" s="14">
        <f t="shared" si="95"/>
        <v>146.01098680184919</v>
      </c>
      <c r="J622" s="19">
        <f t="shared" si="96"/>
        <v>981522.12654257705</v>
      </c>
      <c r="K622" s="16">
        <f t="shared" si="97"/>
        <v>0.971967684206824</v>
      </c>
    </row>
    <row r="623" spans="1:11" x14ac:dyDescent="0.15">
      <c r="A623" s="7">
        <v>39235.562569444446</v>
      </c>
      <c r="B623">
        <v>38.4</v>
      </c>
      <c r="C623" s="6">
        <f t="shared" si="90"/>
        <v>1206.0000002849847</v>
      </c>
      <c r="D623" t="str">
        <f t="shared" si="91"/>
        <v/>
      </c>
      <c r="E623">
        <f t="shared" si="89"/>
        <v>39235.562569444446</v>
      </c>
      <c r="F623" s="4">
        <f t="shared" si="92"/>
        <v>0.79999999999999716</v>
      </c>
      <c r="G623" s="4">
        <f t="shared" si="93"/>
        <v>0.39999999999999858</v>
      </c>
      <c r="H623" s="5">
        <f t="shared" si="94"/>
        <v>0.79999993555247495</v>
      </c>
      <c r="I623" s="14">
        <f t="shared" si="95"/>
        <v>146.01094090748666</v>
      </c>
      <c r="J623" s="19">
        <f t="shared" si="96"/>
        <v>981668.13748348458</v>
      </c>
      <c r="K623" s="16">
        <f t="shared" si="97"/>
        <v>0.97211227383171883</v>
      </c>
    </row>
    <row r="624" spans="1:11" x14ac:dyDescent="0.15">
      <c r="A624" s="7">
        <v>39235.562592592592</v>
      </c>
      <c r="B624">
        <v>38.4</v>
      </c>
      <c r="C624" s="6">
        <f t="shared" si="90"/>
        <v>1208.0000001238659</v>
      </c>
      <c r="D624" t="str">
        <f t="shared" si="91"/>
        <v/>
      </c>
      <c r="E624">
        <f t="shared" si="89"/>
        <v>39235.562592592592</v>
      </c>
      <c r="F624" s="4">
        <f t="shared" si="92"/>
        <v>0.79999999999999716</v>
      </c>
      <c r="G624" s="4">
        <f t="shared" si="93"/>
        <v>0.39999999999999858</v>
      </c>
      <c r="H624" s="5">
        <f t="shared" si="94"/>
        <v>0.79999993555247495</v>
      </c>
      <c r="I624" s="14">
        <f t="shared" si="95"/>
        <v>146.01094090748666</v>
      </c>
      <c r="J624" s="19">
        <f t="shared" si="96"/>
        <v>981814.1484243921</v>
      </c>
      <c r="K624" s="16">
        <f t="shared" si="97"/>
        <v>0.97225686345661355</v>
      </c>
    </row>
    <row r="625" spans="1:11" x14ac:dyDescent="0.15">
      <c r="A625" s="7">
        <v>39235.562615740739</v>
      </c>
      <c r="B625">
        <v>38.4</v>
      </c>
      <c r="C625" s="6">
        <f t="shared" si="90"/>
        <v>1209.9999999627471</v>
      </c>
      <c r="D625" t="str">
        <f t="shared" si="91"/>
        <v/>
      </c>
      <c r="E625">
        <f t="shared" si="89"/>
        <v>39235.562615740739</v>
      </c>
      <c r="F625" s="4">
        <f t="shared" si="92"/>
        <v>0.79999999999999716</v>
      </c>
      <c r="G625" s="4">
        <f t="shared" si="93"/>
        <v>0.39999999999999858</v>
      </c>
      <c r="H625" s="5">
        <f t="shared" si="94"/>
        <v>0.79999993555247495</v>
      </c>
      <c r="I625" s="14">
        <f t="shared" si="95"/>
        <v>146.01094090748666</v>
      </c>
      <c r="J625" s="19">
        <f t="shared" si="96"/>
        <v>981960.15936529962</v>
      </c>
      <c r="K625" s="16">
        <f t="shared" si="97"/>
        <v>0.97240145308150838</v>
      </c>
    </row>
    <row r="626" spans="1:11" x14ac:dyDescent="0.15">
      <c r="A626" s="7">
        <v>39235.562638888892</v>
      </c>
      <c r="B626">
        <v>38.4</v>
      </c>
      <c r="C626" s="6">
        <f t="shared" si="90"/>
        <v>1212.000000430271</v>
      </c>
      <c r="D626" t="str">
        <f t="shared" si="91"/>
        <v/>
      </c>
      <c r="E626">
        <f t="shared" si="89"/>
        <v>39235.562638888892</v>
      </c>
      <c r="F626" s="4">
        <f t="shared" si="92"/>
        <v>0.79999999999999716</v>
      </c>
      <c r="G626" s="4">
        <f t="shared" si="93"/>
        <v>0.39999999999999858</v>
      </c>
      <c r="H626" s="5">
        <f t="shared" si="94"/>
        <v>0.8000001870095701</v>
      </c>
      <c r="I626" s="14">
        <f t="shared" si="95"/>
        <v>146.01098680184919</v>
      </c>
      <c r="J626" s="19">
        <f t="shared" si="96"/>
        <v>982106.17035210144</v>
      </c>
      <c r="K626" s="16">
        <f t="shared" si="97"/>
        <v>0.97254604275185075</v>
      </c>
    </row>
    <row r="627" spans="1:11" x14ac:dyDescent="0.15">
      <c r="A627" s="7">
        <v>39235.562662037039</v>
      </c>
      <c r="B627">
        <v>38.4</v>
      </c>
      <c r="C627" s="6">
        <f t="shared" si="90"/>
        <v>1214.0000002691522</v>
      </c>
      <c r="D627" t="str">
        <f t="shared" si="91"/>
        <v/>
      </c>
      <c r="E627">
        <f t="shared" si="89"/>
        <v>39235.562662037039</v>
      </c>
      <c r="F627" s="4">
        <f t="shared" si="92"/>
        <v>0.79999999999999716</v>
      </c>
      <c r="G627" s="4">
        <f t="shared" si="93"/>
        <v>0.39999999999999858</v>
      </c>
      <c r="H627" s="5">
        <f t="shared" si="94"/>
        <v>0.79999993555247495</v>
      </c>
      <c r="I627" s="14">
        <f t="shared" si="95"/>
        <v>146.01094090748666</v>
      </c>
      <c r="J627" s="19">
        <f t="shared" si="96"/>
        <v>982252.18129300897</v>
      </c>
      <c r="K627" s="16">
        <f t="shared" si="97"/>
        <v>0.97269063237674558</v>
      </c>
    </row>
    <row r="628" spans="1:11" x14ac:dyDescent="0.15">
      <c r="A628" s="7">
        <v>39235.562685185185</v>
      </c>
      <c r="B628">
        <v>38.4</v>
      </c>
      <c r="C628" s="6">
        <f t="shared" si="90"/>
        <v>1216.0000001080334</v>
      </c>
      <c r="D628" t="str">
        <f t="shared" si="91"/>
        <v/>
      </c>
      <c r="E628">
        <f t="shared" si="89"/>
        <v>39235.562685185185</v>
      </c>
      <c r="F628" s="4">
        <f t="shared" si="92"/>
        <v>0.79999999999999716</v>
      </c>
      <c r="G628" s="4">
        <f t="shared" si="93"/>
        <v>0.39999999999999858</v>
      </c>
      <c r="H628" s="5">
        <f t="shared" si="94"/>
        <v>0.79999993555247495</v>
      </c>
      <c r="I628" s="14">
        <f t="shared" si="95"/>
        <v>146.01094090748666</v>
      </c>
      <c r="J628" s="19">
        <f t="shared" si="96"/>
        <v>982398.19223391649</v>
      </c>
      <c r="K628" s="16">
        <f t="shared" si="97"/>
        <v>0.97283522200164041</v>
      </c>
    </row>
    <row r="629" spans="1:11" x14ac:dyDescent="0.15">
      <c r="A629" s="7">
        <v>39235.562708333331</v>
      </c>
      <c r="B629">
        <v>38.4</v>
      </c>
      <c r="C629" s="6">
        <f t="shared" si="90"/>
        <v>1217.9999999469146</v>
      </c>
      <c r="D629" t="str">
        <f t="shared" si="91"/>
        <v/>
      </c>
      <c r="E629">
        <f t="shared" si="89"/>
        <v>39235.562708333331</v>
      </c>
      <c r="F629" s="4">
        <f t="shared" si="92"/>
        <v>0.79999999999999716</v>
      </c>
      <c r="G629" s="4">
        <f t="shared" si="93"/>
        <v>0.39999999999999858</v>
      </c>
      <c r="H629" s="5">
        <f t="shared" si="94"/>
        <v>0.79999993555247495</v>
      </c>
      <c r="I629" s="14">
        <f t="shared" si="95"/>
        <v>146.01094090748666</v>
      </c>
      <c r="J629" s="19">
        <f t="shared" si="96"/>
        <v>982544.20317482401</v>
      </c>
      <c r="K629" s="16">
        <f t="shared" si="97"/>
        <v>0.97297981162653513</v>
      </c>
    </row>
    <row r="630" spans="1:11" x14ac:dyDescent="0.15">
      <c r="A630" s="7">
        <v>39235.562731481485</v>
      </c>
      <c r="B630">
        <v>38.4</v>
      </c>
      <c r="C630" s="6">
        <f t="shared" si="90"/>
        <v>1220.0000004144385</v>
      </c>
      <c r="D630" t="str">
        <f t="shared" si="91"/>
        <v/>
      </c>
      <c r="E630">
        <f t="shared" si="89"/>
        <v>39235.562731481485</v>
      </c>
      <c r="F630" s="4">
        <f t="shared" si="92"/>
        <v>0.79999999999999716</v>
      </c>
      <c r="G630" s="4">
        <f t="shared" si="93"/>
        <v>0.39999999999999858</v>
      </c>
      <c r="H630" s="5">
        <f t="shared" si="94"/>
        <v>0.8000001870095701</v>
      </c>
      <c r="I630" s="14">
        <f t="shared" si="95"/>
        <v>146.01098680184919</v>
      </c>
      <c r="J630" s="19">
        <f t="shared" si="96"/>
        <v>982690.21416162583</v>
      </c>
      <c r="K630" s="16">
        <f t="shared" si="97"/>
        <v>0.97312440129687749</v>
      </c>
    </row>
    <row r="631" spans="1:11" x14ac:dyDescent="0.15">
      <c r="A631" s="7">
        <v>39235.562754629631</v>
      </c>
      <c r="B631">
        <v>38.4</v>
      </c>
      <c r="C631" s="6">
        <f t="shared" si="90"/>
        <v>1222.0000002533197</v>
      </c>
      <c r="D631" t="str">
        <f t="shared" si="91"/>
        <v/>
      </c>
      <c r="E631">
        <f t="shared" si="89"/>
        <v>39235.562754629631</v>
      </c>
      <c r="F631" s="4">
        <f t="shared" si="92"/>
        <v>0.79999999999999716</v>
      </c>
      <c r="G631" s="4">
        <f t="shared" si="93"/>
        <v>0.39999999999999858</v>
      </c>
      <c r="H631" s="5">
        <f t="shared" si="94"/>
        <v>0.79999993555247495</v>
      </c>
      <c r="I631" s="14">
        <f t="shared" si="95"/>
        <v>146.01094090748666</v>
      </c>
      <c r="J631" s="19">
        <f t="shared" si="96"/>
        <v>982836.22510253335</v>
      </c>
      <c r="K631" s="16">
        <f t="shared" si="97"/>
        <v>0.97326899092177233</v>
      </c>
    </row>
    <row r="632" spans="1:11" x14ac:dyDescent="0.15">
      <c r="A632" s="7">
        <v>39235.562777777777</v>
      </c>
      <c r="B632">
        <v>38.4</v>
      </c>
      <c r="C632" s="6">
        <f t="shared" si="90"/>
        <v>1224.0000000922009</v>
      </c>
      <c r="D632" t="str">
        <f t="shared" si="91"/>
        <v/>
      </c>
      <c r="E632">
        <f t="shared" si="89"/>
        <v>39235.562777777777</v>
      </c>
      <c r="F632" s="4">
        <f t="shared" si="92"/>
        <v>0.79999999999999716</v>
      </c>
      <c r="G632" s="4">
        <f t="shared" si="93"/>
        <v>0.39999999999999858</v>
      </c>
      <c r="H632" s="5">
        <f t="shared" si="94"/>
        <v>0.79999993555247495</v>
      </c>
      <c r="I632" s="14">
        <f t="shared" si="95"/>
        <v>146.01094090748666</v>
      </c>
      <c r="J632" s="19">
        <f t="shared" si="96"/>
        <v>982982.23604344088</v>
      </c>
      <c r="K632" s="16">
        <f t="shared" si="97"/>
        <v>0.97341358054666716</v>
      </c>
    </row>
    <row r="633" spans="1:11" x14ac:dyDescent="0.15">
      <c r="A633" s="7">
        <v>39235.562800925924</v>
      </c>
      <c r="B633">
        <v>38.4</v>
      </c>
      <c r="C633" s="6">
        <f t="shared" si="90"/>
        <v>1225.9999999310821</v>
      </c>
      <c r="D633" t="str">
        <f t="shared" si="91"/>
        <v/>
      </c>
      <c r="E633">
        <f t="shared" si="89"/>
        <v>39235.562800925924</v>
      </c>
      <c r="F633" s="4">
        <f t="shared" si="92"/>
        <v>0.79999999999999716</v>
      </c>
      <c r="G633" s="4">
        <f t="shared" si="93"/>
        <v>0.39999999999999858</v>
      </c>
      <c r="H633" s="5">
        <f t="shared" si="94"/>
        <v>0.79999993555247495</v>
      </c>
      <c r="I633" s="14">
        <f t="shared" si="95"/>
        <v>146.01094090748666</v>
      </c>
      <c r="J633" s="19">
        <f t="shared" si="96"/>
        <v>983128.2469843484</v>
      </c>
      <c r="K633" s="16">
        <f t="shared" si="97"/>
        <v>0.97355817017156199</v>
      </c>
    </row>
    <row r="634" spans="1:11" x14ac:dyDescent="0.15">
      <c r="A634" s="7">
        <v>39235.562824074077</v>
      </c>
      <c r="B634">
        <v>38.4</v>
      </c>
      <c r="C634" s="6">
        <f t="shared" si="90"/>
        <v>1228.0000003986061</v>
      </c>
      <c r="D634" t="str">
        <f t="shared" si="91"/>
        <v/>
      </c>
      <c r="E634">
        <f t="shared" si="89"/>
        <v>39235.562824074077</v>
      </c>
      <c r="F634" s="4">
        <f t="shared" si="92"/>
        <v>0.79999999999999716</v>
      </c>
      <c r="G634" s="4">
        <f t="shared" si="93"/>
        <v>0.39999999999999858</v>
      </c>
      <c r="H634" s="5">
        <f t="shared" si="94"/>
        <v>0.8000001870095701</v>
      </c>
      <c r="I634" s="14">
        <f t="shared" si="95"/>
        <v>146.01098680184919</v>
      </c>
      <c r="J634" s="19">
        <f t="shared" si="96"/>
        <v>983274.25797115022</v>
      </c>
      <c r="K634" s="16">
        <f t="shared" si="97"/>
        <v>0.97370275984190435</v>
      </c>
    </row>
    <row r="635" spans="1:11" x14ac:dyDescent="0.15">
      <c r="A635" s="7">
        <v>39235.562847222223</v>
      </c>
      <c r="B635">
        <v>38.4</v>
      </c>
      <c r="C635" s="6">
        <f t="shared" si="90"/>
        <v>1230.0000002374873</v>
      </c>
      <c r="D635" t="str">
        <f t="shared" si="91"/>
        <v/>
      </c>
      <c r="E635">
        <f t="shared" si="89"/>
        <v>39235.562847222223</v>
      </c>
      <c r="F635" s="4">
        <f t="shared" si="92"/>
        <v>0.79999999999999716</v>
      </c>
      <c r="G635" s="4">
        <f t="shared" si="93"/>
        <v>0.39999999999999858</v>
      </c>
      <c r="H635" s="5">
        <f t="shared" si="94"/>
        <v>0.79999993555247495</v>
      </c>
      <c r="I635" s="14">
        <f t="shared" si="95"/>
        <v>146.01094090748666</v>
      </c>
      <c r="J635" s="19">
        <f t="shared" si="96"/>
        <v>983420.26891205774</v>
      </c>
      <c r="K635" s="16">
        <f t="shared" si="97"/>
        <v>0.97384734946679907</v>
      </c>
    </row>
    <row r="636" spans="1:11" x14ac:dyDescent="0.15">
      <c r="A636" s="7">
        <v>39235.56287037037</v>
      </c>
      <c r="B636">
        <v>38.4</v>
      </c>
      <c r="C636" s="6">
        <f t="shared" si="90"/>
        <v>1232.0000000763685</v>
      </c>
      <c r="D636" t="str">
        <f t="shared" si="91"/>
        <v/>
      </c>
      <c r="E636">
        <f t="shared" si="89"/>
        <v>39235.56287037037</v>
      </c>
      <c r="F636" s="4">
        <f t="shared" si="92"/>
        <v>0.79999999999999716</v>
      </c>
      <c r="G636" s="4">
        <f t="shared" si="93"/>
        <v>0.39999999999999858</v>
      </c>
      <c r="H636" s="5">
        <f t="shared" si="94"/>
        <v>0.79999993555247495</v>
      </c>
      <c r="I636" s="14">
        <f t="shared" si="95"/>
        <v>146.01094090748666</v>
      </c>
      <c r="J636" s="19">
        <f t="shared" si="96"/>
        <v>983566.27985296526</v>
      </c>
      <c r="K636" s="16">
        <f t="shared" si="97"/>
        <v>0.9739919390916939</v>
      </c>
    </row>
    <row r="637" spans="1:11" x14ac:dyDescent="0.15">
      <c r="A637" s="7">
        <v>39235.562893518516</v>
      </c>
      <c r="B637">
        <v>38.4</v>
      </c>
      <c r="C637" s="6">
        <f t="shared" si="90"/>
        <v>1233.9999999152496</v>
      </c>
      <c r="D637" t="str">
        <f t="shared" si="91"/>
        <v/>
      </c>
      <c r="E637">
        <f t="shared" si="89"/>
        <v>39235.562893518516</v>
      </c>
      <c r="F637" s="4">
        <f t="shared" si="92"/>
        <v>0.79999999999999716</v>
      </c>
      <c r="G637" s="4">
        <f t="shared" si="93"/>
        <v>0.39999999999999858</v>
      </c>
      <c r="H637" s="5">
        <f t="shared" si="94"/>
        <v>0.79999993555247495</v>
      </c>
      <c r="I637" s="14">
        <f t="shared" si="95"/>
        <v>146.01094090748666</v>
      </c>
      <c r="J637" s="19">
        <f t="shared" si="96"/>
        <v>983712.29079387279</v>
      </c>
      <c r="K637" s="16">
        <f t="shared" si="97"/>
        <v>0.97413652871658873</v>
      </c>
    </row>
    <row r="638" spans="1:11" x14ac:dyDescent="0.15">
      <c r="A638" s="7">
        <v>39235.562916666669</v>
      </c>
      <c r="B638">
        <v>38.4</v>
      </c>
      <c r="C638" s="6">
        <f t="shared" si="90"/>
        <v>1236.0000003827736</v>
      </c>
      <c r="D638" t="str">
        <f t="shared" si="91"/>
        <v/>
      </c>
      <c r="E638">
        <f t="shared" si="89"/>
        <v>39235.562916666669</v>
      </c>
      <c r="F638" s="4">
        <f t="shared" si="92"/>
        <v>0.79999999999999716</v>
      </c>
      <c r="G638" s="4">
        <f t="shared" si="93"/>
        <v>0.39999999999999858</v>
      </c>
      <c r="H638" s="5">
        <f t="shared" si="94"/>
        <v>0.8000001870095701</v>
      </c>
      <c r="I638" s="14">
        <f t="shared" si="95"/>
        <v>146.01098680184919</v>
      </c>
      <c r="J638" s="19">
        <f t="shared" si="96"/>
        <v>983858.30178067461</v>
      </c>
      <c r="K638" s="16">
        <f t="shared" si="97"/>
        <v>0.9742811183869311</v>
      </c>
    </row>
    <row r="639" spans="1:11" x14ac:dyDescent="0.15">
      <c r="A639" s="7">
        <v>39235.562939814816</v>
      </c>
      <c r="B639">
        <v>38.4</v>
      </c>
      <c r="C639" s="6">
        <f t="shared" si="90"/>
        <v>1238.0000002216548</v>
      </c>
      <c r="D639" t="str">
        <f t="shared" si="91"/>
        <v/>
      </c>
      <c r="E639">
        <f t="shared" si="89"/>
        <v>39235.562939814816</v>
      </c>
      <c r="F639" s="4">
        <f t="shared" si="92"/>
        <v>0.79999999999999716</v>
      </c>
      <c r="G639" s="4">
        <f t="shared" si="93"/>
        <v>0.39999999999999858</v>
      </c>
      <c r="H639" s="5">
        <f t="shared" si="94"/>
        <v>0.79999993555247495</v>
      </c>
      <c r="I639" s="14">
        <f t="shared" si="95"/>
        <v>146.01094090748666</v>
      </c>
      <c r="J639" s="19">
        <f t="shared" si="96"/>
        <v>984004.31272158213</v>
      </c>
      <c r="K639" s="16">
        <f t="shared" si="97"/>
        <v>0.97442570801182593</v>
      </c>
    </row>
    <row r="640" spans="1:11" x14ac:dyDescent="0.15">
      <c r="A640" s="7">
        <v>39235.562962962962</v>
      </c>
      <c r="B640">
        <v>38.4</v>
      </c>
      <c r="C640" s="6">
        <f t="shared" si="90"/>
        <v>1240.000000060536</v>
      </c>
      <c r="D640" t="str">
        <f t="shared" si="91"/>
        <v/>
      </c>
      <c r="E640">
        <f t="shared" si="89"/>
        <v>39235.562962962962</v>
      </c>
      <c r="F640" s="4">
        <f t="shared" si="92"/>
        <v>0.79999999999999716</v>
      </c>
      <c r="G640" s="4">
        <f t="shared" si="93"/>
        <v>0.39999999999999858</v>
      </c>
      <c r="H640" s="5">
        <f t="shared" si="94"/>
        <v>0.79999993555247495</v>
      </c>
      <c r="I640" s="14">
        <f t="shared" si="95"/>
        <v>146.01094090748666</v>
      </c>
      <c r="J640" s="19">
        <f t="shared" si="96"/>
        <v>984150.32366248965</v>
      </c>
      <c r="K640" s="16">
        <f t="shared" si="97"/>
        <v>0.97457029763672065</v>
      </c>
    </row>
    <row r="641" spans="1:11" x14ac:dyDescent="0.15">
      <c r="A641" s="7">
        <v>39235.562986111108</v>
      </c>
      <c r="B641">
        <v>38.4</v>
      </c>
      <c r="C641" s="6">
        <f t="shared" si="90"/>
        <v>1241.9999998994172</v>
      </c>
      <c r="D641" t="str">
        <f t="shared" si="91"/>
        <v/>
      </c>
      <c r="E641">
        <f t="shared" si="89"/>
        <v>39235.562986111108</v>
      </c>
      <c r="F641" s="4">
        <f t="shared" si="92"/>
        <v>0.79999999999999716</v>
      </c>
      <c r="G641" s="4">
        <f t="shared" si="93"/>
        <v>0.39999999999999858</v>
      </c>
      <c r="H641" s="5">
        <f t="shared" si="94"/>
        <v>0.79999993555247495</v>
      </c>
      <c r="I641" s="14">
        <f t="shared" si="95"/>
        <v>146.01094090748666</v>
      </c>
      <c r="J641" s="19">
        <f t="shared" si="96"/>
        <v>984296.33460339718</v>
      </c>
      <c r="K641" s="16">
        <f t="shared" si="97"/>
        <v>0.97471488726161548</v>
      </c>
    </row>
    <row r="642" spans="1:11" x14ac:dyDescent="0.15">
      <c r="A642" s="7">
        <v>39235.563009259262</v>
      </c>
      <c r="B642">
        <v>38.4</v>
      </c>
      <c r="C642" s="6">
        <f t="shared" si="90"/>
        <v>1244.0000003669411</v>
      </c>
      <c r="D642" t="str">
        <f t="shared" si="91"/>
        <v/>
      </c>
      <c r="E642">
        <f t="shared" si="89"/>
        <v>39235.563009259262</v>
      </c>
      <c r="F642" s="4">
        <f t="shared" si="92"/>
        <v>0.79999999999999716</v>
      </c>
      <c r="G642" s="4">
        <f t="shared" si="93"/>
        <v>0.39999999999999858</v>
      </c>
      <c r="H642" s="5">
        <f t="shared" si="94"/>
        <v>0.8000001870095701</v>
      </c>
      <c r="I642" s="14">
        <f t="shared" si="95"/>
        <v>146.01098680184919</v>
      </c>
      <c r="J642" s="19">
        <f t="shared" si="96"/>
        <v>984442.34559019899</v>
      </c>
      <c r="K642" s="16">
        <f t="shared" si="97"/>
        <v>0.97485947693195785</v>
      </c>
    </row>
    <row r="643" spans="1:11" x14ac:dyDescent="0.15">
      <c r="A643" s="7">
        <v>39235.563032407408</v>
      </c>
      <c r="B643">
        <v>38.4</v>
      </c>
      <c r="C643" s="6">
        <f t="shared" si="90"/>
        <v>1246.0000002058223</v>
      </c>
      <c r="D643" t="str">
        <f t="shared" si="91"/>
        <v/>
      </c>
      <c r="E643">
        <f t="shared" si="89"/>
        <v>39235.563032407408</v>
      </c>
      <c r="F643" s="4">
        <f t="shared" si="92"/>
        <v>0.79999999999999716</v>
      </c>
      <c r="G643" s="4">
        <f t="shared" si="93"/>
        <v>0.39999999999999858</v>
      </c>
      <c r="H643" s="5">
        <f t="shared" si="94"/>
        <v>0.79999993555247495</v>
      </c>
      <c r="I643" s="14">
        <f t="shared" si="95"/>
        <v>146.01094090748666</v>
      </c>
      <c r="J643" s="19">
        <f t="shared" si="96"/>
        <v>984588.35653110652</v>
      </c>
      <c r="K643" s="16">
        <f t="shared" si="97"/>
        <v>0.97500406655685268</v>
      </c>
    </row>
    <row r="644" spans="1:11" x14ac:dyDescent="0.15">
      <c r="A644" s="7">
        <v>39235.563055555554</v>
      </c>
      <c r="B644">
        <v>38.4</v>
      </c>
      <c r="C644" s="6">
        <f t="shared" si="90"/>
        <v>1248.0000000447035</v>
      </c>
      <c r="D644" t="str">
        <f t="shared" si="91"/>
        <v/>
      </c>
      <c r="E644">
        <f t="shared" si="89"/>
        <v>39235.563055555554</v>
      </c>
      <c r="F644" s="4">
        <f t="shared" si="92"/>
        <v>0.79999999999999716</v>
      </c>
      <c r="G644" s="4">
        <f t="shared" si="93"/>
        <v>0.39999999999999858</v>
      </c>
      <c r="H644" s="5">
        <f t="shared" si="94"/>
        <v>0.79999993555247495</v>
      </c>
      <c r="I644" s="14">
        <f t="shared" si="95"/>
        <v>146.01094090748666</v>
      </c>
      <c r="J644" s="19">
        <f t="shared" si="96"/>
        <v>984734.36747201404</v>
      </c>
      <c r="K644" s="16">
        <f t="shared" si="97"/>
        <v>0.97514865618174751</v>
      </c>
    </row>
    <row r="645" spans="1:11" x14ac:dyDescent="0.15">
      <c r="A645" s="7">
        <v>39235.563078703701</v>
      </c>
      <c r="B645">
        <v>38.4</v>
      </c>
      <c r="C645" s="6">
        <f t="shared" si="90"/>
        <v>1249.9999998835847</v>
      </c>
      <c r="D645" t="str">
        <f t="shared" si="91"/>
        <v/>
      </c>
      <c r="E645">
        <f t="shared" si="89"/>
        <v>39235.563078703701</v>
      </c>
      <c r="F645" s="4">
        <f t="shared" si="92"/>
        <v>0.79999999999999716</v>
      </c>
      <c r="G645" s="4">
        <f t="shared" si="93"/>
        <v>0.39999999999999858</v>
      </c>
      <c r="H645" s="5">
        <f t="shared" si="94"/>
        <v>0.79999993555247495</v>
      </c>
      <c r="I645" s="14">
        <f t="shared" si="95"/>
        <v>146.01094090748666</v>
      </c>
      <c r="J645" s="19">
        <f t="shared" si="96"/>
        <v>984880.37841292156</v>
      </c>
      <c r="K645" s="16">
        <f t="shared" si="97"/>
        <v>0.97529324580664223</v>
      </c>
    </row>
    <row r="646" spans="1:11" x14ac:dyDescent="0.15">
      <c r="A646" s="7">
        <v>39235.563101851854</v>
      </c>
      <c r="B646">
        <v>38.4</v>
      </c>
      <c r="C646" s="6">
        <f t="shared" si="90"/>
        <v>1252.0000003511086</v>
      </c>
      <c r="D646" t="str">
        <f t="shared" si="91"/>
        <v/>
      </c>
      <c r="E646">
        <f t="shared" si="89"/>
        <v>39235.563101851854</v>
      </c>
      <c r="F646" s="4">
        <f t="shared" si="92"/>
        <v>0.79999999999999716</v>
      </c>
      <c r="G646" s="4">
        <f t="shared" si="93"/>
        <v>0.39999999999999858</v>
      </c>
      <c r="H646" s="5">
        <f t="shared" si="94"/>
        <v>0.8000001870095701</v>
      </c>
      <c r="I646" s="14">
        <f t="shared" si="95"/>
        <v>146.01098680184919</v>
      </c>
      <c r="J646" s="19">
        <f t="shared" si="96"/>
        <v>985026.38939972338</v>
      </c>
      <c r="K646" s="16">
        <f t="shared" si="97"/>
        <v>0.97543783547698459</v>
      </c>
    </row>
    <row r="647" spans="1:11" x14ac:dyDescent="0.15">
      <c r="A647" s="7">
        <v>39235.563125000001</v>
      </c>
      <c r="B647">
        <v>38.4</v>
      </c>
      <c r="C647" s="6">
        <f t="shared" si="90"/>
        <v>1254.0000001899898</v>
      </c>
      <c r="D647" t="str">
        <f t="shared" si="91"/>
        <v/>
      </c>
      <c r="E647">
        <f t="shared" si="89"/>
        <v>39235.563125000001</v>
      </c>
      <c r="F647" s="4">
        <f t="shared" si="92"/>
        <v>0.79999999999999716</v>
      </c>
      <c r="G647" s="4">
        <f t="shared" si="93"/>
        <v>0.39999999999999858</v>
      </c>
      <c r="H647" s="5">
        <f t="shared" si="94"/>
        <v>0.79999993555247495</v>
      </c>
      <c r="I647" s="14">
        <f t="shared" si="95"/>
        <v>146.01094090748666</v>
      </c>
      <c r="J647" s="19">
        <f t="shared" si="96"/>
        <v>985172.40034063091</v>
      </c>
      <c r="K647" s="16">
        <f t="shared" si="97"/>
        <v>0.97558242510187942</v>
      </c>
    </row>
    <row r="648" spans="1:11" x14ac:dyDescent="0.15">
      <c r="A648" s="7">
        <v>39235.563148148147</v>
      </c>
      <c r="B648">
        <v>38.4</v>
      </c>
      <c r="C648" s="6">
        <f t="shared" si="90"/>
        <v>1256.000000028871</v>
      </c>
      <c r="D648" t="str">
        <f t="shared" si="91"/>
        <v/>
      </c>
      <c r="E648">
        <f t="shared" si="89"/>
        <v>39235.563148148147</v>
      </c>
      <c r="F648" s="4">
        <f t="shared" si="92"/>
        <v>0.79999999999999716</v>
      </c>
      <c r="G648" s="4">
        <f t="shared" si="93"/>
        <v>0.39999999999999858</v>
      </c>
      <c r="H648" s="5">
        <f t="shared" si="94"/>
        <v>0.79999993555247495</v>
      </c>
      <c r="I648" s="14">
        <f t="shared" si="95"/>
        <v>146.01094090748666</v>
      </c>
      <c r="J648" s="19">
        <f t="shared" si="96"/>
        <v>985318.41128153843</v>
      </c>
      <c r="K648" s="16">
        <f t="shared" si="97"/>
        <v>0.97572701472677426</v>
      </c>
    </row>
    <row r="649" spans="1:11" x14ac:dyDescent="0.15">
      <c r="A649" s="7">
        <v>39235.563171296293</v>
      </c>
      <c r="B649">
        <v>38.4</v>
      </c>
      <c r="C649" s="6">
        <f t="shared" si="90"/>
        <v>1257.9999998677522</v>
      </c>
      <c r="D649" t="str">
        <f t="shared" si="91"/>
        <v/>
      </c>
      <c r="E649">
        <f t="shared" si="89"/>
        <v>39235.563171296293</v>
      </c>
      <c r="F649" s="4">
        <f t="shared" si="92"/>
        <v>0.79999999999999716</v>
      </c>
      <c r="G649" s="4">
        <f t="shared" si="93"/>
        <v>0.39999999999999858</v>
      </c>
      <c r="H649" s="5">
        <f t="shared" si="94"/>
        <v>0.79999993555247495</v>
      </c>
      <c r="I649" s="14">
        <f t="shared" si="95"/>
        <v>146.01094090748666</v>
      </c>
      <c r="J649" s="19">
        <f t="shared" si="96"/>
        <v>985464.42222244595</v>
      </c>
      <c r="K649" s="16">
        <f t="shared" si="97"/>
        <v>0.97587160435166909</v>
      </c>
    </row>
    <row r="650" spans="1:11" x14ac:dyDescent="0.15">
      <c r="A650" s="7">
        <v>39235.563194444447</v>
      </c>
      <c r="B650">
        <v>38.4</v>
      </c>
      <c r="C650" s="6">
        <f t="shared" si="90"/>
        <v>1260.0000003352761</v>
      </c>
      <c r="D650" t="str">
        <f t="shared" si="91"/>
        <v/>
      </c>
      <c r="E650">
        <f t="shared" si="89"/>
        <v>39235.563194444447</v>
      </c>
      <c r="F650" s="4">
        <f t="shared" si="92"/>
        <v>0.79999999999999716</v>
      </c>
      <c r="G650" s="4">
        <f t="shared" si="93"/>
        <v>0.39999999999999858</v>
      </c>
      <c r="H650" s="5">
        <f t="shared" si="94"/>
        <v>0.8000001870095701</v>
      </c>
      <c r="I650" s="14">
        <f t="shared" si="95"/>
        <v>146.01098680184919</v>
      </c>
      <c r="J650" s="19">
        <f t="shared" si="96"/>
        <v>985610.43320924777</v>
      </c>
      <c r="K650" s="16">
        <f t="shared" si="97"/>
        <v>0.97601619402201145</v>
      </c>
    </row>
    <row r="651" spans="1:11" x14ac:dyDescent="0.15">
      <c r="A651" s="7">
        <v>39235.563217592593</v>
      </c>
      <c r="B651">
        <v>38.4</v>
      </c>
      <c r="C651" s="6">
        <f t="shared" si="90"/>
        <v>1262.0000001741573</v>
      </c>
      <c r="D651" t="str">
        <f t="shared" si="91"/>
        <v/>
      </c>
      <c r="E651">
        <f t="shared" si="89"/>
        <v>39235.563217592593</v>
      </c>
      <c r="F651" s="4">
        <f t="shared" si="92"/>
        <v>0.79999999999999716</v>
      </c>
      <c r="G651" s="4">
        <f t="shared" si="93"/>
        <v>0.39999999999999858</v>
      </c>
      <c r="H651" s="5">
        <f t="shared" si="94"/>
        <v>0.79999993555247495</v>
      </c>
      <c r="I651" s="14">
        <f t="shared" si="95"/>
        <v>146.01094090748666</v>
      </c>
      <c r="J651" s="19">
        <f t="shared" si="96"/>
        <v>985756.44415015529</v>
      </c>
      <c r="K651" s="16">
        <f t="shared" si="97"/>
        <v>0.97616078364690617</v>
      </c>
    </row>
    <row r="652" spans="1:11" x14ac:dyDescent="0.15">
      <c r="A652" s="7">
        <v>39235.563240740739</v>
      </c>
      <c r="B652">
        <v>38.4</v>
      </c>
      <c r="C652" s="6">
        <f t="shared" si="90"/>
        <v>1264.0000000130385</v>
      </c>
      <c r="D652" t="str">
        <f t="shared" si="91"/>
        <v/>
      </c>
      <c r="E652">
        <f t="shared" si="89"/>
        <v>39235.563240740739</v>
      </c>
      <c r="F652" s="4">
        <f t="shared" si="92"/>
        <v>0.79999999999999716</v>
      </c>
      <c r="G652" s="4">
        <f t="shared" si="93"/>
        <v>0.39999999999999858</v>
      </c>
      <c r="H652" s="5">
        <f t="shared" si="94"/>
        <v>0.79999993555247495</v>
      </c>
      <c r="I652" s="14">
        <f t="shared" si="95"/>
        <v>146.01094090748666</v>
      </c>
      <c r="J652" s="19">
        <f t="shared" si="96"/>
        <v>985902.45509106282</v>
      </c>
      <c r="K652" s="16">
        <f t="shared" si="97"/>
        <v>0.976305373271801</v>
      </c>
    </row>
    <row r="653" spans="1:11" x14ac:dyDescent="0.15">
      <c r="A653" s="7">
        <v>39235.563263888886</v>
      </c>
      <c r="B653">
        <v>38.4</v>
      </c>
      <c r="C653" s="6">
        <f t="shared" si="90"/>
        <v>1265.9999998519197</v>
      </c>
      <c r="D653" t="str">
        <f t="shared" si="91"/>
        <v/>
      </c>
      <c r="E653">
        <f t="shared" si="89"/>
        <v>39235.563263888886</v>
      </c>
      <c r="F653" s="4">
        <f t="shared" si="92"/>
        <v>0.79999999999999716</v>
      </c>
      <c r="G653" s="4">
        <f t="shared" si="93"/>
        <v>0.39999999999999858</v>
      </c>
      <c r="H653" s="5">
        <f t="shared" si="94"/>
        <v>0.79999993555247495</v>
      </c>
      <c r="I653" s="14">
        <f t="shared" si="95"/>
        <v>146.01094090748666</v>
      </c>
      <c r="J653" s="19">
        <f t="shared" si="96"/>
        <v>986048.46603197034</v>
      </c>
      <c r="K653" s="16">
        <f t="shared" si="97"/>
        <v>0.97644996289669583</v>
      </c>
    </row>
    <row r="654" spans="1:11" x14ac:dyDescent="0.15">
      <c r="A654" s="7">
        <v>39235.563287037039</v>
      </c>
      <c r="B654">
        <v>38.4</v>
      </c>
      <c r="C654" s="6">
        <f t="shared" si="90"/>
        <v>1268.0000003194436</v>
      </c>
      <c r="D654" t="str">
        <f t="shared" si="91"/>
        <v/>
      </c>
      <c r="E654">
        <f t="shared" si="89"/>
        <v>39235.563287037039</v>
      </c>
      <c r="F654" s="4">
        <f t="shared" si="92"/>
        <v>0.79999999999999716</v>
      </c>
      <c r="G654" s="4">
        <f t="shared" si="93"/>
        <v>0.39999999999999858</v>
      </c>
      <c r="H654" s="5">
        <f t="shared" si="94"/>
        <v>0.8000001870095701</v>
      </c>
      <c r="I654" s="14">
        <f t="shared" si="95"/>
        <v>146.01098680184919</v>
      </c>
      <c r="J654" s="19">
        <f t="shared" si="96"/>
        <v>986194.47701877216</v>
      </c>
      <c r="K654" s="16">
        <f t="shared" si="97"/>
        <v>0.9765945525670382</v>
      </c>
    </row>
    <row r="655" spans="1:11" x14ac:dyDescent="0.15">
      <c r="A655" s="7">
        <v>39235.563310185185</v>
      </c>
      <c r="B655">
        <v>38.6</v>
      </c>
      <c r="C655" s="6">
        <f t="shared" si="90"/>
        <v>1270.0000001583248</v>
      </c>
      <c r="D655" t="str">
        <f t="shared" si="91"/>
        <v/>
      </c>
      <c r="E655">
        <f t="shared" si="89"/>
        <v>39235.563310185185</v>
      </c>
      <c r="F655" s="4">
        <f t="shared" si="92"/>
        <v>1</v>
      </c>
      <c r="G655" s="4">
        <f t="shared" si="93"/>
        <v>0.5</v>
      </c>
      <c r="H655" s="5">
        <f t="shared" si="94"/>
        <v>0.89999992749653612</v>
      </c>
      <c r="I655" s="14">
        <f t="shared" si="95"/>
        <v>164.26230852092283</v>
      </c>
      <c r="J655" s="19">
        <f t="shared" si="96"/>
        <v>986358.73932729312</v>
      </c>
      <c r="K655" s="16">
        <f t="shared" si="97"/>
        <v>0.97675721589504483</v>
      </c>
    </row>
    <row r="656" spans="1:11" x14ac:dyDescent="0.15">
      <c r="A656" s="7">
        <v>39235.563333333332</v>
      </c>
      <c r="B656">
        <v>38.6</v>
      </c>
      <c r="C656" s="6">
        <f t="shared" si="90"/>
        <v>1271.999999997206</v>
      </c>
      <c r="D656" t="str">
        <f t="shared" si="91"/>
        <v/>
      </c>
      <c r="E656">
        <f t="shared" si="89"/>
        <v>39235.563333333332</v>
      </c>
      <c r="F656" s="4">
        <f t="shared" si="92"/>
        <v>1</v>
      </c>
      <c r="G656" s="4">
        <f t="shared" si="93"/>
        <v>0.5</v>
      </c>
      <c r="H656" s="5">
        <f t="shared" si="94"/>
        <v>0.9999999194405973</v>
      </c>
      <c r="I656" s="14">
        <f t="shared" si="95"/>
        <v>182.51367613435897</v>
      </c>
      <c r="J656" s="19">
        <f t="shared" si="96"/>
        <v>986541.25300342753</v>
      </c>
      <c r="K656" s="16">
        <f t="shared" si="97"/>
        <v>0.97693795292616337</v>
      </c>
    </row>
    <row r="657" spans="1:11" x14ac:dyDescent="0.15">
      <c r="A657" s="7">
        <v>39235.563356481478</v>
      </c>
      <c r="B657">
        <v>38.6</v>
      </c>
      <c r="C657" s="6">
        <f t="shared" si="90"/>
        <v>1273.9999998360872</v>
      </c>
      <c r="D657" t="str">
        <f t="shared" si="91"/>
        <v/>
      </c>
      <c r="E657">
        <f t="shared" si="89"/>
        <v>39235.563356481478</v>
      </c>
      <c r="F657" s="4">
        <f t="shared" si="92"/>
        <v>1</v>
      </c>
      <c r="G657" s="4">
        <f t="shared" si="93"/>
        <v>0.5</v>
      </c>
      <c r="H657" s="5">
        <f t="shared" si="94"/>
        <v>0.9999999194405973</v>
      </c>
      <c r="I657" s="14">
        <f t="shared" si="95"/>
        <v>182.51367613435897</v>
      </c>
      <c r="J657" s="19">
        <f t="shared" si="96"/>
        <v>986723.76667956193</v>
      </c>
      <c r="K657" s="16">
        <f t="shared" si="97"/>
        <v>0.97711868995728179</v>
      </c>
    </row>
    <row r="658" spans="1:11" x14ac:dyDescent="0.15">
      <c r="A658" s="7">
        <v>39235.563379629632</v>
      </c>
      <c r="B658">
        <v>38.4</v>
      </c>
      <c r="C658" s="6">
        <f t="shared" si="90"/>
        <v>1276.0000003036112</v>
      </c>
      <c r="D658" t="str">
        <f t="shared" si="91"/>
        <v/>
      </c>
      <c r="E658">
        <f t="shared" si="89"/>
        <v>39235.563379629632</v>
      </c>
      <c r="F658" s="4">
        <f t="shared" si="92"/>
        <v>0.79999999999999716</v>
      </c>
      <c r="G658" s="4">
        <f t="shared" si="93"/>
        <v>0.39999999999999858</v>
      </c>
      <c r="H658" s="5">
        <f t="shared" si="94"/>
        <v>0.90000021038576816</v>
      </c>
      <c r="I658" s="14">
        <f t="shared" si="95"/>
        <v>164.26236015208065</v>
      </c>
      <c r="J658" s="19">
        <f t="shared" si="96"/>
        <v>986888.02903971402</v>
      </c>
      <c r="K658" s="16">
        <f t="shared" si="97"/>
        <v>0.97728135333641708</v>
      </c>
    </row>
    <row r="659" spans="1:11" x14ac:dyDescent="0.15">
      <c r="A659" s="7">
        <v>39235.563402777778</v>
      </c>
      <c r="B659">
        <v>38.6</v>
      </c>
      <c r="C659" s="6">
        <f t="shared" si="90"/>
        <v>1278.0000001424924</v>
      </c>
      <c r="D659" t="str">
        <f t="shared" si="91"/>
        <v/>
      </c>
      <c r="E659">
        <f t="shared" si="89"/>
        <v>39235.563402777778</v>
      </c>
      <c r="F659" s="4">
        <f t="shared" si="92"/>
        <v>1</v>
      </c>
      <c r="G659" s="4">
        <f t="shared" si="93"/>
        <v>0.5</v>
      </c>
      <c r="H659" s="5">
        <f t="shared" si="94"/>
        <v>0.89999992749653612</v>
      </c>
      <c r="I659" s="14">
        <f t="shared" si="95"/>
        <v>164.26230852092283</v>
      </c>
      <c r="J659" s="19">
        <f t="shared" si="96"/>
        <v>987052.29134823498</v>
      </c>
      <c r="K659" s="16">
        <f t="shared" si="97"/>
        <v>0.97744401666442371</v>
      </c>
    </row>
    <row r="660" spans="1:11" x14ac:dyDescent="0.15">
      <c r="A660" s="7">
        <v>39235.563425925924</v>
      </c>
      <c r="B660">
        <v>38.700000000000003</v>
      </c>
      <c r="C660" s="6">
        <f t="shared" si="90"/>
        <v>1279.9999999813735</v>
      </c>
      <c r="D660" t="str">
        <f t="shared" si="91"/>
        <v/>
      </c>
      <c r="E660">
        <f t="shared" si="89"/>
        <v>39235.563425925924</v>
      </c>
      <c r="F660" s="4">
        <f t="shared" si="92"/>
        <v>1.1000000000000014</v>
      </c>
      <c r="G660" s="4">
        <f t="shared" si="93"/>
        <v>0.55000000000000071</v>
      </c>
      <c r="H660" s="5">
        <f t="shared" si="94"/>
        <v>1.0499999154126278</v>
      </c>
      <c r="I660" s="14">
        <f t="shared" si="95"/>
        <v>191.63935994107706</v>
      </c>
      <c r="J660" s="19">
        <f t="shared" si="96"/>
        <v>987243.93070817611</v>
      </c>
      <c r="K660" s="16">
        <f t="shared" si="97"/>
        <v>0.97763379054709809</v>
      </c>
    </row>
    <row r="661" spans="1:11" x14ac:dyDescent="0.15">
      <c r="A661" s="7">
        <v>39235.563449074078</v>
      </c>
      <c r="B661">
        <v>38.6</v>
      </c>
      <c r="C661" s="6">
        <f t="shared" si="90"/>
        <v>1282.0000004488975</v>
      </c>
      <c r="D661" t="str">
        <f t="shared" si="91"/>
        <v/>
      </c>
      <c r="E661">
        <f t="shared" ref="E661:E724" si="98">IF(B661-$B$6&gt;0,A661," ")</f>
        <v>39235.563449074078</v>
      </c>
      <c r="F661" s="4">
        <f t="shared" si="92"/>
        <v>1</v>
      </c>
      <c r="G661" s="4">
        <f t="shared" si="93"/>
        <v>0.5</v>
      </c>
      <c r="H661" s="5">
        <f t="shared" si="94"/>
        <v>1.0500002454500652</v>
      </c>
      <c r="I661" s="14">
        <f t="shared" si="95"/>
        <v>191.63942017742787</v>
      </c>
      <c r="J661" s="19">
        <f t="shared" si="96"/>
        <v>987435.57012835355</v>
      </c>
      <c r="K661" s="16">
        <f t="shared" si="97"/>
        <v>0.97782356448942254</v>
      </c>
    </row>
    <row r="662" spans="1:11" x14ac:dyDescent="0.15">
      <c r="A662" s="7">
        <v>39235.563472222224</v>
      </c>
      <c r="B662">
        <v>38.6</v>
      </c>
      <c r="C662" s="6">
        <f t="shared" si="90"/>
        <v>1284.0000002877787</v>
      </c>
      <c r="D662" t="str">
        <f t="shared" si="91"/>
        <v/>
      </c>
      <c r="E662">
        <f t="shared" si="98"/>
        <v>39235.563472222224</v>
      </c>
      <c r="F662" s="4">
        <f t="shared" si="92"/>
        <v>1</v>
      </c>
      <c r="G662" s="4">
        <f t="shared" si="93"/>
        <v>0.5</v>
      </c>
      <c r="H662" s="5">
        <f t="shared" si="94"/>
        <v>0.9999999194405973</v>
      </c>
      <c r="I662" s="14">
        <f t="shared" si="95"/>
        <v>182.51367613435897</v>
      </c>
      <c r="J662" s="19">
        <f t="shared" si="96"/>
        <v>987618.08380448795</v>
      </c>
      <c r="K662" s="16">
        <f t="shared" si="97"/>
        <v>0.97800430152054108</v>
      </c>
    </row>
    <row r="663" spans="1:11" x14ac:dyDescent="0.15">
      <c r="A663" s="7">
        <v>39235.56349537037</v>
      </c>
      <c r="B663">
        <v>38.6</v>
      </c>
      <c r="C663" s="6">
        <f t="shared" si="90"/>
        <v>1286.0000001266599</v>
      </c>
      <c r="D663" t="str">
        <f t="shared" si="91"/>
        <v/>
      </c>
      <c r="E663">
        <f t="shared" si="98"/>
        <v>39235.56349537037</v>
      </c>
      <c r="F663" s="4">
        <f t="shared" si="92"/>
        <v>1</v>
      </c>
      <c r="G663" s="4">
        <f t="shared" si="93"/>
        <v>0.5</v>
      </c>
      <c r="H663" s="5">
        <f t="shared" si="94"/>
        <v>0.9999999194405973</v>
      </c>
      <c r="I663" s="14">
        <f t="shared" si="95"/>
        <v>182.51367613435897</v>
      </c>
      <c r="J663" s="19">
        <f t="shared" si="96"/>
        <v>987800.59748062235</v>
      </c>
      <c r="K663" s="16">
        <f t="shared" si="97"/>
        <v>0.9781850385516595</v>
      </c>
    </row>
    <row r="664" spans="1:11" x14ac:dyDescent="0.15">
      <c r="A664" s="7">
        <v>39235.563518518517</v>
      </c>
      <c r="B664">
        <v>38.700000000000003</v>
      </c>
      <c r="C664" s="6">
        <f t="shared" si="90"/>
        <v>1287.9999999655411</v>
      </c>
      <c r="D664" t="str">
        <f t="shared" si="91"/>
        <v/>
      </c>
      <c r="E664">
        <f t="shared" si="98"/>
        <v>39235.563518518517</v>
      </c>
      <c r="F664" s="4">
        <f t="shared" si="92"/>
        <v>1.1000000000000014</v>
      </c>
      <c r="G664" s="4">
        <f t="shared" si="93"/>
        <v>0.55000000000000071</v>
      </c>
      <c r="H664" s="5">
        <f t="shared" si="94"/>
        <v>1.0499999154126278</v>
      </c>
      <c r="I664" s="14">
        <f t="shared" si="95"/>
        <v>191.63935994107706</v>
      </c>
      <c r="J664" s="19">
        <f t="shared" si="96"/>
        <v>987992.23684056348</v>
      </c>
      <c r="K664" s="16">
        <f t="shared" si="97"/>
        <v>0.978374812434334</v>
      </c>
    </row>
    <row r="665" spans="1:11" x14ac:dyDescent="0.15">
      <c r="A665" s="7">
        <v>39235.56354166667</v>
      </c>
      <c r="B665">
        <v>38.6</v>
      </c>
      <c r="C665" s="6">
        <f t="shared" si="90"/>
        <v>1290.000000433065</v>
      </c>
      <c r="D665" t="str">
        <f t="shared" si="91"/>
        <v/>
      </c>
      <c r="E665">
        <f t="shared" si="98"/>
        <v>39235.56354166667</v>
      </c>
      <c r="F665" s="4">
        <f t="shared" si="92"/>
        <v>1</v>
      </c>
      <c r="G665" s="4">
        <f t="shared" si="93"/>
        <v>0.5</v>
      </c>
      <c r="H665" s="5">
        <f t="shared" si="94"/>
        <v>1.0500002454500652</v>
      </c>
      <c r="I665" s="14">
        <f t="shared" si="95"/>
        <v>191.63942017742787</v>
      </c>
      <c r="J665" s="19">
        <f t="shared" si="96"/>
        <v>988183.87626074092</v>
      </c>
      <c r="K665" s="16">
        <f t="shared" si="97"/>
        <v>0.97856458637665833</v>
      </c>
    </row>
    <row r="666" spans="1:11" x14ac:dyDescent="0.15">
      <c r="A666" s="7">
        <v>39235.563564814816</v>
      </c>
      <c r="B666">
        <v>38.6</v>
      </c>
      <c r="C666" s="6">
        <f t="shared" si="90"/>
        <v>1292.0000002719462</v>
      </c>
      <c r="D666" t="str">
        <f t="shared" si="91"/>
        <v/>
      </c>
      <c r="E666">
        <f t="shared" si="98"/>
        <v>39235.563564814816</v>
      </c>
      <c r="F666" s="4">
        <f t="shared" si="92"/>
        <v>1</v>
      </c>
      <c r="G666" s="4">
        <f t="shared" si="93"/>
        <v>0.5</v>
      </c>
      <c r="H666" s="5">
        <f t="shared" si="94"/>
        <v>0.9999999194405973</v>
      </c>
      <c r="I666" s="14">
        <f t="shared" si="95"/>
        <v>182.51367613435897</v>
      </c>
      <c r="J666" s="19">
        <f t="shared" si="96"/>
        <v>988366.38993687532</v>
      </c>
      <c r="K666" s="16">
        <f t="shared" si="97"/>
        <v>0.97874532340777687</v>
      </c>
    </row>
    <row r="667" spans="1:11" x14ac:dyDescent="0.15">
      <c r="A667" s="7">
        <v>39235.563587962963</v>
      </c>
      <c r="B667">
        <v>38.6</v>
      </c>
      <c r="C667" s="6">
        <f t="shared" si="90"/>
        <v>1294.0000001108274</v>
      </c>
      <c r="D667" t="str">
        <f t="shared" si="91"/>
        <v/>
      </c>
      <c r="E667">
        <f t="shared" si="98"/>
        <v>39235.563587962963</v>
      </c>
      <c r="F667" s="4">
        <f t="shared" si="92"/>
        <v>1</v>
      </c>
      <c r="G667" s="4">
        <f t="shared" si="93"/>
        <v>0.5</v>
      </c>
      <c r="H667" s="5">
        <f t="shared" si="94"/>
        <v>0.9999999194405973</v>
      </c>
      <c r="I667" s="14">
        <f t="shared" si="95"/>
        <v>182.51367613435897</v>
      </c>
      <c r="J667" s="19">
        <f t="shared" si="96"/>
        <v>988548.90361300972</v>
      </c>
      <c r="K667" s="16">
        <f t="shared" si="97"/>
        <v>0.97892606043889541</v>
      </c>
    </row>
    <row r="668" spans="1:11" x14ac:dyDescent="0.15">
      <c r="A668" s="7">
        <v>39235.563611111109</v>
      </c>
      <c r="B668">
        <v>38.4</v>
      </c>
      <c r="C668" s="6">
        <f t="shared" si="90"/>
        <v>1295.9999999497086</v>
      </c>
      <c r="D668" t="str">
        <f t="shared" si="91"/>
        <v/>
      </c>
      <c r="E668">
        <f t="shared" si="98"/>
        <v>39235.563611111109</v>
      </c>
      <c r="F668" s="4">
        <f t="shared" si="92"/>
        <v>0.79999999999999716</v>
      </c>
      <c r="G668" s="4">
        <f t="shared" si="93"/>
        <v>0.39999999999999858</v>
      </c>
      <c r="H668" s="5">
        <f t="shared" si="94"/>
        <v>0.89999992749653612</v>
      </c>
      <c r="I668" s="14">
        <f t="shared" si="95"/>
        <v>164.26230852092283</v>
      </c>
      <c r="J668" s="19">
        <f t="shared" si="96"/>
        <v>988713.16592153069</v>
      </c>
      <c r="K668" s="16">
        <f t="shared" si="97"/>
        <v>0.97908872376690204</v>
      </c>
    </row>
    <row r="669" spans="1:11" x14ac:dyDescent="0.15">
      <c r="A669" s="7">
        <v>39235.563634259262</v>
      </c>
      <c r="B669">
        <v>38.4</v>
      </c>
      <c r="C669" s="6">
        <f t="shared" si="90"/>
        <v>1298.0000004172325</v>
      </c>
      <c r="D669" t="str">
        <f t="shared" si="91"/>
        <v/>
      </c>
      <c r="E669">
        <f t="shared" si="98"/>
        <v>39235.563634259262</v>
      </c>
      <c r="F669" s="4">
        <f t="shared" si="92"/>
        <v>0.79999999999999716</v>
      </c>
      <c r="G669" s="4">
        <f t="shared" si="93"/>
        <v>0.39999999999999858</v>
      </c>
      <c r="H669" s="5">
        <f t="shared" si="94"/>
        <v>0.8000001870095701</v>
      </c>
      <c r="I669" s="14">
        <f t="shared" si="95"/>
        <v>146.01098680184919</v>
      </c>
      <c r="J669" s="19">
        <f t="shared" si="96"/>
        <v>988859.17690833251</v>
      </c>
      <c r="K669" s="16">
        <f t="shared" si="97"/>
        <v>0.9792333134372444</v>
      </c>
    </row>
    <row r="670" spans="1:11" x14ac:dyDescent="0.15">
      <c r="A670" s="7">
        <v>39235.563657407409</v>
      </c>
      <c r="B670">
        <v>38.4</v>
      </c>
      <c r="C670" s="6">
        <f t="shared" si="90"/>
        <v>1300.0000002561137</v>
      </c>
      <c r="D670" t="str">
        <f t="shared" si="91"/>
        <v/>
      </c>
      <c r="E670">
        <f t="shared" si="98"/>
        <v>39235.563657407409</v>
      </c>
      <c r="F670" s="4">
        <f t="shared" si="92"/>
        <v>0.79999999999999716</v>
      </c>
      <c r="G670" s="4">
        <f t="shared" si="93"/>
        <v>0.39999999999999858</v>
      </c>
      <c r="H670" s="5">
        <f t="shared" si="94"/>
        <v>0.79999993555247495</v>
      </c>
      <c r="I670" s="14">
        <f t="shared" si="95"/>
        <v>146.01094090748666</v>
      </c>
      <c r="J670" s="19">
        <f t="shared" si="96"/>
        <v>989005.18784924003</v>
      </c>
      <c r="K670" s="16">
        <f t="shared" si="97"/>
        <v>0.97937790306213923</v>
      </c>
    </row>
    <row r="671" spans="1:11" x14ac:dyDescent="0.15">
      <c r="A671" s="7">
        <v>39235.563680555555</v>
      </c>
      <c r="B671">
        <v>38.4</v>
      </c>
      <c r="C671" s="6">
        <f t="shared" si="90"/>
        <v>1302.0000000949949</v>
      </c>
      <c r="D671" t="str">
        <f t="shared" si="91"/>
        <v/>
      </c>
      <c r="E671">
        <f t="shared" si="98"/>
        <v>39235.563680555555</v>
      </c>
      <c r="F671" s="4">
        <f t="shared" si="92"/>
        <v>0.79999999999999716</v>
      </c>
      <c r="G671" s="4">
        <f t="shared" si="93"/>
        <v>0.39999999999999858</v>
      </c>
      <c r="H671" s="5">
        <f t="shared" si="94"/>
        <v>0.79999993555247495</v>
      </c>
      <c r="I671" s="14">
        <f t="shared" si="95"/>
        <v>146.01094090748666</v>
      </c>
      <c r="J671" s="19">
        <f t="shared" si="96"/>
        <v>989151.19879014755</v>
      </c>
      <c r="K671" s="16">
        <f t="shared" si="97"/>
        <v>0.97952249268703395</v>
      </c>
    </row>
    <row r="672" spans="1:11" x14ac:dyDescent="0.15">
      <c r="A672" s="7">
        <v>39235.563703703701</v>
      </c>
      <c r="B672">
        <v>38.4</v>
      </c>
      <c r="C672" s="6">
        <f t="shared" si="90"/>
        <v>1303.9999999338761</v>
      </c>
      <c r="D672" t="str">
        <f t="shared" si="91"/>
        <v/>
      </c>
      <c r="E672">
        <f t="shared" si="98"/>
        <v>39235.563703703701</v>
      </c>
      <c r="F672" s="4">
        <f t="shared" si="92"/>
        <v>0.79999999999999716</v>
      </c>
      <c r="G672" s="4">
        <f t="shared" si="93"/>
        <v>0.39999999999999858</v>
      </c>
      <c r="H672" s="5">
        <f t="shared" si="94"/>
        <v>0.79999993555247495</v>
      </c>
      <c r="I672" s="14">
        <f t="shared" si="95"/>
        <v>146.01094090748666</v>
      </c>
      <c r="J672" s="19">
        <f t="shared" si="96"/>
        <v>989297.20973105507</v>
      </c>
      <c r="K672" s="16">
        <f t="shared" si="97"/>
        <v>0.97966708231192878</v>
      </c>
    </row>
    <row r="673" spans="1:11" x14ac:dyDescent="0.15">
      <c r="A673" s="7">
        <v>39235.563726851855</v>
      </c>
      <c r="B673">
        <v>38.4</v>
      </c>
      <c r="C673" s="6">
        <f t="shared" si="90"/>
        <v>1306.0000004014</v>
      </c>
      <c r="D673" t="str">
        <f t="shared" si="91"/>
        <v/>
      </c>
      <c r="E673">
        <f t="shared" si="98"/>
        <v>39235.563726851855</v>
      </c>
      <c r="F673" s="4">
        <f t="shared" si="92"/>
        <v>0.79999999999999716</v>
      </c>
      <c r="G673" s="4">
        <f t="shared" si="93"/>
        <v>0.39999999999999858</v>
      </c>
      <c r="H673" s="5">
        <f t="shared" si="94"/>
        <v>0.8000001870095701</v>
      </c>
      <c r="I673" s="14">
        <f t="shared" si="95"/>
        <v>146.01098680184919</v>
      </c>
      <c r="J673" s="19">
        <f t="shared" si="96"/>
        <v>989443.22071785689</v>
      </c>
      <c r="K673" s="16">
        <f t="shared" si="97"/>
        <v>0.97981167198227115</v>
      </c>
    </row>
    <row r="674" spans="1:11" x14ac:dyDescent="0.15">
      <c r="A674" s="7">
        <v>39235.563750000001</v>
      </c>
      <c r="B674">
        <v>38.4</v>
      </c>
      <c r="C674" s="6">
        <f t="shared" si="90"/>
        <v>1308.0000002402812</v>
      </c>
      <c r="D674" t="str">
        <f t="shared" si="91"/>
        <v/>
      </c>
      <c r="E674">
        <f t="shared" si="98"/>
        <v>39235.563750000001</v>
      </c>
      <c r="F674" s="4">
        <f t="shared" si="92"/>
        <v>0.79999999999999716</v>
      </c>
      <c r="G674" s="4">
        <f t="shared" si="93"/>
        <v>0.39999999999999858</v>
      </c>
      <c r="H674" s="5">
        <f t="shared" si="94"/>
        <v>0.79999993555247495</v>
      </c>
      <c r="I674" s="14">
        <f t="shared" si="95"/>
        <v>146.01094090748666</v>
      </c>
      <c r="J674" s="19">
        <f t="shared" si="96"/>
        <v>989589.23165876442</v>
      </c>
      <c r="K674" s="16">
        <f t="shared" si="97"/>
        <v>0.97995626160716598</v>
      </c>
    </row>
    <row r="675" spans="1:11" x14ac:dyDescent="0.15">
      <c r="A675" s="7">
        <v>39235.563773148147</v>
      </c>
      <c r="B675">
        <v>38.4</v>
      </c>
      <c r="C675" s="6">
        <f t="shared" si="90"/>
        <v>1310.0000000791624</v>
      </c>
      <c r="D675" t="str">
        <f t="shared" si="91"/>
        <v/>
      </c>
      <c r="E675">
        <f t="shared" si="98"/>
        <v>39235.563773148147</v>
      </c>
      <c r="F675" s="4">
        <f t="shared" si="92"/>
        <v>0.79999999999999716</v>
      </c>
      <c r="G675" s="4">
        <f t="shared" si="93"/>
        <v>0.39999999999999858</v>
      </c>
      <c r="H675" s="5">
        <f t="shared" si="94"/>
        <v>0.79999993555247495</v>
      </c>
      <c r="I675" s="14">
        <f t="shared" si="95"/>
        <v>146.01094090748666</v>
      </c>
      <c r="J675" s="19">
        <f t="shared" si="96"/>
        <v>989735.24259967194</v>
      </c>
      <c r="K675" s="16">
        <f t="shared" si="97"/>
        <v>0.98010085123206081</v>
      </c>
    </row>
    <row r="676" spans="1:11" x14ac:dyDescent="0.15">
      <c r="A676" s="7">
        <v>39235.563796296294</v>
      </c>
      <c r="B676">
        <v>38.4</v>
      </c>
      <c r="C676" s="6">
        <f t="shared" si="90"/>
        <v>1311.9999999180436</v>
      </c>
      <c r="D676" t="str">
        <f t="shared" si="91"/>
        <v/>
      </c>
      <c r="E676">
        <f t="shared" si="98"/>
        <v>39235.563796296294</v>
      </c>
      <c r="F676" s="4">
        <f t="shared" si="92"/>
        <v>0.79999999999999716</v>
      </c>
      <c r="G676" s="4">
        <f t="shared" si="93"/>
        <v>0.39999999999999858</v>
      </c>
      <c r="H676" s="5">
        <f t="shared" si="94"/>
        <v>0.79999993555247495</v>
      </c>
      <c r="I676" s="14">
        <f t="shared" si="95"/>
        <v>146.01094090748666</v>
      </c>
      <c r="J676" s="19">
        <f t="shared" si="96"/>
        <v>989881.25354057946</v>
      </c>
      <c r="K676" s="16">
        <f t="shared" si="97"/>
        <v>0.98024544085695564</v>
      </c>
    </row>
    <row r="677" spans="1:11" x14ac:dyDescent="0.15">
      <c r="A677" s="7">
        <v>39235.563819444447</v>
      </c>
      <c r="B677">
        <v>38.4</v>
      </c>
      <c r="C677" s="6">
        <f t="shared" si="90"/>
        <v>1314.0000003855675</v>
      </c>
      <c r="D677" t="str">
        <f t="shared" si="91"/>
        <v/>
      </c>
      <c r="E677">
        <f t="shared" si="98"/>
        <v>39235.563819444447</v>
      </c>
      <c r="F677" s="4">
        <f t="shared" si="92"/>
        <v>0.79999999999999716</v>
      </c>
      <c r="G677" s="4">
        <f t="shared" si="93"/>
        <v>0.39999999999999858</v>
      </c>
      <c r="H677" s="5">
        <f t="shared" si="94"/>
        <v>0.8000001870095701</v>
      </c>
      <c r="I677" s="14">
        <f t="shared" si="95"/>
        <v>146.01098680184919</v>
      </c>
      <c r="J677" s="19">
        <f t="shared" si="96"/>
        <v>990027.26452738128</v>
      </c>
      <c r="K677" s="16">
        <f t="shared" si="97"/>
        <v>0.9803900305272979</v>
      </c>
    </row>
    <row r="678" spans="1:11" x14ac:dyDescent="0.15">
      <c r="A678" s="7">
        <v>39235.563842592594</v>
      </c>
      <c r="B678">
        <v>38.4</v>
      </c>
      <c r="C678" s="6">
        <f t="shared" si="90"/>
        <v>1316.0000002244487</v>
      </c>
      <c r="D678" t="str">
        <f t="shared" si="91"/>
        <v/>
      </c>
      <c r="E678">
        <f t="shared" si="98"/>
        <v>39235.563842592594</v>
      </c>
      <c r="F678" s="4">
        <f t="shared" si="92"/>
        <v>0.79999999999999716</v>
      </c>
      <c r="G678" s="4">
        <f t="shared" si="93"/>
        <v>0.39999999999999858</v>
      </c>
      <c r="H678" s="5">
        <f t="shared" si="94"/>
        <v>0.79999993555247495</v>
      </c>
      <c r="I678" s="14">
        <f t="shared" si="95"/>
        <v>146.01094090748666</v>
      </c>
      <c r="J678" s="19">
        <f t="shared" si="96"/>
        <v>990173.2754682888</v>
      </c>
      <c r="K678" s="16">
        <f t="shared" si="97"/>
        <v>0.98053462015219273</v>
      </c>
    </row>
    <row r="679" spans="1:11" x14ac:dyDescent="0.15">
      <c r="A679" s="7">
        <v>39235.56386574074</v>
      </c>
      <c r="B679">
        <v>38.4</v>
      </c>
      <c r="C679" s="6">
        <f t="shared" si="90"/>
        <v>1318.0000000633299</v>
      </c>
      <c r="D679" t="str">
        <f t="shared" si="91"/>
        <v/>
      </c>
      <c r="E679">
        <f t="shared" si="98"/>
        <v>39235.56386574074</v>
      </c>
      <c r="F679" s="4">
        <f t="shared" si="92"/>
        <v>0.79999999999999716</v>
      </c>
      <c r="G679" s="4">
        <f t="shared" si="93"/>
        <v>0.39999999999999858</v>
      </c>
      <c r="H679" s="5">
        <f t="shared" si="94"/>
        <v>0.79999993555247495</v>
      </c>
      <c r="I679" s="14">
        <f t="shared" si="95"/>
        <v>146.01094090748666</v>
      </c>
      <c r="J679" s="19">
        <f t="shared" si="96"/>
        <v>990319.28640919633</v>
      </c>
      <c r="K679" s="16">
        <f t="shared" si="97"/>
        <v>0.98067920977708756</v>
      </c>
    </row>
    <row r="680" spans="1:11" x14ac:dyDescent="0.15">
      <c r="A680" s="7">
        <v>39235.563888888886</v>
      </c>
      <c r="B680">
        <v>38.4</v>
      </c>
      <c r="C680" s="6">
        <f t="shared" ref="C680:C739" si="99">(A680-$B$4)*24*60*60</f>
        <v>1319.9999999022111</v>
      </c>
      <c r="D680" t="str">
        <f t="shared" ref="D680:D739" si="100">IF(F680=$B$8,A680,"")</f>
        <v/>
      </c>
      <c r="E680">
        <f t="shared" si="98"/>
        <v>39235.563888888886</v>
      </c>
      <c r="F680" s="4">
        <f t="shared" ref="F680:F739" si="101">IF((B680-$B$6)&gt;0,B680-$B$6,0)</f>
        <v>0.79999999999999716</v>
      </c>
      <c r="G680" s="4">
        <f t="shared" ref="G680:G739" si="102">F680/2</f>
        <v>0.39999999999999858</v>
      </c>
      <c r="H680" s="5">
        <f t="shared" ref="H680:H739" si="103">AVERAGE(G679:G680)*(C680-C679)</f>
        <v>0.79999993555247495</v>
      </c>
      <c r="I680" s="14">
        <f t="shared" ref="I680:I739" si="104">H680*$B$14</f>
        <v>146.01094090748666</v>
      </c>
      <c r="J680" s="19">
        <f t="shared" ref="J680:J739" si="105">J679+I680</f>
        <v>990465.29735010385</v>
      </c>
      <c r="K680" s="16">
        <f t="shared" ref="K680:K739" si="106">J680/($B$12*1000)</f>
        <v>0.98082379940198239</v>
      </c>
    </row>
    <row r="681" spans="1:11" x14ac:dyDescent="0.15">
      <c r="A681" s="7">
        <v>39235.56391203704</v>
      </c>
      <c r="B681">
        <v>38.4</v>
      </c>
      <c r="C681" s="6">
        <f t="shared" si="99"/>
        <v>1322.0000003697351</v>
      </c>
      <c r="D681" t="str">
        <f t="shared" si="100"/>
        <v/>
      </c>
      <c r="E681">
        <f t="shared" si="98"/>
        <v>39235.56391203704</v>
      </c>
      <c r="F681" s="4">
        <f t="shared" si="101"/>
        <v>0.79999999999999716</v>
      </c>
      <c r="G681" s="4">
        <f t="shared" si="102"/>
        <v>0.39999999999999858</v>
      </c>
      <c r="H681" s="5">
        <f t="shared" si="103"/>
        <v>0.8000001870095701</v>
      </c>
      <c r="I681" s="14">
        <f t="shared" si="104"/>
        <v>146.01098680184919</v>
      </c>
      <c r="J681" s="19">
        <f t="shared" si="105"/>
        <v>990611.30833690567</v>
      </c>
      <c r="K681" s="16">
        <f t="shared" si="106"/>
        <v>0.98096838907232475</v>
      </c>
    </row>
    <row r="682" spans="1:11" x14ac:dyDescent="0.15">
      <c r="A682" s="7">
        <v>39235.563935185186</v>
      </c>
      <c r="B682">
        <v>38.4</v>
      </c>
      <c r="C682" s="6">
        <f t="shared" si="99"/>
        <v>1324.0000002086163</v>
      </c>
      <c r="D682" t="str">
        <f t="shared" si="100"/>
        <v/>
      </c>
      <c r="E682">
        <f t="shared" si="98"/>
        <v>39235.563935185186</v>
      </c>
      <c r="F682" s="4">
        <f t="shared" si="101"/>
        <v>0.79999999999999716</v>
      </c>
      <c r="G682" s="4">
        <f t="shared" si="102"/>
        <v>0.39999999999999858</v>
      </c>
      <c r="H682" s="5">
        <f t="shared" si="103"/>
        <v>0.79999993555247495</v>
      </c>
      <c r="I682" s="14">
        <f t="shared" si="104"/>
        <v>146.01094090748666</v>
      </c>
      <c r="J682" s="19">
        <f t="shared" si="105"/>
        <v>990757.31927781319</v>
      </c>
      <c r="K682" s="16">
        <f t="shared" si="106"/>
        <v>0.98111297869721947</v>
      </c>
    </row>
    <row r="683" spans="1:11" x14ac:dyDescent="0.15">
      <c r="A683" s="7">
        <v>39235.563958333332</v>
      </c>
      <c r="B683">
        <v>38.4</v>
      </c>
      <c r="C683" s="6">
        <f t="shared" si="99"/>
        <v>1326.0000000474975</v>
      </c>
      <c r="D683" t="str">
        <f t="shared" si="100"/>
        <v/>
      </c>
      <c r="E683">
        <f t="shared" si="98"/>
        <v>39235.563958333332</v>
      </c>
      <c r="F683" s="4">
        <f t="shared" si="101"/>
        <v>0.79999999999999716</v>
      </c>
      <c r="G683" s="4">
        <f t="shared" si="102"/>
        <v>0.39999999999999858</v>
      </c>
      <c r="H683" s="5">
        <f t="shared" si="103"/>
        <v>0.79999993555247495</v>
      </c>
      <c r="I683" s="14">
        <f t="shared" si="104"/>
        <v>146.01094090748666</v>
      </c>
      <c r="J683" s="19">
        <f t="shared" si="105"/>
        <v>990903.33021872072</v>
      </c>
      <c r="K683" s="16">
        <f t="shared" si="106"/>
        <v>0.9812575683221143</v>
      </c>
    </row>
    <row r="684" spans="1:11" x14ac:dyDescent="0.15">
      <c r="A684" s="7">
        <v>39235.563981481479</v>
      </c>
      <c r="B684">
        <v>38.4</v>
      </c>
      <c r="C684" s="6">
        <f t="shared" si="99"/>
        <v>1327.9999998863786</v>
      </c>
      <c r="D684" t="str">
        <f t="shared" si="100"/>
        <v/>
      </c>
      <c r="E684">
        <f t="shared" si="98"/>
        <v>39235.563981481479</v>
      </c>
      <c r="F684" s="4">
        <f t="shared" si="101"/>
        <v>0.79999999999999716</v>
      </c>
      <c r="G684" s="4">
        <f t="shared" si="102"/>
        <v>0.39999999999999858</v>
      </c>
      <c r="H684" s="5">
        <f t="shared" si="103"/>
        <v>0.79999993555247495</v>
      </c>
      <c r="I684" s="14">
        <f t="shared" si="104"/>
        <v>146.01094090748666</v>
      </c>
      <c r="J684" s="19">
        <f t="shared" si="105"/>
        <v>991049.34115962824</v>
      </c>
      <c r="K684" s="16">
        <f t="shared" si="106"/>
        <v>0.98140215794700913</v>
      </c>
    </row>
    <row r="685" spans="1:11" x14ac:dyDescent="0.15">
      <c r="A685" s="7">
        <v>39235.564004629632</v>
      </c>
      <c r="B685">
        <v>38.4</v>
      </c>
      <c r="C685" s="6">
        <f t="shared" si="99"/>
        <v>1330.0000003539026</v>
      </c>
      <c r="D685" t="str">
        <f t="shared" si="100"/>
        <v/>
      </c>
      <c r="E685">
        <f t="shared" si="98"/>
        <v>39235.564004629632</v>
      </c>
      <c r="F685" s="4">
        <f t="shared" si="101"/>
        <v>0.79999999999999716</v>
      </c>
      <c r="G685" s="4">
        <f t="shared" si="102"/>
        <v>0.39999999999999858</v>
      </c>
      <c r="H685" s="5">
        <f t="shared" si="103"/>
        <v>0.8000001870095701</v>
      </c>
      <c r="I685" s="14">
        <f t="shared" si="104"/>
        <v>146.01098680184919</v>
      </c>
      <c r="J685" s="19">
        <f t="shared" si="105"/>
        <v>991195.35214643006</v>
      </c>
      <c r="K685" s="16">
        <f t="shared" si="106"/>
        <v>0.9815467476173515</v>
      </c>
    </row>
    <row r="686" spans="1:11" x14ac:dyDescent="0.15">
      <c r="A686" s="7">
        <v>39235.564027777778</v>
      </c>
      <c r="B686">
        <v>38.4</v>
      </c>
      <c r="C686" s="6">
        <f t="shared" si="99"/>
        <v>1332.0000001927838</v>
      </c>
      <c r="D686" t="str">
        <f t="shared" si="100"/>
        <v/>
      </c>
      <c r="E686">
        <f t="shared" si="98"/>
        <v>39235.564027777778</v>
      </c>
      <c r="F686" s="4">
        <f t="shared" si="101"/>
        <v>0.79999999999999716</v>
      </c>
      <c r="G686" s="4">
        <f t="shared" si="102"/>
        <v>0.39999999999999858</v>
      </c>
      <c r="H686" s="5">
        <f t="shared" si="103"/>
        <v>0.79999993555247495</v>
      </c>
      <c r="I686" s="14">
        <f t="shared" si="104"/>
        <v>146.01094090748666</v>
      </c>
      <c r="J686" s="19">
        <f t="shared" si="105"/>
        <v>991341.36308733758</v>
      </c>
      <c r="K686" s="16">
        <f t="shared" si="106"/>
        <v>0.98169133724224633</v>
      </c>
    </row>
    <row r="687" spans="1:11" x14ac:dyDescent="0.15">
      <c r="A687" s="7">
        <v>39235.564050925925</v>
      </c>
      <c r="B687">
        <v>38.4</v>
      </c>
      <c r="C687" s="6">
        <f t="shared" si="99"/>
        <v>1334.000000031665</v>
      </c>
      <c r="D687" t="str">
        <f t="shared" si="100"/>
        <v/>
      </c>
      <c r="E687">
        <f t="shared" si="98"/>
        <v>39235.564050925925</v>
      </c>
      <c r="F687" s="4">
        <f t="shared" si="101"/>
        <v>0.79999999999999716</v>
      </c>
      <c r="G687" s="4">
        <f t="shared" si="102"/>
        <v>0.39999999999999858</v>
      </c>
      <c r="H687" s="5">
        <f t="shared" si="103"/>
        <v>0.79999993555247495</v>
      </c>
      <c r="I687" s="14">
        <f t="shared" si="104"/>
        <v>146.01094090748666</v>
      </c>
      <c r="J687" s="19">
        <f t="shared" si="105"/>
        <v>991487.3740282451</v>
      </c>
      <c r="K687" s="16">
        <f t="shared" si="106"/>
        <v>0.98183592686714105</v>
      </c>
    </row>
    <row r="688" spans="1:11" x14ac:dyDescent="0.15">
      <c r="A688" s="7">
        <v>39235.564074074071</v>
      </c>
      <c r="B688">
        <v>38.4</v>
      </c>
      <c r="C688" s="6">
        <f t="shared" si="99"/>
        <v>1335.9999998705462</v>
      </c>
      <c r="D688" t="str">
        <f t="shared" si="100"/>
        <v/>
      </c>
      <c r="E688">
        <f t="shared" si="98"/>
        <v>39235.564074074071</v>
      </c>
      <c r="F688" s="4">
        <f t="shared" si="101"/>
        <v>0.79999999999999716</v>
      </c>
      <c r="G688" s="4">
        <f t="shared" si="102"/>
        <v>0.39999999999999858</v>
      </c>
      <c r="H688" s="5">
        <f t="shared" si="103"/>
        <v>0.79999993555247495</v>
      </c>
      <c r="I688" s="14">
        <f t="shared" si="104"/>
        <v>146.01094090748666</v>
      </c>
      <c r="J688" s="19">
        <f t="shared" si="105"/>
        <v>991633.38496915263</v>
      </c>
      <c r="K688" s="16">
        <f t="shared" si="106"/>
        <v>0.98198051649203588</v>
      </c>
    </row>
    <row r="689" spans="1:11" x14ac:dyDescent="0.15">
      <c r="A689" s="7">
        <v>39235.564097222225</v>
      </c>
      <c r="B689">
        <v>38.4</v>
      </c>
      <c r="C689" s="6">
        <f t="shared" si="99"/>
        <v>1338.0000003380701</v>
      </c>
      <c r="D689" t="str">
        <f t="shared" si="100"/>
        <v/>
      </c>
      <c r="E689">
        <f t="shared" si="98"/>
        <v>39235.564097222225</v>
      </c>
      <c r="F689" s="4">
        <f t="shared" si="101"/>
        <v>0.79999999999999716</v>
      </c>
      <c r="G689" s="4">
        <f t="shared" si="102"/>
        <v>0.39999999999999858</v>
      </c>
      <c r="H689" s="5">
        <f t="shared" si="103"/>
        <v>0.8000001870095701</v>
      </c>
      <c r="I689" s="14">
        <f t="shared" si="104"/>
        <v>146.01098680184919</v>
      </c>
      <c r="J689" s="19">
        <f t="shared" si="105"/>
        <v>991779.39595595445</v>
      </c>
      <c r="K689" s="16">
        <f t="shared" si="106"/>
        <v>0.98212510616237825</v>
      </c>
    </row>
    <row r="690" spans="1:11" x14ac:dyDescent="0.15">
      <c r="A690" s="7">
        <v>39235.564120370371</v>
      </c>
      <c r="B690">
        <v>38.4</v>
      </c>
      <c r="C690" s="6">
        <f t="shared" si="99"/>
        <v>1340.0000001769513</v>
      </c>
      <c r="D690" t="str">
        <f t="shared" si="100"/>
        <v/>
      </c>
      <c r="E690">
        <f t="shared" si="98"/>
        <v>39235.564120370371</v>
      </c>
      <c r="F690" s="4">
        <f t="shared" si="101"/>
        <v>0.79999999999999716</v>
      </c>
      <c r="G690" s="4">
        <f t="shared" si="102"/>
        <v>0.39999999999999858</v>
      </c>
      <c r="H690" s="5">
        <f t="shared" si="103"/>
        <v>0.79999993555247495</v>
      </c>
      <c r="I690" s="14">
        <f t="shared" si="104"/>
        <v>146.01094090748666</v>
      </c>
      <c r="J690" s="19">
        <f t="shared" si="105"/>
        <v>991925.40689686197</v>
      </c>
      <c r="K690" s="16">
        <f t="shared" si="106"/>
        <v>0.98226969578727308</v>
      </c>
    </row>
    <row r="691" spans="1:11" x14ac:dyDescent="0.15">
      <c r="A691" s="7">
        <v>39235.564143518517</v>
      </c>
      <c r="B691">
        <v>38.4</v>
      </c>
      <c r="C691" s="6">
        <f t="shared" si="99"/>
        <v>1342.0000000158325</v>
      </c>
      <c r="D691" t="str">
        <f t="shared" si="100"/>
        <v/>
      </c>
      <c r="E691">
        <f t="shared" si="98"/>
        <v>39235.564143518517</v>
      </c>
      <c r="F691" s="4">
        <f t="shared" si="101"/>
        <v>0.79999999999999716</v>
      </c>
      <c r="G691" s="4">
        <f t="shared" si="102"/>
        <v>0.39999999999999858</v>
      </c>
      <c r="H691" s="5">
        <f t="shared" si="103"/>
        <v>0.79999993555247495</v>
      </c>
      <c r="I691" s="14">
        <f t="shared" si="104"/>
        <v>146.01094090748666</v>
      </c>
      <c r="J691" s="19">
        <f t="shared" si="105"/>
        <v>992071.41783776949</v>
      </c>
      <c r="K691" s="16">
        <f t="shared" si="106"/>
        <v>0.98241428541216791</v>
      </c>
    </row>
    <row r="692" spans="1:11" x14ac:dyDescent="0.15">
      <c r="A692" s="7">
        <v>39235.564166666663</v>
      </c>
      <c r="B692">
        <v>38.4</v>
      </c>
      <c r="C692" s="6">
        <f t="shared" si="99"/>
        <v>1343.9999998547137</v>
      </c>
      <c r="D692" t="str">
        <f t="shared" si="100"/>
        <v/>
      </c>
      <c r="E692">
        <f t="shared" si="98"/>
        <v>39235.564166666663</v>
      </c>
      <c r="F692" s="4">
        <f t="shared" si="101"/>
        <v>0.79999999999999716</v>
      </c>
      <c r="G692" s="4">
        <f t="shared" si="102"/>
        <v>0.39999999999999858</v>
      </c>
      <c r="H692" s="5">
        <f t="shared" si="103"/>
        <v>0.79999993555247495</v>
      </c>
      <c r="I692" s="14">
        <f t="shared" si="104"/>
        <v>146.01094090748666</v>
      </c>
      <c r="J692" s="19">
        <f t="shared" si="105"/>
        <v>992217.42877867701</v>
      </c>
      <c r="K692" s="16">
        <f t="shared" si="106"/>
        <v>0.98255887503706274</v>
      </c>
    </row>
    <row r="693" spans="1:11" x14ac:dyDescent="0.15">
      <c r="A693" s="7">
        <v>39235.564189814817</v>
      </c>
      <c r="B693">
        <v>38.4</v>
      </c>
      <c r="C693" s="6">
        <f t="shared" si="99"/>
        <v>1346.0000003222376</v>
      </c>
      <c r="D693" t="str">
        <f t="shared" si="100"/>
        <v/>
      </c>
      <c r="E693">
        <f t="shared" si="98"/>
        <v>39235.564189814817</v>
      </c>
      <c r="F693" s="4">
        <f t="shared" si="101"/>
        <v>0.79999999999999716</v>
      </c>
      <c r="G693" s="4">
        <f t="shared" si="102"/>
        <v>0.39999999999999858</v>
      </c>
      <c r="H693" s="5">
        <f t="shared" si="103"/>
        <v>0.8000001870095701</v>
      </c>
      <c r="I693" s="14">
        <f t="shared" si="104"/>
        <v>146.01098680184919</v>
      </c>
      <c r="J693" s="19">
        <f t="shared" si="105"/>
        <v>992363.43976547883</v>
      </c>
      <c r="K693" s="16">
        <f t="shared" si="106"/>
        <v>0.98270346470740499</v>
      </c>
    </row>
    <row r="694" spans="1:11" x14ac:dyDescent="0.15">
      <c r="A694" s="7">
        <v>39235.564212962963</v>
      </c>
      <c r="B694">
        <v>38.299999999999997</v>
      </c>
      <c r="C694" s="6">
        <f t="shared" si="99"/>
        <v>1348.0000001611188</v>
      </c>
      <c r="D694" t="str">
        <f t="shared" si="100"/>
        <v/>
      </c>
      <c r="E694">
        <f t="shared" si="98"/>
        <v>39235.564212962963</v>
      </c>
      <c r="F694" s="4">
        <f t="shared" si="101"/>
        <v>0.69999999999999574</v>
      </c>
      <c r="G694" s="4">
        <f t="shared" si="102"/>
        <v>0.34999999999999787</v>
      </c>
      <c r="H694" s="5">
        <f t="shared" si="103"/>
        <v>0.74999993958044442</v>
      </c>
      <c r="I694" s="14">
        <f t="shared" si="104"/>
        <v>136.8852571007686</v>
      </c>
      <c r="J694" s="19">
        <f t="shared" si="105"/>
        <v>992500.32502257964</v>
      </c>
      <c r="K694" s="16">
        <f t="shared" si="106"/>
        <v>0.98283901748074387</v>
      </c>
    </row>
    <row r="695" spans="1:11" x14ac:dyDescent="0.15">
      <c r="A695" s="7">
        <v>39235.564236111109</v>
      </c>
      <c r="B695">
        <v>38.299999999999997</v>
      </c>
      <c r="C695" s="6">
        <f t="shared" si="99"/>
        <v>1350</v>
      </c>
      <c r="D695" t="str">
        <f t="shared" si="100"/>
        <v/>
      </c>
      <c r="E695">
        <f t="shared" si="98"/>
        <v>39235.564236111109</v>
      </c>
      <c r="F695" s="4">
        <f t="shared" si="101"/>
        <v>0.69999999999999574</v>
      </c>
      <c r="G695" s="4">
        <f t="shared" si="102"/>
        <v>0.34999999999999787</v>
      </c>
      <c r="H695" s="5">
        <f t="shared" si="103"/>
        <v>0.69999994360841389</v>
      </c>
      <c r="I695" s="14">
        <f t="shared" si="104"/>
        <v>127.75957329405051</v>
      </c>
      <c r="J695" s="19">
        <f t="shared" si="105"/>
        <v>992628.08459587372</v>
      </c>
      <c r="K695" s="16">
        <f t="shared" si="106"/>
        <v>0.9829655334025269</v>
      </c>
    </row>
    <row r="696" spans="1:11" x14ac:dyDescent="0.15">
      <c r="A696" s="7">
        <v>39235.564259259256</v>
      </c>
      <c r="B696">
        <v>38.299999999999997</v>
      </c>
      <c r="C696" s="6">
        <f t="shared" si="99"/>
        <v>1351.9999998388812</v>
      </c>
      <c r="D696" t="str">
        <f t="shared" si="100"/>
        <v/>
      </c>
      <c r="E696">
        <f t="shared" si="98"/>
        <v>39235.564259259256</v>
      </c>
      <c r="F696" s="4">
        <f t="shared" si="101"/>
        <v>0.69999999999999574</v>
      </c>
      <c r="G696" s="4">
        <f t="shared" si="102"/>
        <v>0.34999999999999787</v>
      </c>
      <c r="H696" s="5">
        <f t="shared" si="103"/>
        <v>0.69999994360841389</v>
      </c>
      <c r="I696" s="14">
        <f t="shared" si="104"/>
        <v>127.75957329405051</v>
      </c>
      <c r="J696" s="19">
        <f t="shared" si="105"/>
        <v>992755.8441691678</v>
      </c>
      <c r="K696" s="16">
        <f t="shared" si="106"/>
        <v>0.98309204932430982</v>
      </c>
    </row>
    <row r="697" spans="1:11" x14ac:dyDescent="0.15">
      <c r="A697" s="7">
        <v>39235.564282407409</v>
      </c>
      <c r="B697">
        <v>38.299999999999997</v>
      </c>
      <c r="C697" s="6">
        <f t="shared" si="99"/>
        <v>1354.0000003064051</v>
      </c>
      <c r="D697" t="str">
        <f t="shared" si="100"/>
        <v/>
      </c>
      <c r="E697">
        <f t="shared" si="98"/>
        <v>39235.564282407409</v>
      </c>
      <c r="F697" s="4">
        <f t="shared" si="101"/>
        <v>0.69999999999999574</v>
      </c>
      <c r="G697" s="4">
        <f t="shared" si="102"/>
        <v>0.34999999999999787</v>
      </c>
      <c r="H697" s="5">
        <f t="shared" si="103"/>
        <v>0.70000016363337214</v>
      </c>
      <c r="I697" s="14">
        <f t="shared" si="104"/>
        <v>127.75961345161772</v>
      </c>
      <c r="J697" s="19">
        <f t="shared" si="105"/>
        <v>992883.60378261947</v>
      </c>
      <c r="K697" s="16">
        <f t="shared" si="106"/>
        <v>0.98321856528585949</v>
      </c>
    </row>
    <row r="698" spans="1:11" x14ac:dyDescent="0.15">
      <c r="A698" s="7">
        <v>39235.564305555556</v>
      </c>
      <c r="B698">
        <v>38.299999999999997</v>
      </c>
      <c r="C698" s="6">
        <f t="shared" si="99"/>
        <v>1356.0000001452863</v>
      </c>
      <c r="D698" t="str">
        <f t="shared" si="100"/>
        <v/>
      </c>
      <c r="E698">
        <f t="shared" si="98"/>
        <v>39235.564305555556</v>
      </c>
      <c r="F698" s="4">
        <f t="shared" si="101"/>
        <v>0.69999999999999574</v>
      </c>
      <c r="G698" s="4">
        <f t="shared" si="102"/>
        <v>0.34999999999999787</v>
      </c>
      <c r="H698" s="5">
        <f t="shared" si="103"/>
        <v>0.69999994360841389</v>
      </c>
      <c r="I698" s="14">
        <f t="shared" si="104"/>
        <v>127.75957329405051</v>
      </c>
      <c r="J698" s="19">
        <f t="shared" si="105"/>
        <v>993011.36335591355</v>
      </c>
      <c r="K698" s="16">
        <f t="shared" si="106"/>
        <v>0.98334508120764241</v>
      </c>
    </row>
    <row r="699" spans="1:11" x14ac:dyDescent="0.15">
      <c r="A699" s="7">
        <v>39235.564328703702</v>
      </c>
      <c r="B699">
        <v>38.299999999999997</v>
      </c>
      <c r="C699" s="6">
        <f t="shared" si="99"/>
        <v>1357.9999999841675</v>
      </c>
      <c r="D699" t="str">
        <f t="shared" si="100"/>
        <v/>
      </c>
      <c r="E699">
        <f t="shared" si="98"/>
        <v>39235.564328703702</v>
      </c>
      <c r="F699" s="4">
        <f t="shared" si="101"/>
        <v>0.69999999999999574</v>
      </c>
      <c r="G699" s="4">
        <f t="shared" si="102"/>
        <v>0.34999999999999787</v>
      </c>
      <c r="H699" s="5">
        <f t="shared" si="103"/>
        <v>0.69999994360841389</v>
      </c>
      <c r="I699" s="14">
        <f t="shared" si="104"/>
        <v>127.75957329405051</v>
      </c>
      <c r="J699" s="19">
        <f t="shared" si="105"/>
        <v>993139.12292920763</v>
      </c>
      <c r="K699" s="16">
        <f t="shared" si="106"/>
        <v>0.98347159712942533</v>
      </c>
    </row>
    <row r="700" spans="1:11" x14ac:dyDescent="0.15">
      <c r="A700" s="7">
        <v>39235.564351851855</v>
      </c>
      <c r="B700">
        <v>38.299999999999997</v>
      </c>
      <c r="C700" s="6">
        <f t="shared" si="99"/>
        <v>1360.0000004516914</v>
      </c>
      <c r="D700" t="str">
        <f t="shared" si="100"/>
        <v/>
      </c>
      <c r="E700">
        <f t="shared" si="98"/>
        <v>39235.564351851855</v>
      </c>
      <c r="F700" s="4">
        <f t="shared" si="101"/>
        <v>0.69999999999999574</v>
      </c>
      <c r="G700" s="4">
        <f t="shared" si="102"/>
        <v>0.34999999999999787</v>
      </c>
      <c r="H700" s="5">
        <f t="shared" si="103"/>
        <v>0.70000016363337214</v>
      </c>
      <c r="I700" s="14">
        <f t="shared" si="104"/>
        <v>127.75961345161772</v>
      </c>
      <c r="J700" s="19">
        <f t="shared" si="105"/>
        <v>993266.8825426593</v>
      </c>
      <c r="K700" s="16">
        <f t="shared" si="106"/>
        <v>0.983598113090975</v>
      </c>
    </row>
    <row r="701" spans="1:11" x14ac:dyDescent="0.15">
      <c r="A701" s="7">
        <v>39235.564375000002</v>
      </c>
      <c r="B701">
        <v>38.299999999999997</v>
      </c>
      <c r="C701" s="6">
        <f t="shared" si="99"/>
        <v>1362.0000002905726</v>
      </c>
      <c r="D701" t="str">
        <f t="shared" si="100"/>
        <v/>
      </c>
      <c r="E701">
        <f t="shared" si="98"/>
        <v>39235.564375000002</v>
      </c>
      <c r="F701" s="4">
        <f t="shared" si="101"/>
        <v>0.69999999999999574</v>
      </c>
      <c r="G701" s="4">
        <f t="shared" si="102"/>
        <v>0.34999999999999787</v>
      </c>
      <c r="H701" s="5">
        <f t="shared" si="103"/>
        <v>0.69999994360841389</v>
      </c>
      <c r="I701" s="14">
        <f t="shared" si="104"/>
        <v>127.75957329405051</v>
      </c>
      <c r="J701" s="19">
        <f t="shared" si="105"/>
        <v>993394.64211595338</v>
      </c>
      <c r="K701" s="16">
        <f t="shared" si="106"/>
        <v>0.98372462901275792</v>
      </c>
    </row>
    <row r="702" spans="1:11" x14ac:dyDescent="0.15">
      <c r="A702" s="7">
        <v>39235.564398148148</v>
      </c>
      <c r="B702">
        <v>38.200000000000003</v>
      </c>
      <c r="C702" s="6">
        <f t="shared" si="99"/>
        <v>1364.0000001294538</v>
      </c>
      <c r="D702" t="str">
        <f t="shared" si="100"/>
        <v/>
      </c>
      <c r="E702">
        <f t="shared" si="98"/>
        <v>39235.564398148148</v>
      </c>
      <c r="F702" s="4">
        <f t="shared" si="101"/>
        <v>0.60000000000000142</v>
      </c>
      <c r="G702" s="4">
        <f t="shared" si="102"/>
        <v>0.30000000000000071</v>
      </c>
      <c r="H702" s="5">
        <f t="shared" si="103"/>
        <v>0.6499999476363868</v>
      </c>
      <c r="I702" s="14">
        <f t="shared" si="104"/>
        <v>118.63388948733308</v>
      </c>
      <c r="J702" s="19">
        <f t="shared" si="105"/>
        <v>993513.27600544074</v>
      </c>
      <c r="K702" s="16">
        <f t="shared" si="106"/>
        <v>0.983842108082985</v>
      </c>
    </row>
    <row r="703" spans="1:11" x14ac:dyDescent="0.15">
      <c r="A703" s="7">
        <v>39235.564421296294</v>
      </c>
      <c r="B703">
        <v>38.200000000000003</v>
      </c>
      <c r="C703" s="6">
        <f t="shared" si="99"/>
        <v>1365.999999968335</v>
      </c>
      <c r="D703" t="str">
        <f t="shared" si="100"/>
        <v/>
      </c>
      <c r="E703">
        <f t="shared" si="98"/>
        <v>39235.564421296294</v>
      </c>
      <c r="F703" s="4">
        <f t="shared" si="101"/>
        <v>0.60000000000000142</v>
      </c>
      <c r="G703" s="4">
        <f t="shared" si="102"/>
        <v>0.30000000000000071</v>
      </c>
      <c r="H703" s="5">
        <f t="shared" si="103"/>
        <v>0.59999995166435982</v>
      </c>
      <c r="I703" s="14">
        <f t="shared" si="104"/>
        <v>109.50820568061565</v>
      </c>
      <c r="J703" s="19">
        <f t="shared" si="105"/>
        <v>993622.78421112138</v>
      </c>
      <c r="K703" s="16">
        <f t="shared" si="106"/>
        <v>0.98395055030165612</v>
      </c>
    </row>
    <row r="704" spans="1:11" x14ac:dyDescent="0.15">
      <c r="A704" s="7">
        <v>39235.564444444448</v>
      </c>
      <c r="B704">
        <v>38.299999999999997</v>
      </c>
      <c r="C704" s="6">
        <f t="shared" si="99"/>
        <v>1368.000000435859</v>
      </c>
      <c r="D704" t="str">
        <f t="shared" si="100"/>
        <v/>
      </c>
      <c r="E704">
        <f t="shared" si="98"/>
        <v>39235.564444444448</v>
      </c>
      <c r="F704" s="4">
        <f t="shared" si="101"/>
        <v>0.69999999999999574</v>
      </c>
      <c r="G704" s="4">
        <f t="shared" si="102"/>
        <v>0.34999999999999787</v>
      </c>
      <c r="H704" s="5">
        <f t="shared" si="103"/>
        <v>0.65000015194527661</v>
      </c>
      <c r="I704" s="14">
        <f t="shared" si="104"/>
        <v>118.63392677650262</v>
      </c>
      <c r="J704" s="19">
        <f t="shared" si="105"/>
        <v>993741.41813789785</v>
      </c>
      <c r="K704" s="16">
        <f t="shared" si="106"/>
        <v>0.98406802940880922</v>
      </c>
    </row>
    <row r="705" spans="1:11" x14ac:dyDescent="0.15">
      <c r="A705" s="7">
        <v>39235.564467592594</v>
      </c>
      <c r="B705">
        <v>38.200000000000003</v>
      </c>
      <c r="C705" s="6">
        <f t="shared" si="99"/>
        <v>1370.0000002747402</v>
      </c>
      <c r="D705" t="str">
        <f t="shared" si="100"/>
        <v/>
      </c>
      <c r="E705">
        <f t="shared" si="98"/>
        <v>39235.564467592594</v>
      </c>
      <c r="F705" s="4">
        <f t="shared" si="101"/>
        <v>0.60000000000000142</v>
      </c>
      <c r="G705" s="4">
        <f t="shared" si="102"/>
        <v>0.30000000000000071</v>
      </c>
      <c r="H705" s="5">
        <f t="shared" si="103"/>
        <v>0.6499999476363868</v>
      </c>
      <c r="I705" s="14">
        <f t="shared" si="104"/>
        <v>118.63388948733308</v>
      </c>
      <c r="J705" s="19">
        <f t="shared" si="105"/>
        <v>993860.05202738522</v>
      </c>
      <c r="K705" s="16">
        <f t="shared" si="106"/>
        <v>0.9841855084790363</v>
      </c>
    </row>
    <row r="706" spans="1:11" x14ac:dyDescent="0.15">
      <c r="A706" s="7">
        <v>39235.56449074074</v>
      </c>
      <c r="B706">
        <v>38.200000000000003</v>
      </c>
      <c r="C706" s="6">
        <f t="shared" si="99"/>
        <v>1372.0000001136214</v>
      </c>
      <c r="D706" t="str">
        <f t="shared" si="100"/>
        <v/>
      </c>
      <c r="E706">
        <f t="shared" si="98"/>
        <v>39235.56449074074</v>
      </c>
      <c r="F706" s="4">
        <f t="shared" si="101"/>
        <v>0.60000000000000142</v>
      </c>
      <c r="G706" s="4">
        <f t="shared" si="102"/>
        <v>0.30000000000000071</v>
      </c>
      <c r="H706" s="5">
        <f t="shared" si="103"/>
        <v>0.59999995166435982</v>
      </c>
      <c r="I706" s="14">
        <f t="shared" si="104"/>
        <v>109.50820568061565</v>
      </c>
      <c r="J706" s="19">
        <f t="shared" si="105"/>
        <v>993969.56023306586</v>
      </c>
      <c r="K706" s="16">
        <f t="shared" si="106"/>
        <v>0.98429395069770742</v>
      </c>
    </row>
    <row r="707" spans="1:11" x14ac:dyDescent="0.15">
      <c r="A707" s="7">
        <v>39235.564513888887</v>
      </c>
      <c r="B707">
        <v>38.200000000000003</v>
      </c>
      <c r="C707" s="6">
        <f t="shared" si="99"/>
        <v>1373.9999999525025</v>
      </c>
      <c r="D707" t="str">
        <f t="shared" si="100"/>
        <v/>
      </c>
      <c r="E707">
        <f t="shared" si="98"/>
        <v>39235.564513888887</v>
      </c>
      <c r="F707" s="4">
        <f t="shared" si="101"/>
        <v>0.60000000000000142</v>
      </c>
      <c r="G707" s="4">
        <f t="shared" si="102"/>
        <v>0.30000000000000071</v>
      </c>
      <c r="H707" s="5">
        <f t="shared" si="103"/>
        <v>0.59999995166435982</v>
      </c>
      <c r="I707" s="14">
        <f t="shared" si="104"/>
        <v>109.50820568061565</v>
      </c>
      <c r="J707" s="19">
        <f t="shared" si="105"/>
        <v>994079.0684387465</v>
      </c>
      <c r="K707" s="16">
        <f t="shared" si="106"/>
        <v>0.98440239291637854</v>
      </c>
    </row>
    <row r="708" spans="1:11" x14ac:dyDescent="0.15">
      <c r="A708" s="7">
        <v>39235.56453703704</v>
      </c>
      <c r="B708">
        <v>38.200000000000003</v>
      </c>
      <c r="C708" s="6">
        <f t="shared" si="99"/>
        <v>1376.0000004200265</v>
      </c>
      <c r="D708" t="str">
        <f t="shared" si="100"/>
        <v/>
      </c>
      <c r="E708">
        <f t="shared" si="98"/>
        <v>39235.56453703704</v>
      </c>
      <c r="F708" s="4">
        <f t="shared" si="101"/>
        <v>0.60000000000000142</v>
      </c>
      <c r="G708" s="4">
        <f t="shared" si="102"/>
        <v>0.30000000000000071</v>
      </c>
      <c r="H708" s="5">
        <f t="shared" si="103"/>
        <v>0.60000014025718118</v>
      </c>
      <c r="I708" s="14">
        <f t="shared" si="104"/>
        <v>109.50824010138754</v>
      </c>
      <c r="J708" s="19">
        <f t="shared" si="105"/>
        <v>994188.57667884789</v>
      </c>
      <c r="K708" s="16">
        <f t="shared" si="106"/>
        <v>0.98451083516913529</v>
      </c>
    </row>
    <row r="709" spans="1:11" x14ac:dyDescent="0.15">
      <c r="A709" s="7">
        <v>39235.564560185187</v>
      </c>
      <c r="B709">
        <v>38.200000000000003</v>
      </c>
      <c r="C709" s="6">
        <f t="shared" si="99"/>
        <v>1378.0000002589077</v>
      </c>
      <c r="D709" t="str">
        <f t="shared" si="100"/>
        <v/>
      </c>
      <c r="E709">
        <f t="shared" si="98"/>
        <v>39235.564560185187</v>
      </c>
      <c r="F709" s="4">
        <f t="shared" si="101"/>
        <v>0.60000000000000142</v>
      </c>
      <c r="G709" s="4">
        <f t="shared" si="102"/>
        <v>0.30000000000000071</v>
      </c>
      <c r="H709" s="5">
        <f t="shared" si="103"/>
        <v>0.59999995166435982</v>
      </c>
      <c r="I709" s="14">
        <f t="shared" si="104"/>
        <v>109.50820568061565</v>
      </c>
      <c r="J709" s="19">
        <f t="shared" si="105"/>
        <v>994298.08488452854</v>
      </c>
      <c r="K709" s="16">
        <f t="shared" si="106"/>
        <v>0.98461927738780641</v>
      </c>
    </row>
    <row r="710" spans="1:11" x14ac:dyDescent="0.15">
      <c r="A710" s="7">
        <v>39235.564583333333</v>
      </c>
      <c r="B710">
        <v>38.1</v>
      </c>
      <c r="C710" s="6">
        <f t="shared" si="99"/>
        <v>1380.0000000977889</v>
      </c>
      <c r="D710" t="str">
        <f t="shared" si="100"/>
        <v/>
      </c>
      <c r="E710">
        <f t="shared" si="98"/>
        <v>39235.564583333333</v>
      </c>
      <c r="F710" s="4">
        <f t="shared" si="101"/>
        <v>0.5</v>
      </c>
      <c r="G710" s="4">
        <f t="shared" si="102"/>
        <v>0.25</v>
      </c>
      <c r="H710" s="5">
        <f t="shared" si="103"/>
        <v>0.54999995569232918</v>
      </c>
      <c r="I710" s="14">
        <f t="shared" si="104"/>
        <v>100.38252187389756</v>
      </c>
      <c r="J710" s="19">
        <f t="shared" si="105"/>
        <v>994398.46740640246</v>
      </c>
      <c r="K710" s="16">
        <f t="shared" si="106"/>
        <v>0.98471868275492158</v>
      </c>
    </row>
    <row r="711" spans="1:11" x14ac:dyDescent="0.15">
      <c r="A711" s="7">
        <v>39235.564606481479</v>
      </c>
      <c r="B711">
        <v>38.200000000000003</v>
      </c>
      <c r="C711" s="6">
        <f t="shared" si="99"/>
        <v>1381.9999999366701</v>
      </c>
      <c r="D711" t="str">
        <f t="shared" si="100"/>
        <v/>
      </c>
      <c r="E711">
        <f t="shared" si="98"/>
        <v>39235.564606481479</v>
      </c>
      <c r="F711" s="4">
        <f t="shared" si="101"/>
        <v>0.60000000000000142</v>
      </c>
      <c r="G711" s="4">
        <f t="shared" si="102"/>
        <v>0.30000000000000071</v>
      </c>
      <c r="H711" s="5">
        <f t="shared" si="103"/>
        <v>0.54999995569232918</v>
      </c>
      <c r="I711" s="14">
        <f t="shared" si="104"/>
        <v>100.38252187389756</v>
      </c>
      <c r="J711" s="19">
        <f t="shared" si="105"/>
        <v>994498.84992827638</v>
      </c>
      <c r="K711" s="16">
        <f t="shared" si="106"/>
        <v>0.98481808812203675</v>
      </c>
    </row>
    <row r="712" spans="1:11" x14ac:dyDescent="0.15">
      <c r="A712" s="7">
        <v>39235.564629629633</v>
      </c>
      <c r="B712">
        <v>38.200000000000003</v>
      </c>
      <c r="C712" s="6">
        <f t="shared" si="99"/>
        <v>1384.000000404194</v>
      </c>
      <c r="D712" t="str">
        <f t="shared" si="100"/>
        <v/>
      </c>
      <c r="E712">
        <f t="shared" si="98"/>
        <v>39235.564629629633</v>
      </c>
      <c r="F712" s="4">
        <f t="shared" si="101"/>
        <v>0.60000000000000142</v>
      </c>
      <c r="G712" s="4">
        <f t="shared" si="102"/>
        <v>0.30000000000000071</v>
      </c>
      <c r="H712" s="5">
        <f t="shared" si="103"/>
        <v>0.60000014025718118</v>
      </c>
      <c r="I712" s="14">
        <f t="shared" si="104"/>
        <v>109.50824010138754</v>
      </c>
      <c r="J712" s="19">
        <f t="shared" si="105"/>
        <v>994608.35816837777</v>
      </c>
      <c r="K712" s="16">
        <f t="shared" si="106"/>
        <v>0.98492653037479361</v>
      </c>
    </row>
    <row r="713" spans="1:11" x14ac:dyDescent="0.15">
      <c r="A713" s="7">
        <v>39235.564652777779</v>
      </c>
      <c r="B713">
        <v>38.200000000000003</v>
      </c>
      <c r="C713" s="6">
        <f t="shared" si="99"/>
        <v>1386.0000002430752</v>
      </c>
      <c r="D713" t="str">
        <f t="shared" si="100"/>
        <v/>
      </c>
      <c r="E713">
        <f t="shared" si="98"/>
        <v>39235.564652777779</v>
      </c>
      <c r="F713" s="4">
        <f t="shared" si="101"/>
        <v>0.60000000000000142</v>
      </c>
      <c r="G713" s="4">
        <f t="shared" si="102"/>
        <v>0.30000000000000071</v>
      </c>
      <c r="H713" s="5">
        <f t="shared" si="103"/>
        <v>0.59999995166435982</v>
      </c>
      <c r="I713" s="14">
        <f t="shared" si="104"/>
        <v>109.50820568061565</v>
      </c>
      <c r="J713" s="19">
        <f t="shared" si="105"/>
        <v>994717.86637405842</v>
      </c>
      <c r="K713" s="16">
        <f t="shared" si="106"/>
        <v>0.98503497259346462</v>
      </c>
    </row>
    <row r="714" spans="1:11" x14ac:dyDescent="0.15">
      <c r="A714" s="7">
        <v>39235.564675925925</v>
      </c>
      <c r="B714">
        <v>38.200000000000003</v>
      </c>
      <c r="C714" s="6">
        <f t="shared" si="99"/>
        <v>1388.0000000819564</v>
      </c>
      <c r="D714" t="str">
        <f t="shared" si="100"/>
        <v/>
      </c>
      <c r="E714">
        <f t="shared" si="98"/>
        <v>39235.564675925925</v>
      </c>
      <c r="F714" s="4">
        <f t="shared" si="101"/>
        <v>0.60000000000000142</v>
      </c>
      <c r="G714" s="4">
        <f t="shared" si="102"/>
        <v>0.30000000000000071</v>
      </c>
      <c r="H714" s="5">
        <f t="shared" si="103"/>
        <v>0.59999995166435982</v>
      </c>
      <c r="I714" s="14">
        <f t="shared" si="104"/>
        <v>109.50820568061565</v>
      </c>
      <c r="J714" s="19">
        <f t="shared" si="105"/>
        <v>994827.37457973906</v>
      </c>
      <c r="K714" s="16">
        <f t="shared" si="106"/>
        <v>0.98514341481213574</v>
      </c>
    </row>
    <row r="715" spans="1:11" x14ac:dyDescent="0.15">
      <c r="A715" s="7">
        <v>39235.564699074072</v>
      </c>
      <c r="B715">
        <v>38.200000000000003</v>
      </c>
      <c r="C715" s="6">
        <f t="shared" si="99"/>
        <v>1389.9999999208376</v>
      </c>
      <c r="D715" t="str">
        <f t="shared" si="100"/>
        <v/>
      </c>
      <c r="E715">
        <f t="shared" si="98"/>
        <v>39235.564699074072</v>
      </c>
      <c r="F715" s="4">
        <f t="shared" si="101"/>
        <v>0.60000000000000142</v>
      </c>
      <c r="G715" s="4">
        <f t="shared" si="102"/>
        <v>0.30000000000000071</v>
      </c>
      <c r="H715" s="5">
        <f t="shared" si="103"/>
        <v>0.59999995166435982</v>
      </c>
      <c r="I715" s="14">
        <f t="shared" si="104"/>
        <v>109.50820568061565</v>
      </c>
      <c r="J715" s="19">
        <f t="shared" si="105"/>
        <v>994936.8827854197</v>
      </c>
      <c r="K715" s="16">
        <f t="shared" si="106"/>
        <v>0.98525185703080687</v>
      </c>
    </row>
    <row r="716" spans="1:11" x14ac:dyDescent="0.15">
      <c r="A716" s="7">
        <v>39235.564722222225</v>
      </c>
      <c r="B716">
        <v>38.299999999999997</v>
      </c>
      <c r="C716" s="6">
        <f t="shared" si="99"/>
        <v>1392.0000003883615</v>
      </c>
      <c r="D716" t="str">
        <f t="shared" si="100"/>
        <v/>
      </c>
      <c r="E716">
        <f t="shared" si="98"/>
        <v>39235.564722222225</v>
      </c>
      <c r="F716" s="4">
        <f t="shared" si="101"/>
        <v>0.69999999999999574</v>
      </c>
      <c r="G716" s="4">
        <f t="shared" si="102"/>
        <v>0.34999999999999787</v>
      </c>
      <c r="H716" s="5">
        <f t="shared" si="103"/>
        <v>0.65000015194527661</v>
      </c>
      <c r="I716" s="14">
        <f t="shared" si="104"/>
        <v>118.63392677650262</v>
      </c>
      <c r="J716" s="19">
        <f t="shared" si="105"/>
        <v>995055.51671219617</v>
      </c>
      <c r="K716" s="16">
        <f t="shared" si="106"/>
        <v>0.98536933613796007</v>
      </c>
    </row>
    <row r="717" spans="1:11" x14ac:dyDescent="0.15">
      <c r="A717" s="7">
        <v>39235.564745370371</v>
      </c>
      <c r="B717">
        <v>38.1</v>
      </c>
      <c r="C717" s="6">
        <f t="shared" si="99"/>
        <v>1394.0000002272427</v>
      </c>
      <c r="D717" t="str">
        <f t="shared" si="100"/>
        <v/>
      </c>
      <c r="E717">
        <f t="shared" si="98"/>
        <v>39235.564745370371</v>
      </c>
      <c r="F717" s="4">
        <f t="shared" si="101"/>
        <v>0.5</v>
      </c>
      <c r="G717" s="4">
        <f t="shared" si="102"/>
        <v>0.25</v>
      </c>
      <c r="H717" s="5">
        <f t="shared" si="103"/>
        <v>0.59999995166435627</v>
      </c>
      <c r="I717" s="14">
        <f t="shared" si="104"/>
        <v>109.50820568061501</v>
      </c>
      <c r="J717" s="19">
        <f t="shared" si="105"/>
        <v>995165.02491787681</v>
      </c>
      <c r="K717" s="16">
        <f t="shared" si="106"/>
        <v>0.98547777835663108</v>
      </c>
    </row>
    <row r="718" spans="1:11" x14ac:dyDescent="0.15">
      <c r="A718" s="7">
        <v>39235.564768518518</v>
      </c>
      <c r="B718">
        <v>38.1</v>
      </c>
      <c r="C718" s="6">
        <f t="shared" si="99"/>
        <v>1396.0000000661239</v>
      </c>
      <c r="D718" t="str">
        <f t="shared" si="100"/>
        <v/>
      </c>
      <c r="E718">
        <f t="shared" si="98"/>
        <v>39235.564768518518</v>
      </c>
      <c r="F718" s="4">
        <f t="shared" si="101"/>
        <v>0.5</v>
      </c>
      <c r="G718" s="4">
        <f t="shared" si="102"/>
        <v>0.25</v>
      </c>
      <c r="H718" s="5">
        <f t="shared" si="103"/>
        <v>0.49999995972029865</v>
      </c>
      <c r="I718" s="14">
        <f t="shared" si="104"/>
        <v>91.256838067179487</v>
      </c>
      <c r="J718" s="19">
        <f t="shared" si="105"/>
        <v>995256.28175594402</v>
      </c>
      <c r="K718" s="16">
        <f t="shared" si="106"/>
        <v>0.98556814687219041</v>
      </c>
    </row>
    <row r="719" spans="1:11" x14ac:dyDescent="0.15">
      <c r="A719" s="7">
        <v>39235.564791666664</v>
      </c>
      <c r="B719">
        <v>38.200000000000003</v>
      </c>
      <c r="C719" s="6">
        <f t="shared" si="99"/>
        <v>1397.9999999050051</v>
      </c>
      <c r="D719" t="str">
        <f t="shared" si="100"/>
        <v/>
      </c>
      <c r="E719">
        <f t="shared" si="98"/>
        <v>39235.564791666664</v>
      </c>
      <c r="F719" s="4">
        <f t="shared" si="101"/>
        <v>0.60000000000000142</v>
      </c>
      <c r="G719" s="4">
        <f t="shared" si="102"/>
        <v>0.30000000000000071</v>
      </c>
      <c r="H719" s="5">
        <f t="shared" si="103"/>
        <v>0.54999995569232918</v>
      </c>
      <c r="I719" s="14">
        <f t="shared" si="104"/>
        <v>100.38252187389756</v>
      </c>
      <c r="J719" s="19">
        <f t="shared" si="105"/>
        <v>995356.66427781794</v>
      </c>
      <c r="K719" s="16">
        <f t="shared" si="106"/>
        <v>0.98566755223930558</v>
      </c>
    </row>
    <row r="720" spans="1:11" x14ac:dyDescent="0.15">
      <c r="A720" s="7">
        <v>39235.564814814818</v>
      </c>
      <c r="B720">
        <v>38.299999999999997</v>
      </c>
      <c r="C720" s="6">
        <f t="shared" si="99"/>
        <v>1400.000000372529</v>
      </c>
      <c r="D720" t="str">
        <f t="shared" si="100"/>
        <v/>
      </c>
      <c r="E720">
        <f t="shared" si="98"/>
        <v>39235.564814814818</v>
      </c>
      <c r="F720" s="4">
        <f t="shared" si="101"/>
        <v>0.69999999999999574</v>
      </c>
      <c r="G720" s="4">
        <f t="shared" si="102"/>
        <v>0.34999999999999787</v>
      </c>
      <c r="H720" s="5">
        <f t="shared" si="103"/>
        <v>0.65000015194527661</v>
      </c>
      <c r="I720" s="14">
        <f t="shared" si="104"/>
        <v>118.63392677650262</v>
      </c>
      <c r="J720" s="19">
        <f t="shared" si="105"/>
        <v>995475.29820459441</v>
      </c>
      <c r="K720" s="16">
        <f t="shared" si="106"/>
        <v>0.98578503134645867</v>
      </c>
    </row>
    <row r="721" spans="1:11" x14ac:dyDescent="0.15">
      <c r="A721" s="7">
        <v>39235.564837962964</v>
      </c>
      <c r="B721">
        <v>38.200000000000003</v>
      </c>
      <c r="C721" s="6">
        <f t="shared" si="99"/>
        <v>1402.0000002114102</v>
      </c>
      <c r="D721" t="str">
        <f t="shared" si="100"/>
        <v/>
      </c>
      <c r="E721">
        <f t="shared" si="98"/>
        <v>39235.564837962964</v>
      </c>
      <c r="F721" s="4">
        <f t="shared" si="101"/>
        <v>0.60000000000000142</v>
      </c>
      <c r="G721" s="4">
        <f t="shared" si="102"/>
        <v>0.30000000000000071</v>
      </c>
      <c r="H721" s="5">
        <f t="shared" si="103"/>
        <v>0.6499999476363868</v>
      </c>
      <c r="I721" s="14">
        <f t="shared" si="104"/>
        <v>118.63388948733308</v>
      </c>
      <c r="J721" s="19">
        <f t="shared" si="105"/>
        <v>995593.93209408177</v>
      </c>
      <c r="K721" s="16">
        <f t="shared" si="106"/>
        <v>0.98590251041668575</v>
      </c>
    </row>
    <row r="722" spans="1:11" x14ac:dyDescent="0.15">
      <c r="A722" s="7">
        <v>39235.56486111111</v>
      </c>
      <c r="B722">
        <v>38.200000000000003</v>
      </c>
      <c r="C722" s="6">
        <f t="shared" si="99"/>
        <v>1404.0000000502914</v>
      </c>
      <c r="D722" t="str">
        <f t="shared" si="100"/>
        <v/>
      </c>
      <c r="E722">
        <f t="shared" si="98"/>
        <v>39235.56486111111</v>
      </c>
      <c r="F722" s="4">
        <f t="shared" si="101"/>
        <v>0.60000000000000142</v>
      </c>
      <c r="G722" s="4">
        <f t="shared" si="102"/>
        <v>0.30000000000000071</v>
      </c>
      <c r="H722" s="5">
        <f t="shared" si="103"/>
        <v>0.59999995166435982</v>
      </c>
      <c r="I722" s="14">
        <f t="shared" si="104"/>
        <v>109.50820568061565</v>
      </c>
      <c r="J722" s="19">
        <f t="shared" si="105"/>
        <v>995703.44029976241</v>
      </c>
      <c r="K722" s="16">
        <f t="shared" si="106"/>
        <v>0.98601095263535687</v>
      </c>
    </row>
    <row r="723" spans="1:11" x14ac:dyDescent="0.15">
      <c r="A723" s="7">
        <v>39235.564884259256</v>
      </c>
      <c r="B723">
        <v>38.299999999999997</v>
      </c>
      <c r="C723" s="6">
        <f t="shared" si="99"/>
        <v>1405.9999998891726</v>
      </c>
      <c r="D723" t="str">
        <f t="shared" si="100"/>
        <v/>
      </c>
      <c r="E723">
        <f t="shared" si="98"/>
        <v>39235.564884259256</v>
      </c>
      <c r="F723" s="4">
        <f t="shared" si="101"/>
        <v>0.69999999999999574</v>
      </c>
      <c r="G723" s="4">
        <f t="shared" si="102"/>
        <v>0.34999999999999787</v>
      </c>
      <c r="H723" s="5">
        <f t="shared" si="103"/>
        <v>0.6499999476363868</v>
      </c>
      <c r="I723" s="14">
        <f t="shared" si="104"/>
        <v>118.63388948733308</v>
      </c>
      <c r="J723" s="19">
        <f t="shared" si="105"/>
        <v>995822.07418924978</v>
      </c>
      <c r="K723" s="16">
        <f t="shared" si="106"/>
        <v>0.98612843170558384</v>
      </c>
    </row>
    <row r="724" spans="1:11" x14ac:dyDescent="0.15">
      <c r="A724" s="7">
        <v>39235.56490740741</v>
      </c>
      <c r="B724">
        <v>38.299999999999997</v>
      </c>
      <c r="C724" s="6">
        <f t="shared" si="99"/>
        <v>1408.0000003566965</v>
      </c>
      <c r="D724" t="str">
        <f t="shared" si="100"/>
        <v/>
      </c>
      <c r="E724">
        <f t="shared" si="98"/>
        <v>39235.56490740741</v>
      </c>
      <c r="F724" s="4">
        <f t="shared" si="101"/>
        <v>0.69999999999999574</v>
      </c>
      <c r="G724" s="4">
        <f t="shared" si="102"/>
        <v>0.34999999999999787</v>
      </c>
      <c r="H724" s="5">
        <f t="shared" si="103"/>
        <v>0.70000016363337214</v>
      </c>
      <c r="I724" s="14">
        <f t="shared" si="104"/>
        <v>127.75961345161772</v>
      </c>
      <c r="J724" s="19">
        <f t="shared" si="105"/>
        <v>995949.83380270144</v>
      </c>
      <c r="K724" s="16">
        <f t="shared" si="106"/>
        <v>0.98625494766713351</v>
      </c>
    </row>
    <row r="725" spans="1:11" x14ac:dyDescent="0.15">
      <c r="A725" s="7">
        <v>39235.564930555556</v>
      </c>
      <c r="B725">
        <v>38.200000000000003</v>
      </c>
      <c r="C725" s="6">
        <f t="shared" si="99"/>
        <v>1410.0000001955777</v>
      </c>
      <c r="D725" t="str">
        <f t="shared" si="100"/>
        <v/>
      </c>
      <c r="E725">
        <f t="shared" ref="E725:E739" si="107">IF(B725-$B$6&gt;0,A725," ")</f>
        <v>39235.564930555556</v>
      </c>
      <c r="F725" s="4">
        <f t="shared" si="101"/>
        <v>0.60000000000000142</v>
      </c>
      <c r="G725" s="4">
        <f t="shared" si="102"/>
        <v>0.30000000000000071</v>
      </c>
      <c r="H725" s="5">
        <f t="shared" si="103"/>
        <v>0.6499999476363868</v>
      </c>
      <c r="I725" s="14">
        <f t="shared" si="104"/>
        <v>118.63388948733308</v>
      </c>
      <c r="J725" s="19">
        <f t="shared" si="105"/>
        <v>996068.4676921888</v>
      </c>
      <c r="K725" s="16">
        <f t="shared" si="106"/>
        <v>0.98637242673736059</v>
      </c>
    </row>
    <row r="726" spans="1:11" x14ac:dyDescent="0.15">
      <c r="A726" s="7">
        <v>39235.564953703702</v>
      </c>
      <c r="B726">
        <v>38.200000000000003</v>
      </c>
      <c r="C726" s="6">
        <f t="shared" si="99"/>
        <v>1412.0000000344589</v>
      </c>
      <c r="D726" t="str">
        <f t="shared" si="100"/>
        <v/>
      </c>
      <c r="E726">
        <f t="shared" si="107"/>
        <v>39235.564953703702</v>
      </c>
      <c r="F726" s="4">
        <f t="shared" si="101"/>
        <v>0.60000000000000142</v>
      </c>
      <c r="G726" s="4">
        <f t="shared" si="102"/>
        <v>0.30000000000000071</v>
      </c>
      <c r="H726" s="5">
        <f t="shared" si="103"/>
        <v>0.59999995166435982</v>
      </c>
      <c r="I726" s="14">
        <f t="shared" si="104"/>
        <v>109.50820568061565</v>
      </c>
      <c r="J726" s="19">
        <f t="shared" si="105"/>
        <v>996177.97589786944</v>
      </c>
      <c r="K726" s="16">
        <f t="shared" si="106"/>
        <v>0.9864808689560316</v>
      </c>
    </row>
    <row r="727" spans="1:11" x14ac:dyDescent="0.15">
      <c r="A727" s="7">
        <v>39235.564976851849</v>
      </c>
      <c r="B727">
        <v>38.1</v>
      </c>
      <c r="C727" s="6">
        <f t="shared" si="99"/>
        <v>1413.9999998733401</v>
      </c>
      <c r="D727" t="str">
        <f t="shared" si="100"/>
        <v/>
      </c>
      <c r="E727">
        <f t="shared" si="107"/>
        <v>39235.564976851849</v>
      </c>
      <c r="F727" s="4">
        <f t="shared" si="101"/>
        <v>0.5</v>
      </c>
      <c r="G727" s="4">
        <f t="shared" si="102"/>
        <v>0.25</v>
      </c>
      <c r="H727" s="5">
        <f t="shared" si="103"/>
        <v>0.54999995569232918</v>
      </c>
      <c r="I727" s="14">
        <f t="shared" si="104"/>
        <v>100.38252187389756</v>
      </c>
      <c r="J727" s="19">
        <f t="shared" si="105"/>
        <v>996278.35841974337</v>
      </c>
      <c r="K727" s="16">
        <f t="shared" si="106"/>
        <v>0.98658027432314688</v>
      </c>
    </row>
    <row r="728" spans="1:11" x14ac:dyDescent="0.15">
      <c r="A728" s="7">
        <v>39235.565000000002</v>
      </c>
      <c r="B728">
        <v>38.299999999999997</v>
      </c>
      <c r="C728" s="6">
        <f t="shared" si="99"/>
        <v>1416.0000003408641</v>
      </c>
      <c r="D728" t="str">
        <f t="shared" si="100"/>
        <v/>
      </c>
      <c r="E728">
        <f t="shared" si="107"/>
        <v>39235.565000000002</v>
      </c>
      <c r="F728" s="4">
        <f t="shared" si="101"/>
        <v>0.69999999999999574</v>
      </c>
      <c r="G728" s="4">
        <f t="shared" si="102"/>
        <v>0.34999999999999787</v>
      </c>
      <c r="H728" s="5">
        <f t="shared" si="103"/>
        <v>0.60000014025717763</v>
      </c>
      <c r="I728" s="14">
        <f t="shared" si="104"/>
        <v>109.50824010138689</v>
      </c>
      <c r="J728" s="19">
        <f t="shared" si="105"/>
        <v>996387.86665984476</v>
      </c>
      <c r="K728" s="16">
        <f t="shared" si="106"/>
        <v>0.98668871657590362</v>
      </c>
    </row>
    <row r="729" spans="1:11" x14ac:dyDescent="0.15">
      <c r="A729" s="7">
        <v>39235.565023148149</v>
      </c>
      <c r="B729">
        <v>38.200000000000003</v>
      </c>
      <c r="C729" s="6">
        <f t="shared" si="99"/>
        <v>1418.0000001797453</v>
      </c>
      <c r="D729" t="str">
        <f t="shared" si="100"/>
        <v/>
      </c>
      <c r="E729">
        <f t="shared" si="107"/>
        <v>39235.565023148149</v>
      </c>
      <c r="F729" s="4">
        <f t="shared" si="101"/>
        <v>0.60000000000000142</v>
      </c>
      <c r="G729" s="4">
        <f t="shared" si="102"/>
        <v>0.30000000000000071</v>
      </c>
      <c r="H729" s="5">
        <f t="shared" si="103"/>
        <v>0.6499999476363868</v>
      </c>
      <c r="I729" s="14">
        <f t="shared" si="104"/>
        <v>118.63388948733308</v>
      </c>
      <c r="J729" s="19">
        <f t="shared" si="105"/>
        <v>996506.50054933212</v>
      </c>
      <c r="K729" s="16">
        <f t="shared" si="106"/>
        <v>0.9868061956461307</v>
      </c>
    </row>
    <row r="730" spans="1:11" x14ac:dyDescent="0.15">
      <c r="A730" s="7">
        <v>39235.565046296295</v>
      </c>
      <c r="B730">
        <v>38.1</v>
      </c>
      <c r="C730" s="6">
        <f t="shared" si="99"/>
        <v>1420.0000000186265</v>
      </c>
      <c r="D730" t="str">
        <f t="shared" si="100"/>
        <v/>
      </c>
      <c r="E730">
        <f t="shared" si="107"/>
        <v>39235.565046296295</v>
      </c>
      <c r="F730" s="4">
        <f t="shared" si="101"/>
        <v>0.5</v>
      </c>
      <c r="G730" s="4">
        <f t="shared" si="102"/>
        <v>0.25</v>
      </c>
      <c r="H730" s="5">
        <f t="shared" si="103"/>
        <v>0.54999995569232918</v>
      </c>
      <c r="I730" s="14">
        <f t="shared" si="104"/>
        <v>100.38252187389756</v>
      </c>
      <c r="J730" s="19">
        <f t="shared" si="105"/>
        <v>996606.88307120604</v>
      </c>
      <c r="K730" s="16">
        <f t="shared" si="106"/>
        <v>0.98690560101324587</v>
      </c>
    </row>
    <row r="731" spans="1:11" x14ac:dyDescent="0.15">
      <c r="A731" s="7">
        <v>39235.565069444441</v>
      </c>
      <c r="B731">
        <v>38.200000000000003</v>
      </c>
      <c r="C731" s="6">
        <f t="shared" si="99"/>
        <v>1421.9999998575076</v>
      </c>
      <c r="D731" t="str">
        <f t="shared" si="100"/>
        <v/>
      </c>
      <c r="E731">
        <f t="shared" si="107"/>
        <v>39235.565069444441</v>
      </c>
      <c r="F731" s="4">
        <f t="shared" si="101"/>
        <v>0.60000000000000142</v>
      </c>
      <c r="G731" s="4">
        <f t="shared" si="102"/>
        <v>0.30000000000000071</v>
      </c>
      <c r="H731" s="5">
        <f t="shared" si="103"/>
        <v>0.54999995569232918</v>
      </c>
      <c r="I731" s="14">
        <f t="shared" si="104"/>
        <v>100.38252187389756</v>
      </c>
      <c r="J731" s="19">
        <f t="shared" si="105"/>
        <v>996707.26559307997</v>
      </c>
      <c r="K731" s="16">
        <f t="shared" si="106"/>
        <v>0.98700500638036104</v>
      </c>
    </row>
    <row r="732" spans="1:11" x14ac:dyDescent="0.15">
      <c r="A732" s="7">
        <v>39235.565092592595</v>
      </c>
      <c r="B732">
        <v>38.200000000000003</v>
      </c>
      <c r="C732" s="6">
        <f t="shared" si="99"/>
        <v>1424.0000003250316</v>
      </c>
      <c r="D732" t="str">
        <f t="shared" si="100"/>
        <v/>
      </c>
      <c r="E732">
        <f t="shared" si="107"/>
        <v>39235.565092592595</v>
      </c>
      <c r="F732" s="4">
        <f t="shared" si="101"/>
        <v>0.60000000000000142</v>
      </c>
      <c r="G732" s="4">
        <f t="shared" si="102"/>
        <v>0.30000000000000071</v>
      </c>
      <c r="H732" s="5">
        <f t="shared" si="103"/>
        <v>0.60000014025718118</v>
      </c>
      <c r="I732" s="14">
        <f t="shared" si="104"/>
        <v>109.50824010138754</v>
      </c>
      <c r="J732" s="19">
        <f t="shared" si="105"/>
        <v>996816.77383318136</v>
      </c>
      <c r="K732" s="16">
        <f t="shared" si="106"/>
        <v>0.98711344863311778</v>
      </c>
    </row>
    <row r="733" spans="1:11" x14ac:dyDescent="0.15">
      <c r="A733" s="7">
        <v>39235.565115740741</v>
      </c>
      <c r="B733">
        <v>38.200000000000003</v>
      </c>
      <c r="C733" s="6">
        <f t="shared" si="99"/>
        <v>1426.0000001639128</v>
      </c>
      <c r="D733" t="str">
        <f t="shared" si="100"/>
        <v/>
      </c>
      <c r="E733">
        <f t="shared" si="107"/>
        <v>39235.565115740741</v>
      </c>
      <c r="F733" s="4">
        <f t="shared" si="101"/>
        <v>0.60000000000000142</v>
      </c>
      <c r="G733" s="4">
        <f t="shared" si="102"/>
        <v>0.30000000000000071</v>
      </c>
      <c r="H733" s="5">
        <f t="shared" si="103"/>
        <v>0.59999995166435982</v>
      </c>
      <c r="I733" s="14">
        <f t="shared" si="104"/>
        <v>109.50820568061565</v>
      </c>
      <c r="J733" s="19">
        <f t="shared" si="105"/>
        <v>996926.282038862</v>
      </c>
      <c r="K733" s="16">
        <f t="shared" si="106"/>
        <v>0.98722189085178891</v>
      </c>
    </row>
    <row r="734" spans="1:11" x14ac:dyDescent="0.15">
      <c r="A734" s="7">
        <v>39235.565138888887</v>
      </c>
      <c r="B734">
        <v>38.200000000000003</v>
      </c>
      <c r="C734" s="6">
        <f t="shared" si="99"/>
        <v>1428.000000002794</v>
      </c>
      <c r="D734" t="str">
        <f t="shared" si="100"/>
        <v/>
      </c>
      <c r="E734">
        <f t="shared" si="107"/>
        <v>39235.565138888887</v>
      </c>
      <c r="F734" s="4">
        <f t="shared" si="101"/>
        <v>0.60000000000000142</v>
      </c>
      <c r="G734" s="4">
        <f t="shared" si="102"/>
        <v>0.30000000000000071</v>
      </c>
      <c r="H734" s="5">
        <f t="shared" si="103"/>
        <v>0.59999995166435982</v>
      </c>
      <c r="I734" s="14">
        <f t="shared" si="104"/>
        <v>109.50820568061565</v>
      </c>
      <c r="J734" s="19">
        <f t="shared" si="105"/>
        <v>997035.79024454264</v>
      </c>
      <c r="K734" s="16">
        <f t="shared" si="106"/>
        <v>0.98733033307046003</v>
      </c>
    </row>
    <row r="735" spans="1:11" x14ac:dyDescent="0.15">
      <c r="A735" s="7">
        <v>39235.565162037034</v>
      </c>
      <c r="B735">
        <v>38.200000000000003</v>
      </c>
      <c r="C735" s="6">
        <f t="shared" si="99"/>
        <v>1429.9999998416752</v>
      </c>
      <c r="D735" t="str">
        <f t="shared" si="100"/>
        <v/>
      </c>
      <c r="E735">
        <f t="shared" si="107"/>
        <v>39235.565162037034</v>
      </c>
      <c r="F735" s="4">
        <f t="shared" si="101"/>
        <v>0.60000000000000142</v>
      </c>
      <c r="G735" s="4">
        <f t="shared" si="102"/>
        <v>0.30000000000000071</v>
      </c>
      <c r="H735" s="5">
        <f t="shared" si="103"/>
        <v>0.59999995166435982</v>
      </c>
      <c r="I735" s="14">
        <f t="shared" si="104"/>
        <v>109.50820568061565</v>
      </c>
      <c r="J735" s="19">
        <f t="shared" si="105"/>
        <v>997145.29845022329</v>
      </c>
      <c r="K735" s="16">
        <f t="shared" si="106"/>
        <v>0.98743877528913115</v>
      </c>
    </row>
    <row r="736" spans="1:11" x14ac:dyDescent="0.15">
      <c r="A736" s="7">
        <v>39235.565185185187</v>
      </c>
      <c r="B736">
        <v>38.200000000000003</v>
      </c>
      <c r="C736" s="6">
        <f t="shared" si="99"/>
        <v>1432.0000003091991</v>
      </c>
      <c r="D736" t="str">
        <f t="shared" si="100"/>
        <v/>
      </c>
      <c r="E736">
        <f t="shared" si="107"/>
        <v>39235.565185185187</v>
      </c>
      <c r="F736" s="4">
        <f t="shared" si="101"/>
        <v>0.60000000000000142</v>
      </c>
      <c r="G736" s="4">
        <f t="shared" si="102"/>
        <v>0.30000000000000071</v>
      </c>
      <c r="H736" s="5">
        <f t="shared" si="103"/>
        <v>0.60000014025718118</v>
      </c>
      <c r="I736" s="14">
        <f t="shared" si="104"/>
        <v>109.50824010138754</v>
      </c>
      <c r="J736" s="19">
        <f t="shared" si="105"/>
        <v>997254.80669032468</v>
      </c>
      <c r="K736" s="16">
        <f t="shared" si="106"/>
        <v>0.9875472175418879</v>
      </c>
    </row>
    <row r="737" spans="1:11" x14ac:dyDescent="0.15">
      <c r="A737" s="7">
        <v>39235.565208333333</v>
      </c>
      <c r="B737">
        <v>38.1</v>
      </c>
      <c r="C737" s="6">
        <f t="shared" si="99"/>
        <v>1434.0000001480803</v>
      </c>
      <c r="D737" t="str">
        <f t="shared" si="100"/>
        <v/>
      </c>
      <c r="E737">
        <f t="shared" si="107"/>
        <v>39235.565208333333</v>
      </c>
      <c r="F737" s="4">
        <f t="shared" si="101"/>
        <v>0.5</v>
      </c>
      <c r="G737" s="4">
        <f t="shared" si="102"/>
        <v>0.25</v>
      </c>
      <c r="H737" s="5">
        <f t="shared" si="103"/>
        <v>0.54999995569232918</v>
      </c>
      <c r="I737" s="14">
        <f t="shared" si="104"/>
        <v>100.38252187389756</v>
      </c>
      <c r="J737" s="19">
        <f t="shared" si="105"/>
        <v>997355.1892121986</v>
      </c>
      <c r="K737" s="16">
        <f t="shared" si="106"/>
        <v>0.98764662290900307</v>
      </c>
    </row>
    <row r="738" spans="1:11" x14ac:dyDescent="0.15">
      <c r="A738" s="7">
        <v>39235.56523148148</v>
      </c>
      <c r="B738">
        <v>38.1</v>
      </c>
      <c r="C738" s="6">
        <f t="shared" si="99"/>
        <v>1435.9999999869615</v>
      </c>
      <c r="D738" t="str">
        <f t="shared" si="100"/>
        <v/>
      </c>
      <c r="E738">
        <f t="shared" si="107"/>
        <v>39235.56523148148</v>
      </c>
      <c r="F738" s="4">
        <f t="shared" si="101"/>
        <v>0.5</v>
      </c>
      <c r="G738" s="4">
        <f t="shared" si="102"/>
        <v>0.25</v>
      </c>
      <c r="H738" s="5">
        <f t="shared" si="103"/>
        <v>0.49999995972029865</v>
      </c>
      <c r="I738" s="14">
        <f t="shared" si="104"/>
        <v>91.256838067179487</v>
      </c>
      <c r="J738" s="19">
        <f t="shared" si="105"/>
        <v>997446.4460502658</v>
      </c>
      <c r="K738" s="16">
        <f t="shared" si="106"/>
        <v>0.98773699142456239</v>
      </c>
    </row>
    <row r="739" spans="1:11" x14ac:dyDescent="0.15">
      <c r="A739" s="7">
        <v>39235.565254629626</v>
      </c>
      <c r="B739">
        <v>38.200000000000003</v>
      </c>
      <c r="C739" s="6">
        <f t="shared" si="99"/>
        <v>1437.9999998258427</v>
      </c>
      <c r="D739" t="str">
        <f t="shared" si="100"/>
        <v/>
      </c>
      <c r="E739">
        <f t="shared" si="107"/>
        <v>39235.565254629626</v>
      </c>
      <c r="F739" s="4">
        <f t="shared" si="101"/>
        <v>0.60000000000000142</v>
      </c>
      <c r="G739" s="4">
        <f t="shared" si="102"/>
        <v>0.30000000000000071</v>
      </c>
      <c r="H739" s="5">
        <f t="shared" si="103"/>
        <v>0.54999995569232918</v>
      </c>
      <c r="I739" s="14">
        <f t="shared" si="104"/>
        <v>100.38252187389756</v>
      </c>
      <c r="J739" s="19">
        <f t="shared" si="105"/>
        <v>997546.82857213973</v>
      </c>
      <c r="K739" s="16">
        <f t="shared" si="106"/>
        <v>0.98783639679167756</v>
      </c>
    </row>
    <row r="740" spans="1:11" x14ac:dyDescent="0.15">
      <c r="A740" s="7">
        <v>39235.56527777778</v>
      </c>
      <c r="B740">
        <v>38.200000000000003</v>
      </c>
      <c r="C740" s="6">
        <f t="shared" ref="C740:C803" si="108">(A740-$B$4)*24*60*60</f>
        <v>1440.0000002933666</v>
      </c>
      <c r="D740" t="str">
        <f t="shared" ref="D740:D803" si="109">IF(F740=$B$8,A740,"")</f>
        <v/>
      </c>
      <c r="E740">
        <f t="shared" ref="E740:E803" si="110">IF(B740-$B$6&gt;0,A740," ")</f>
        <v>39235.56527777778</v>
      </c>
      <c r="F740" s="4">
        <f t="shared" ref="F740:F803" si="111">IF((B740-$B$6)&gt;0,B740-$B$6,0)</f>
        <v>0.60000000000000142</v>
      </c>
      <c r="G740" s="4">
        <f t="shared" ref="G740:G803" si="112">F740/2</f>
        <v>0.30000000000000071</v>
      </c>
      <c r="H740" s="5">
        <f t="shared" ref="H740:H803" si="113">AVERAGE(G739:G740)*(C740-C739)</f>
        <v>0.60000014025718118</v>
      </c>
      <c r="I740" s="14">
        <f t="shared" ref="I740:I803" si="114">H740*$B$14</f>
        <v>109.50824010138754</v>
      </c>
      <c r="J740" s="19">
        <f t="shared" ref="J740:J803" si="115">J739+I740</f>
        <v>997656.33681224112</v>
      </c>
      <c r="K740" s="16">
        <f t="shared" ref="K740:K803" si="116">J740/($B$12*1000)</f>
        <v>0.98794483904443431</v>
      </c>
    </row>
    <row r="741" spans="1:11" x14ac:dyDescent="0.15">
      <c r="A741" s="7">
        <v>39235.565300925926</v>
      </c>
      <c r="B741">
        <v>38.200000000000003</v>
      </c>
      <c r="C741" s="6">
        <f t="shared" si="108"/>
        <v>1442.0000001322478</v>
      </c>
      <c r="D741" t="str">
        <f t="shared" si="109"/>
        <v/>
      </c>
      <c r="E741">
        <f t="shared" si="110"/>
        <v>39235.565300925926</v>
      </c>
      <c r="F741" s="4">
        <f t="shared" si="111"/>
        <v>0.60000000000000142</v>
      </c>
      <c r="G741" s="4">
        <f t="shared" si="112"/>
        <v>0.30000000000000071</v>
      </c>
      <c r="H741" s="5">
        <f t="shared" si="113"/>
        <v>0.59999995166435982</v>
      </c>
      <c r="I741" s="14">
        <f t="shared" si="114"/>
        <v>109.50820568061565</v>
      </c>
      <c r="J741" s="19">
        <f t="shared" si="115"/>
        <v>997765.84501792176</v>
      </c>
      <c r="K741" s="16">
        <f t="shared" si="116"/>
        <v>0.98805328126310543</v>
      </c>
    </row>
    <row r="742" spans="1:11" x14ac:dyDescent="0.15">
      <c r="A742" s="7">
        <v>39235.565324074072</v>
      </c>
      <c r="B742">
        <v>38.200000000000003</v>
      </c>
      <c r="C742" s="6">
        <f t="shared" si="108"/>
        <v>1443.999999971129</v>
      </c>
      <c r="D742" t="str">
        <f t="shared" si="109"/>
        <v/>
      </c>
      <c r="E742">
        <f t="shared" si="110"/>
        <v>39235.565324074072</v>
      </c>
      <c r="F742" s="4">
        <f t="shared" si="111"/>
        <v>0.60000000000000142</v>
      </c>
      <c r="G742" s="4">
        <f t="shared" si="112"/>
        <v>0.30000000000000071</v>
      </c>
      <c r="H742" s="5">
        <f t="shared" si="113"/>
        <v>0.59999995166435982</v>
      </c>
      <c r="I742" s="14">
        <f t="shared" si="114"/>
        <v>109.50820568061565</v>
      </c>
      <c r="J742" s="19">
        <f t="shared" si="115"/>
        <v>997875.3532236024</v>
      </c>
      <c r="K742" s="16">
        <f t="shared" si="116"/>
        <v>0.98816172348177655</v>
      </c>
    </row>
    <row r="743" spans="1:11" x14ac:dyDescent="0.15">
      <c r="A743" s="7">
        <v>39235.565347222226</v>
      </c>
      <c r="B743">
        <v>38.1</v>
      </c>
      <c r="C743" s="6">
        <f t="shared" si="108"/>
        <v>1446.0000004386529</v>
      </c>
      <c r="D743" t="str">
        <f t="shared" si="109"/>
        <v/>
      </c>
      <c r="E743">
        <f t="shared" si="110"/>
        <v>39235.565347222226</v>
      </c>
      <c r="F743" s="4">
        <f t="shared" si="111"/>
        <v>0.5</v>
      </c>
      <c r="G743" s="4">
        <f t="shared" si="112"/>
        <v>0.25</v>
      </c>
      <c r="H743" s="5">
        <f t="shared" si="113"/>
        <v>0.55000012856908209</v>
      </c>
      <c r="I743" s="14">
        <f t="shared" si="114"/>
        <v>100.3825534262718</v>
      </c>
      <c r="J743" s="19">
        <f t="shared" si="115"/>
        <v>997975.73577702872</v>
      </c>
      <c r="K743" s="16">
        <f t="shared" si="116"/>
        <v>0.98826112888013695</v>
      </c>
    </row>
    <row r="744" spans="1:11" x14ac:dyDescent="0.15">
      <c r="A744" s="7">
        <v>39235.565370370372</v>
      </c>
      <c r="B744">
        <v>38.1</v>
      </c>
      <c r="C744" s="6">
        <f t="shared" si="108"/>
        <v>1448.0000002775341</v>
      </c>
      <c r="D744" t="str">
        <f t="shared" si="109"/>
        <v/>
      </c>
      <c r="E744">
        <f t="shared" si="110"/>
        <v>39235.565370370372</v>
      </c>
      <c r="F744" s="4">
        <f t="shared" si="111"/>
        <v>0.5</v>
      </c>
      <c r="G744" s="4">
        <f t="shared" si="112"/>
        <v>0.25</v>
      </c>
      <c r="H744" s="5">
        <f t="shared" si="113"/>
        <v>0.49999995972029865</v>
      </c>
      <c r="I744" s="14">
        <f t="shared" si="114"/>
        <v>91.256838067179487</v>
      </c>
      <c r="J744" s="19">
        <f t="shared" si="115"/>
        <v>998066.99261509592</v>
      </c>
      <c r="K744" s="16">
        <f t="shared" si="116"/>
        <v>0.98835149739569628</v>
      </c>
    </row>
    <row r="745" spans="1:11" x14ac:dyDescent="0.15">
      <c r="A745" s="7">
        <v>39235.565393518518</v>
      </c>
      <c r="B745">
        <v>38.200000000000003</v>
      </c>
      <c r="C745" s="6">
        <f t="shared" si="108"/>
        <v>1450.0000001164153</v>
      </c>
      <c r="D745" t="str">
        <f t="shared" si="109"/>
        <v/>
      </c>
      <c r="E745">
        <f t="shared" si="110"/>
        <v>39235.565393518518</v>
      </c>
      <c r="F745" s="4">
        <f t="shared" si="111"/>
        <v>0.60000000000000142</v>
      </c>
      <c r="G745" s="4">
        <f t="shared" si="112"/>
        <v>0.30000000000000071</v>
      </c>
      <c r="H745" s="5">
        <f t="shared" si="113"/>
        <v>0.54999995569232918</v>
      </c>
      <c r="I745" s="14">
        <f t="shared" si="114"/>
        <v>100.38252187389756</v>
      </c>
      <c r="J745" s="19">
        <f t="shared" si="115"/>
        <v>998167.37513696984</v>
      </c>
      <c r="K745" s="16">
        <f t="shared" si="116"/>
        <v>0.98845090276281145</v>
      </c>
    </row>
    <row r="746" spans="1:11" x14ac:dyDescent="0.15">
      <c r="A746" s="7">
        <v>39235.565416666665</v>
      </c>
      <c r="B746">
        <v>38.1</v>
      </c>
      <c r="C746" s="6">
        <f t="shared" si="108"/>
        <v>1451.9999999552965</v>
      </c>
      <c r="D746" t="str">
        <f t="shared" si="109"/>
        <v/>
      </c>
      <c r="E746">
        <f t="shared" si="110"/>
        <v>39235.565416666665</v>
      </c>
      <c r="F746" s="4">
        <f t="shared" si="111"/>
        <v>0.5</v>
      </c>
      <c r="G746" s="4">
        <f t="shared" si="112"/>
        <v>0.25</v>
      </c>
      <c r="H746" s="5">
        <f t="shared" si="113"/>
        <v>0.54999995569232918</v>
      </c>
      <c r="I746" s="14">
        <f t="shared" si="114"/>
        <v>100.38252187389756</v>
      </c>
      <c r="J746" s="19">
        <f t="shared" si="115"/>
        <v>998267.75765884377</v>
      </c>
      <c r="K746" s="16">
        <f t="shared" si="116"/>
        <v>0.98855030812992661</v>
      </c>
    </row>
    <row r="747" spans="1:11" x14ac:dyDescent="0.15">
      <c r="A747" s="7">
        <v>39235.565439814818</v>
      </c>
      <c r="B747">
        <v>38.299999999999997</v>
      </c>
      <c r="C747" s="6">
        <f t="shared" si="108"/>
        <v>1454.0000004228204</v>
      </c>
      <c r="D747" t="str">
        <f t="shared" si="109"/>
        <v/>
      </c>
      <c r="E747">
        <f t="shared" si="110"/>
        <v>39235.565439814818</v>
      </c>
      <c r="F747" s="4">
        <f t="shared" si="111"/>
        <v>0.69999999999999574</v>
      </c>
      <c r="G747" s="4">
        <f t="shared" si="112"/>
        <v>0.34999999999999787</v>
      </c>
      <c r="H747" s="5">
        <f t="shared" si="113"/>
        <v>0.60000014025717763</v>
      </c>
      <c r="I747" s="14">
        <f t="shared" si="114"/>
        <v>109.50824010138689</v>
      </c>
      <c r="J747" s="19">
        <f t="shared" si="115"/>
        <v>998377.26589894516</v>
      </c>
      <c r="K747" s="16">
        <f t="shared" si="116"/>
        <v>0.98865875038268336</v>
      </c>
    </row>
    <row r="748" spans="1:11" x14ac:dyDescent="0.15">
      <c r="A748" s="7">
        <v>39235.565462962964</v>
      </c>
      <c r="B748">
        <v>38.1</v>
      </c>
      <c r="C748" s="6">
        <f t="shared" si="108"/>
        <v>1456.0000002617016</v>
      </c>
      <c r="D748" t="str">
        <f t="shared" si="109"/>
        <v/>
      </c>
      <c r="E748">
        <f t="shared" si="110"/>
        <v>39235.565462962964</v>
      </c>
      <c r="F748" s="4">
        <f t="shared" si="111"/>
        <v>0.5</v>
      </c>
      <c r="G748" s="4">
        <f t="shared" si="112"/>
        <v>0.25</v>
      </c>
      <c r="H748" s="5">
        <f t="shared" si="113"/>
        <v>0.59999995166435627</v>
      </c>
      <c r="I748" s="14">
        <f t="shared" si="114"/>
        <v>109.50820568061501</v>
      </c>
      <c r="J748" s="19">
        <f t="shared" si="115"/>
        <v>998486.7741046258</v>
      </c>
      <c r="K748" s="16">
        <f t="shared" si="116"/>
        <v>0.98876719260135448</v>
      </c>
    </row>
    <row r="749" spans="1:11" x14ac:dyDescent="0.15">
      <c r="A749" s="7">
        <v>39235.565486111111</v>
      </c>
      <c r="B749">
        <v>38.200000000000003</v>
      </c>
      <c r="C749" s="6">
        <f t="shared" si="108"/>
        <v>1458.0000001005828</v>
      </c>
      <c r="D749" t="str">
        <f t="shared" si="109"/>
        <v/>
      </c>
      <c r="E749">
        <f t="shared" si="110"/>
        <v>39235.565486111111</v>
      </c>
      <c r="F749" s="4">
        <f t="shared" si="111"/>
        <v>0.60000000000000142</v>
      </c>
      <c r="G749" s="4">
        <f t="shared" si="112"/>
        <v>0.30000000000000071</v>
      </c>
      <c r="H749" s="5">
        <f t="shared" si="113"/>
        <v>0.54999995569232918</v>
      </c>
      <c r="I749" s="14">
        <f t="shared" si="114"/>
        <v>100.38252187389756</v>
      </c>
      <c r="J749" s="19">
        <f t="shared" si="115"/>
        <v>998587.15662649972</v>
      </c>
      <c r="K749" s="16">
        <f t="shared" si="116"/>
        <v>0.98886659796846965</v>
      </c>
    </row>
    <row r="750" spans="1:11" x14ac:dyDescent="0.15">
      <c r="A750" s="7">
        <v>39235.565509259257</v>
      </c>
      <c r="B750">
        <v>38.299999999999997</v>
      </c>
      <c r="C750" s="6">
        <f t="shared" si="108"/>
        <v>1459.999999939464</v>
      </c>
      <c r="D750" t="str">
        <f t="shared" si="109"/>
        <v/>
      </c>
      <c r="E750">
        <f t="shared" si="110"/>
        <v>39235.565509259257</v>
      </c>
      <c r="F750" s="4">
        <f t="shared" si="111"/>
        <v>0.69999999999999574</v>
      </c>
      <c r="G750" s="4">
        <f t="shared" si="112"/>
        <v>0.34999999999999787</v>
      </c>
      <c r="H750" s="5">
        <f t="shared" si="113"/>
        <v>0.6499999476363868</v>
      </c>
      <c r="I750" s="14">
        <f t="shared" si="114"/>
        <v>118.63388948733308</v>
      </c>
      <c r="J750" s="19">
        <f t="shared" si="115"/>
        <v>998705.79051598709</v>
      </c>
      <c r="K750" s="16">
        <f t="shared" si="116"/>
        <v>0.98898407703869673</v>
      </c>
    </row>
    <row r="751" spans="1:11" x14ac:dyDescent="0.15">
      <c r="A751" s="7">
        <v>39235.565532407411</v>
      </c>
      <c r="B751">
        <v>38.299999999999997</v>
      </c>
      <c r="C751" s="6">
        <f t="shared" si="108"/>
        <v>1462.000000406988</v>
      </c>
      <c r="D751" t="str">
        <f t="shared" si="109"/>
        <v/>
      </c>
      <c r="E751">
        <f t="shared" si="110"/>
        <v>39235.565532407411</v>
      </c>
      <c r="F751" s="4">
        <f t="shared" si="111"/>
        <v>0.69999999999999574</v>
      </c>
      <c r="G751" s="4">
        <f t="shared" si="112"/>
        <v>0.34999999999999787</v>
      </c>
      <c r="H751" s="5">
        <f t="shared" si="113"/>
        <v>0.70000016363337214</v>
      </c>
      <c r="I751" s="14">
        <f t="shared" si="114"/>
        <v>127.75961345161772</v>
      </c>
      <c r="J751" s="19">
        <f t="shared" si="115"/>
        <v>998833.55012943875</v>
      </c>
      <c r="K751" s="16">
        <f t="shared" si="116"/>
        <v>0.98911059300024629</v>
      </c>
    </row>
    <row r="752" spans="1:11" x14ac:dyDescent="0.15">
      <c r="A752" s="7">
        <v>39235.565555555557</v>
      </c>
      <c r="B752">
        <v>38.299999999999997</v>
      </c>
      <c r="C752" s="6">
        <f t="shared" si="108"/>
        <v>1464.0000002458692</v>
      </c>
      <c r="D752" t="str">
        <f t="shared" si="109"/>
        <v/>
      </c>
      <c r="E752">
        <f t="shared" si="110"/>
        <v>39235.565555555557</v>
      </c>
      <c r="F752" s="4">
        <f t="shared" si="111"/>
        <v>0.69999999999999574</v>
      </c>
      <c r="G752" s="4">
        <f t="shared" si="112"/>
        <v>0.34999999999999787</v>
      </c>
      <c r="H752" s="5">
        <f t="shared" si="113"/>
        <v>0.69999994360841389</v>
      </c>
      <c r="I752" s="14">
        <f t="shared" si="114"/>
        <v>127.75957329405051</v>
      </c>
      <c r="J752" s="19">
        <f t="shared" si="115"/>
        <v>998961.30970273283</v>
      </c>
      <c r="K752" s="16">
        <f t="shared" si="116"/>
        <v>0.98923710892202932</v>
      </c>
    </row>
    <row r="753" spans="1:11" x14ac:dyDescent="0.15">
      <c r="A753" s="7">
        <v>39235.565578703703</v>
      </c>
      <c r="B753">
        <v>38.299999999999997</v>
      </c>
      <c r="C753" s="6">
        <f t="shared" si="108"/>
        <v>1466.0000000847504</v>
      </c>
      <c r="D753" t="str">
        <f t="shared" si="109"/>
        <v/>
      </c>
      <c r="E753">
        <f t="shared" si="110"/>
        <v>39235.565578703703</v>
      </c>
      <c r="F753" s="4">
        <f t="shared" si="111"/>
        <v>0.69999999999999574</v>
      </c>
      <c r="G753" s="4">
        <f t="shared" si="112"/>
        <v>0.34999999999999787</v>
      </c>
      <c r="H753" s="5">
        <f t="shared" si="113"/>
        <v>0.69999994360841389</v>
      </c>
      <c r="I753" s="14">
        <f t="shared" si="114"/>
        <v>127.75957329405051</v>
      </c>
      <c r="J753" s="19">
        <f t="shared" si="115"/>
        <v>999089.06927602692</v>
      </c>
      <c r="K753" s="16">
        <f t="shared" si="116"/>
        <v>0.98936362484381224</v>
      </c>
    </row>
    <row r="754" spans="1:11" x14ac:dyDescent="0.15">
      <c r="A754" s="7">
        <v>39235.565601851849</v>
      </c>
      <c r="B754">
        <v>38.299999999999997</v>
      </c>
      <c r="C754" s="6">
        <f t="shared" si="108"/>
        <v>1467.9999999236315</v>
      </c>
      <c r="D754" t="str">
        <f t="shared" si="109"/>
        <v/>
      </c>
      <c r="E754">
        <f t="shared" si="110"/>
        <v>39235.565601851849</v>
      </c>
      <c r="F754" s="4">
        <f t="shared" si="111"/>
        <v>0.69999999999999574</v>
      </c>
      <c r="G754" s="4">
        <f t="shared" si="112"/>
        <v>0.34999999999999787</v>
      </c>
      <c r="H754" s="5">
        <f t="shared" si="113"/>
        <v>0.69999994360841389</v>
      </c>
      <c r="I754" s="14">
        <f t="shared" si="114"/>
        <v>127.75957329405051</v>
      </c>
      <c r="J754" s="19">
        <f t="shared" si="115"/>
        <v>999216.828849321</v>
      </c>
      <c r="K754" s="16">
        <f t="shared" si="116"/>
        <v>0.98949014076559516</v>
      </c>
    </row>
    <row r="755" spans="1:11" x14ac:dyDescent="0.15">
      <c r="A755" s="7">
        <v>39235.565625000003</v>
      </c>
      <c r="B755">
        <v>38.299999999999997</v>
      </c>
      <c r="C755" s="6">
        <f t="shared" si="108"/>
        <v>1470.0000003911555</v>
      </c>
      <c r="D755" t="str">
        <f t="shared" si="109"/>
        <v/>
      </c>
      <c r="E755">
        <f t="shared" si="110"/>
        <v>39235.565625000003</v>
      </c>
      <c r="F755" s="4">
        <f t="shared" si="111"/>
        <v>0.69999999999999574</v>
      </c>
      <c r="G755" s="4">
        <f t="shared" si="112"/>
        <v>0.34999999999999787</v>
      </c>
      <c r="H755" s="5">
        <f t="shared" si="113"/>
        <v>0.70000016363337214</v>
      </c>
      <c r="I755" s="14">
        <f t="shared" si="114"/>
        <v>127.75961345161772</v>
      </c>
      <c r="J755" s="19">
        <f t="shared" si="115"/>
        <v>999344.58846277266</v>
      </c>
      <c r="K755" s="16">
        <f t="shared" si="116"/>
        <v>0.98961665672714483</v>
      </c>
    </row>
    <row r="756" spans="1:11" x14ac:dyDescent="0.15">
      <c r="A756" s="7">
        <v>39235.565648148149</v>
      </c>
      <c r="B756">
        <v>38.299999999999997</v>
      </c>
      <c r="C756" s="6">
        <f t="shared" si="108"/>
        <v>1472.0000002300367</v>
      </c>
      <c r="D756" t="str">
        <f t="shared" si="109"/>
        <v/>
      </c>
      <c r="E756">
        <f t="shared" si="110"/>
        <v>39235.565648148149</v>
      </c>
      <c r="F756" s="4">
        <f t="shared" si="111"/>
        <v>0.69999999999999574</v>
      </c>
      <c r="G756" s="4">
        <f t="shared" si="112"/>
        <v>0.34999999999999787</v>
      </c>
      <c r="H756" s="5">
        <f t="shared" si="113"/>
        <v>0.69999994360841389</v>
      </c>
      <c r="I756" s="14">
        <f t="shared" si="114"/>
        <v>127.75957329405051</v>
      </c>
      <c r="J756" s="19">
        <f t="shared" si="115"/>
        <v>999472.34803606675</v>
      </c>
      <c r="K756" s="16">
        <f t="shared" si="116"/>
        <v>0.98974317264892775</v>
      </c>
    </row>
    <row r="757" spans="1:11" x14ac:dyDescent="0.15">
      <c r="A757" s="7">
        <v>39235.565671296295</v>
      </c>
      <c r="B757">
        <v>38.1</v>
      </c>
      <c r="C757" s="6">
        <f t="shared" si="108"/>
        <v>1474.0000000689179</v>
      </c>
      <c r="D757" t="str">
        <f t="shared" si="109"/>
        <v/>
      </c>
      <c r="E757">
        <f t="shared" si="110"/>
        <v>39235.565671296295</v>
      </c>
      <c r="F757" s="4">
        <f t="shared" si="111"/>
        <v>0.5</v>
      </c>
      <c r="G757" s="4">
        <f t="shared" si="112"/>
        <v>0.25</v>
      </c>
      <c r="H757" s="5">
        <f t="shared" si="113"/>
        <v>0.59999995166435627</v>
      </c>
      <c r="I757" s="14">
        <f t="shared" si="114"/>
        <v>109.50820568061501</v>
      </c>
      <c r="J757" s="19">
        <f t="shared" si="115"/>
        <v>999581.85624174739</v>
      </c>
      <c r="K757" s="16">
        <f t="shared" si="116"/>
        <v>0.98985161486759887</v>
      </c>
    </row>
    <row r="758" spans="1:11" x14ac:dyDescent="0.15">
      <c r="A758" s="7">
        <v>39235.565694444442</v>
      </c>
      <c r="B758">
        <v>38.1</v>
      </c>
      <c r="C758" s="6">
        <f t="shared" si="108"/>
        <v>1475.9999999077991</v>
      </c>
      <c r="D758" t="str">
        <f t="shared" si="109"/>
        <v/>
      </c>
      <c r="E758">
        <f t="shared" si="110"/>
        <v>39235.565694444442</v>
      </c>
      <c r="F758" s="4">
        <f t="shared" si="111"/>
        <v>0.5</v>
      </c>
      <c r="G758" s="4">
        <f t="shared" si="112"/>
        <v>0.25</v>
      </c>
      <c r="H758" s="5">
        <f t="shared" si="113"/>
        <v>0.49999995972029865</v>
      </c>
      <c r="I758" s="14">
        <f t="shared" si="114"/>
        <v>91.256838067179487</v>
      </c>
      <c r="J758" s="19">
        <f t="shared" si="115"/>
        <v>999673.11307981459</v>
      </c>
      <c r="K758" s="16">
        <f t="shared" si="116"/>
        <v>0.9899419833831582</v>
      </c>
    </row>
    <row r="759" spans="1:11" x14ac:dyDescent="0.15">
      <c r="A759" s="7">
        <v>39235.565717592595</v>
      </c>
      <c r="B759">
        <v>38.1</v>
      </c>
      <c r="C759" s="6">
        <f t="shared" si="108"/>
        <v>1478.000000375323</v>
      </c>
      <c r="D759" t="str">
        <f t="shared" si="109"/>
        <v/>
      </c>
      <c r="E759">
        <f t="shared" si="110"/>
        <v>39235.565717592595</v>
      </c>
      <c r="F759" s="4">
        <f t="shared" si="111"/>
        <v>0.5</v>
      </c>
      <c r="G759" s="4">
        <f t="shared" si="112"/>
        <v>0.25</v>
      </c>
      <c r="H759" s="5">
        <f t="shared" si="113"/>
        <v>0.50000011688098311</v>
      </c>
      <c r="I759" s="14">
        <f t="shared" si="114"/>
        <v>91.256866751156068</v>
      </c>
      <c r="J759" s="19">
        <f t="shared" si="115"/>
        <v>999764.36994656571</v>
      </c>
      <c r="K759" s="16">
        <f t="shared" si="116"/>
        <v>0.99003235192712213</v>
      </c>
    </row>
    <row r="760" spans="1:11" x14ac:dyDescent="0.15">
      <c r="A760" s="7">
        <v>39235.565740740742</v>
      </c>
      <c r="B760">
        <v>38.1</v>
      </c>
      <c r="C760" s="6">
        <f t="shared" si="108"/>
        <v>1480.0000002142042</v>
      </c>
      <c r="D760" t="str">
        <f t="shared" si="109"/>
        <v/>
      </c>
      <c r="E760">
        <f t="shared" si="110"/>
        <v>39235.565740740742</v>
      </c>
      <c r="F760" s="4">
        <f t="shared" si="111"/>
        <v>0.5</v>
      </c>
      <c r="G760" s="4">
        <f t="shared" si="112"/>
        <v>0.25</v>
      </c>
      <c r="H760" s="5">
        <f t="shared" si="113"/>
        <v>0.49999995972029865</v>
      </c>
      <c r="I760" s="14">
        <f t="shared" si="114"/>
        <v>91.256838067179487</v>
      </c>
      <c r="J760" s="19">
        <f t="shared" si="115"/>
        <v>999855.62678463291</v>
      </c>
      <c r="K760" s="16">
        <f t="shared" si="116"/>
        <v>0.99012272044268135</v>
      </c>
    </row>
    <row r="761" spans="1:11" x14ac:dyDescent="0.15">
      <c r="A761" s="7">
        <v>39235.565763888888</v>
      </c>
      <c r="B761">
        <v>38.200000000000003</v>
      </c>
      <c r="C761" s="6">
        <f t="shared" si="108"/>
        <v>1482.0000000530854</v>
      </c>
      <c r="D761" t="str">
        <f t="shared" si="109"/>
        <v/>
      </c>
      <c r="E761">
        <f t="shared" si="110"/>
        <v>39235.565763888888</v>
      </c>
      <c r="F761" s="4">
        <f t="shared" si="111"/>
        <v>0.60000000000000142</v>
      </c>
      <c r="G761" s="4">
        <f t="shared" si="112"/>
        <v>0.30000000000000071</v>
      </c>
      <c r="H761" s="5">
        <f t="shared" si="113"/>
        <v>0.54999995569232918</v>
      </c>
      <c r="I761" s="14">
        <f t="shared" si="114"/>
        <v>100.38252187389756</v>
      </c>
      <c r="J761" s="19">
        <f t="shared" si="115"/>
        <v>999956.00930650684</v>
      </c>
      <c r="K761" s="16">
        <f t="shared" si="116"/>
        <v>0.99022212580979652</v>
      </c>
    </row>
    <row r="762" spans="1:11" x14ac:dyDescent="0.15">
      <c r="A762" s="7">
        <v>39235.565787037034</v>
      </c>
      <c r="B762">
        <v>38.1</v>
      </c>
      <c r="C762" s="6">
        <f t="shared" si="108"/>
        <v>1483.9999998919666</v>
      </c>
      <c r="D762" t="str">
        <f t="shared" si="109"/>
        <v/>
      </c>
      <c r="E762">
        <f t="shared" si="110"/>
        <v>39235.565787037034</v>
      </c>
      <c r="F762" s="4">
        <f t="shared" si="111"/>
        <v>0.5</v>
      </c>
      <c r="G762" s="4">
        <f t="shared" si="112"/>
        <v>0.25</v>
      </c>
      <c r="H762" s="5">
        <f t="shared" si="113"/>
        <v>0.54999995569232918</v>
      </c>
      <c r="I762" s="14">
        <f t="shared" si="114"/>
        <v>100.38252187389756</v>
      </c>
      <c r="J762" s="19">
        <f t="shared" si="115"/>
        <v>1000056.3918283808</v>
      </c>
      <c r="K762" s="16">
        <f t="shared" si="116"/>
        <v>0.99032153117691168</v>
      </c>
    </row>
    <row r="763" spans="1:11" x14ac:dyDescent="0.15">
      <c r="A763" s="7">
        <v>39235.565810185188</v>
      </c>
      <c r="B763">
        <v>38.200000000000003</v>
      </c>
      <c r="C763" s="6">
        <f t="shared" si="108"/>
        <v>1486.0000003594905</v>
      </c>
      <c r="D763" t="str">
        <f t="shared" si="109"/>
        <v/>
      </c>
      <c r="E763">
        <f t="shared" si="110"/>
        <v>39235.565810185188</v>
      </c>
      <c r="F763" s="4">
        <f t="shared" si="111"/>
        <v>0.60000000000000142</v>
      </c>
      <c r="G763" s="4">
        <f t="shared" si="112"/>
        <v>0.30000000000000071</v>
      </c>
      <c r="H763" s="5">
        <f t="shared" si="113"/>
        <v>0.55000012856908209</v>
      </c>
      <c r="I763" s="14">
        <f t="shared" si="114"/>
        <v>100.3825534262718</v>
      </c>
      <c r="J763" s="19">
        <f t="shared" si="115"/>
        <v>1000156.7743818071</v>
      </c>
      <c r="K763" s="16">
        <f t="shared" si="116"/>
        <v>0.99042093657527219</v>
      </c>
    </row>
    <row r="764" spans="1:11" x14ac:dyDescent="0.15">
      <c r="A764" s="7">
        <v>39235.565833333334</v>
      </c>
      <c r="B764">
        <v>38.1</v>
      </c>
      <c r="C764" s="6">
        <f t="shared" si="108"/>
        <v>1488.0000001983717</v>
      </c>
      <c r="D764" t="str">
        <f t="shared" si="109"/>
        <v/>
      </c>
      <c r="E764">
        <f t="shared" si="110"/>
        <v>39235.565833333334</v>
      </c>
      <c r="F764" s="4">
        <f t="shared" si="111"/>
        <v>0.5</v>
      </c>
      <c r="G764" s="4">
        <f t="shared" si="112"/>
        <v>0.25</v>
      </c>
      <c r="H764" s="5">
        <f t="shared" si="113"/>
        <v>0.54999995569232918</v>
      </c>
      <c r="I764" s="14">
        <f t="shared" si="114"/>
        <v>100.38252187389756</v>
      </c>
      <c r="J764" s="19">
        <f t="shared" si="115"/>
        <v>1000257.156903681</v>
      </c>
      <c r="K764" s="16">
        <f t="shared" si="116"/>
        <v>0.99052034194238736</v>
      </c>
    </row>
    <row r="765" spans="1:11" x14ac:dyDescent="0.15">
      <c r="A765" s="7">
        <v>39235.56585648148</v>
      </c>
      <c r="B765">
        <v>38.200000000000003</v>
      </c>
      <c r="C765" s="6">
        <f t="shared" si="108"/>
        <v>1490.0000000372529</v>
      </c>
      <c r="D765" t="str">
        <f t="shared" si="109"/>
        <v/>
      </c>
      <c r="E765">
        <f t="shared" si="110"/>
        <v>39235.56585648148</v>
      </c>
      <c r="F765" s="4">
        <f t="shared" si="111"/>
        <v>0.60000000000000142</v>
      </c>
      <c r="G765" s="4">
        <f t="shared" si="112"/>
        <v>0.30000000000000071</v>
      </c>
      <c r="H765" s="5">
        <f t="shared" si="113"/>
        <v>0.54999995569232918</v>
      </c>
      <c r="I765" s="14">
        <f t="shared" si="114"/>
        <v>100.38252187389756</v>
      </c>
      <c r="J765" s="19">
        <f t="shared" si="115"/>
        <v>1000357.5394255549</v>
      </c>
      <c r="K765" s="16">
        <f t="shared" si="116"/>
        <v>0.99061974730950253</v>
      </c>
    </row>
    <row r="766" spans="1:11" x14ac:dyDescent="0.15">
      <c r="A766" s="7">
        <v>39235.565879629627</v>
      </c>
      <c r="B766">
        <v>38.1</v>
      </c>
      <c r="C766" s="6">
        <f t="shared" si="108"/>
        <v>1491.9999998761341</v>
      </c>
      <c r="D766" t="str">
        <f t="shared" si="109"/>
        <v/>
      </c>
      <c r="E766">
        <f t="shared" si="110"/>
        <v>39235.565879629627</v>
      </c>
      <c r="F766" s="4">
        <f t="shared" si="111"/>
        <v>0.5</v>
      </c>
      <c r="G766" s="4">
        <f t="shared" si="112"/>
        <v>0.25</v>
      </c>
      <c r="H766" s="5">
        <f t="shared" si="113"/>
        <v>0.54999995569232918</v>
      </c>
      <c r="I766" s="14">
        <f t="shared" si="114"/>
        <v>100.38252187389756</v>
      </c>
      <c r="J766" s="19">
        <f t="shared" si="115"/>
        <v>1000457.9219474288</v>
      </c>
      <c r="K766" s="16">
        <f t="shared" si="116"/>
        <v>0.9907191526766177</v>
      </c>
    </row>
    <row r="767" spans="1:11" x14ac:dyDescent="0.15">
      <c r="A767" s="7">
        <v>39235.56590277778</v>
      </c>
      <c r="B767">
        <v>38.200000000000003</v>
      </c>
      <c r="C767" s="6">
        <f t="shared" si="108"/>
        <v>1494.000000343658</v>
      </c>
      <c r="D767" t="str">
        <f t="shared" si="109"/>
        <v/>
      </c>
      <c r="E767">
        <f t="shared" si="110"/>
        <v>39235.56590277778</v>
      </c>
      <c r="F767" s="4">
        <f t="shared" si="111"/>
        <v>0.60000000000000142</v>
      </c>
      <c r="G767" s="4">
        <f t="shared" si="112"/>
        <v>0.30000000000000071</v>
      </c>
      <c r="H767" s="5">
        <f t="shared" si="113"/>
        <v>0.55000012856908209</v>
      </c>
      <c r="I767" s="14">
        <f t="shared" si="114"/>
        <v>100.3825534262718</v>
      </c>
      <c r="J767" s="19">
        <f t="shared" si="115"/>
        <v>1000558.3045008552</v>
      </c>
      <c r="K767" s="16">
        <f t="shared" si="116"/>
        <v>0.9908185580749781</v>
      </c>
    </row>
    <row r="768" spans="1:11" x14ac:dyDescent="0.15">
      <c r="A768" s="7">
        <v>39235.565925925926</v>
      </c>
      <c r="B768">
        <v>38.200000000000003</v>
      </c>
      <c r="C768" s="6">
        <f t="shared" si="108"/>
        <v>1496.0000001825392</v>
      </c>
      <c r="D768" t="str">
        <f t="shared" si="109"/>
        <v/>
      </c>
      <c r="E768">
        <f t="shared" si="110"/>
        <v>39235.565925925926</v>
      </c>
      <c r="F768" s="4">
        <f t="shared" si="111"/>
        <v>0.60000000000000142</v>
      </c>
      <c r="G768" s="4">
        <f t="shared" si="112"/>
        <v>0.30000000000000071</v>
      </c>
      <c r="H768" s="5">
        <f t="shared" si="113"/>
        <v>0.59999995166435982</v>
      </c>
      <c r="I768" s="14">
        <f t="shared" si="114"/>
        <v>109.50820568061565</v>
      </c>
      <c r="J768" s="19">
        <f t="shared" si="115"/>
        <v>1000667.8127065358</v>
      </c>
      <c r="K768" s="16">
        <f t="shared" si="116"/>
        <v>0.99092700029364922</v>
      </c>
    </row>
    <row r="769" spans="1:11" x14ac:dyDescent="0.15">
      <c r="A769" s="7">
        <v>39235.565949074073</v>
      </c>
      <c r="B769">
        <v>38.1</v>
      </c>
      <c r="C769" s="6">
        <f t="shared" si="108"/>
        <v>1498.0000000214204</v>
      </c>
      <c r="D769" t="str">
        <f t="shared" si="109"/>
        <v/>
      </c>
      <c r="E769">
        <f t="shared" si="110"/>
        <v>39235.565949074073</v>
      </c>
      <c r="F769" s="4">
        <f t="shared" si="111"/>
        <v>0.5</v>
      </c>
      <c r="G769" s="4">
        <f t="shared" si="112"/>
        <v>0.25</v>
      </c>
      <c r="H769" s="5">
        <f t="shared" si="113"/>
        <v>0.54999995569232918</v>
      </c>
      <c r="I769" s="14">
        <f t="shared" si="114"/>
        <v>100.38252187389756</v>
      </c>
      <c r="J769" s="19">
        <f t="shared" si="115"/>
        <v>1000768.1952284097</v>
      </c>
      <c r="K769" s="16">
        <f t="shared" si="116"/>
        <v>0.99102640566076439</v>
      </c>
    </row>
    <row r="770" spans="1:11" x14ac:dyDescent="0.15">
      <c r="A770" s="7">
        <v>39235.565972222219</v>
      </c>
      <c r="B770">
        <v>38.200000000000003</v>
      </c>
      <c r="C770" s="6">
        <f t="shared" si="108"/>
        <v>1499.9999998603016</v>
      </c>
      <c r="D770" t="str">
        <f t="shared" si="109"/>
        <v/>
      </c>
      <c r="E770">
        <f t="shared" si="110"/>
        <v>39235.565972222219</v>
      </c>
      <c r="F770" s="4">
        <f t="shared" si="111"/>
        <v>0.60000000000000142</v>
      </c>
      <c r="G770" s="4">
        <f t="shared" si="112"/>
        <v>0.30000000000000071</v>
      </c>
      <c r="H770" s="5">
        <f t="shared" si="113"/>
        <v>0.54999995569232918</v>
      </c>
      <c r="I770" s="14">
        <f t="shared" si="114"/>
        <v>100.38252187389756</v>
      </c>
      <c r="J770" s="19">
        <f t="shared" si="115"/>
        <v>1000868.5777502836</v>
      </c>
      <c r="K770" s="16">
        <f t="shared" si="116"/>
        <v>0.99112581102787956</v>
      </c>
    </row>
    <row r="771" spans="1:11" x14ac:dyDescent="0.15">
      <c r="A771" s="7">
        <v>39235.565995370373</v>
      </c>
      <c r="B771">
        <v>38.1</v>
      </c>
      <c r="C771" s="6">
        <f t="shared" si="108"/>
        <v>1502.0000003278255</v>
      </c>
      <c r="D771" t="str">
        <f t="shared" si="109"/>
        <v/>
      </c>
      <c r="E771">
        <f t="shared" si="110"/>
        <v>39235.565995370373</v>
      </c>
      <c r="F771" s="4">
        <f t="shared" si="111"/>
        <v>0.5</v>
      </c>
      <c r="G771" s="4">
        <f t="shared" si="112"/>
        <v>0.25</v>
      </c>
      <c r="H771" s="5">
        <f t="shared" si="113"/>
        <v>0.55000012856908209</v>
      </c>
      <c r="I771" s="14">
        <f t="shared" si="114"/>
        <v>100.3825534262718</v>
      </c>
      <c r="J771" s="19">
        <f t="shared" si="115"/>
        <v>1000968.96030371</v>
      </c>
      <c r="K771" s="16">
        <f t="shared" si="116"/>
        <v>0.99122521642624006</v>
      </c>
    </row>
    <row r="772" spans="1:11" x14ac:dyDescent="0.15">
      <c r="A772" s="7">
        <v>39235.566018518519</v>
      </c>
      <c r="B772">
        <v>38.200000000000003</v>
      </c>
      <c r="C772" s="6">
        <f t="shared" si="108"/>
        <v>1504.0000001667067</v>
      </c>
      <c r="D772" t="str">
        <f t="shared" si="109"/>
        <v/>
      </c>
      <c r="E772">
        <f t="shared" si="110"/>
        <v>39235.566018518519</v>
      </c>
      <c r="F772" s="4">
        <f t="shared" si="111"/>
        <v>0.60000000000000142</v>
      </c>
      <c r="G772" s="4">
        <f t="shared" si="112"/>
        <v>0.30000000000000071</v>
      </c>
      <c r="H772" s="5">
        <f t="shared" si="113"/>
        <v>0.54999995569232918</v>
      </c>
      <c r="I772" s="14">
        <f t="shared" si="114"/>
        <v>100.38252187389756</v>
      </c>
      <c r="J772" s="19">
        <f t="shared" si="115"/>
        <v>1001069.3428255839</v>
      </c>
      <c r="K772" s="16">
        <f t="shared" si="116"/>
        <v>0.99132462179335523</v>
      </c>
    </row>
    <row r="773" spans="1:11" x14ac:dyDescent="0.15">
      <c r="A773" s="7">
        <v>39235.566041666665</v>
      </c>
      <c r="B773">
        <v>38</v>
      </c>
      <c r="C773" s="6">
        <f t="shared" si="108"/>
        <v>1506.0000000055879</v>
      </c>
      <c r="D773" t="str">
        <f t="shared" si="109"/>
        <v/>
      </c>
      <c r="E773">
        <f t="shared" si="110"/>
        <v>39235.566041666665</v>
      </c>
      <c r="F773" s="4">
        <f t="shared" si="111"/>
        <v>0.39999999999999858</v>
      </c>
      <c r="G773" s="4">
        <f t="shared" si="112"/>
        <v>0.19999999999999929</v>
      </c>
      <c r="H773" s="5">
        <f t="shared" si="113"/>
        <v>0.49999995972029865</v>
      </c>
      <c r="I773" s="14">
        <f t="shared" si="114"/>
        <v>91.256838067179487</v>
      </c>
      <c r="J773" s="19">
        <f t="shared" si="115"/>
        <v>1001160.5996636511</v>
      </c>
      <c r="K773" s="16">
        <f t="shared" si="116"/>
        <v>0.99141499030891445</v>
      </c>
    </row>
    <row r="774" spans="1:11" x14ac:dyDescent="0.15">
      <c r="A774" s="7">
        <v>39235.566064814811</v>
      </c>
      <c r="B774">
        <v>38.200000000000003</v>
      </c>
      <c r="C774" s="6">
        <f t="shared" si="108"/>
        <v>1507.9999998444691</v>
      </c>
      <c r="D774" t="str">
        <f t="shared" si="109"/>
        <v/>
      </c>
      <c r="E774">
        <f t="shared" si="110"/>
        <v>39235.566064814811</v>
      </c>
      <c r="F774" s="4">
        <f t="shared" si="111"/>
        <v>0.60000000000000142</v>
      </c>
      <c r="G774" s="4">
        <f t="shared" si="112"/>
        <v>0.30000000000000071</v>
      </c>
      <c r="H774" s="5">
        <f t="shared" si="113"/>
        <v>0.49999995972029865</v>
      </c>
      <c r="I774" s="14">
        <f t="shared" si="114"/>
        <v>91.256838067179487</v>
      </c>
      <c r="J774" s="19">
        <f t="shared" si="115"/>
        <v>1001251.8565017183</v>
      </c>
      <c r="K774" s="16">
        <f t="shared" si="116"/>
        <v>0.99150535882447366</v>
      </c>
    </row>
    <row r="775" spans="1:11" x14ac:dyDescent="0.15">
      <c r="A775" s="7">
        <v>39235.566087962965</v>
      </c>
      <c r="B775">
        <v>38.200000000000003</v>
      </c>
      <c r="C775" s="6">
        <f t="shared" si="108"/>
        <v>1510.0000003119931</v>
      </c>
      <c r="D775" t="str">
        <f t="shared" si="109"/>
        <v/>
      </c>
      <c r="E775">
        <f t="shared" si="110"/>
        <v>39235.566087962965</v>
      </c>
      <c r="F775" s="4">
        <f t="shared" si="111"/>
        <v>0.60000000000000142</v>
      </c>
      <c r="G775" s="4">
        <f t="shared" si="112"/>
        <v>0.30000000000000071</v>
      </c>
      <c r="H775" s="5">
        <f t="shared" si="113"/>
        <v>0.60000014025718118</v>
      </c>
      <c r="I775" s="14">
        <f t="shared" si="114"/>
        <v>109.50824010138754</v>
      </c>
      <c r="J775" s="19">
        <f t="shared" si="115"/>
        <v>1001361.3647418197</v>
      </c>
      <c r="K775" s="16">
        <f t="shared" si="116"/>
        <v>0.99161380107723052</v>
      </c>
    </row>
    <row r="776" spans="1:11" x14ac:dyDescent="0.15">
      <c r="A776" s="7">
        <v>39235.566111111111</v>
      </c>
      <c r="B776">
        <v>38.200000000000003</v>
      </c>
      <c r="C776" s="6">
        <f t="shared" si="108"/>
        <v>1512.0000001508743</v>
      </c>
      <c r="D776" t="str">
        <f t="shared" si="109"/>
        <v/>
      </c>
      <c r="E776">
        <f t="shared" si="110"/>
        <v>39235.566111111111</v>
      </c>
      <c r="F776" s="4">
        <f t="shared" si="111"/>
        <v>0.60000000000000142</v>
      </c>
      <c r="G776" s="4">
        <f t="shared" si="112"/>
        <v>0.30000000000000071</v>
      </c>
      <c r="H776" s="5">
        <f t="shared" si="113"/>
        <v>0.59999995166435982</v>
      </c>
      <c r="I776" s="14">
        <f t="shared" si="114"/>
        <v>109.50820568061565</v>
      </c>
      <c r="J776" s="19">
        <f t="shared" si="115"/>
        <v>1001470.8729475003</v>
      </c>
      <c r="K776" s="16">
        <f t="shared" si="116"/>
        <v>0.99172224329590164</v>
      </c>
    </row>
    <row r="777" spans="1:11" x14ac:dyDescent="0.15">
      <c r="A777" s="7">
        <v>39235.566134259258</v>
      </c>
      <c r="B777">
        <v>38.200000000000003</v>
      </c>
      <c r="C777" s="6">
        <f t="shared" si="108"/>
        <v>1513.9999999897555</v>
      </c>
      <c r="D777" t="str">
        <f t="shared" si="109"/>
        <v/>
      </c>
      <c r="E777">
        <f t="shared" si="110"/>
        <v>39235.566134259258</v>
      </c>
      <c r="F777" s="4">
        <f t="shared" si="111"/>
        <v>0.60000000000000142</v>
      </c>
      <c r="G777" s="4">
        <f t="shared" si="112"/>
        <v>0.30000000000000071</v>
      </c>
      <c r="H777" s="5">
        <f t="shared" si="113"/>
        <v>0.59999995166435982</v>
      </c>
      <c r="I777" s="14">
        <f t="shared" si="114"/>
        <v>109.50820568061565</v>
      </c>
      <c r="J777" s="19">
        <f t="shared" si="115"/>
        <v>1001580.381153181</v>
      </c>
      <c r="K777" s="16">
        <f t="shared" si="116"/>
        <v>0.99183068551457276</v>
      </c>
    </row>
    <row r="778" spans="1:11" x14ac:dyDescent="0.15">
      <c r="A778" s="7">
        <v>39235.566157407404</v>
      </c>
      <c r="B778">
        <v>38.200000000000003</v>
      </c>
      <c r="C778" s="6">
        <f t="shared" si="108"/>
        <v>1515.9999998286366</v>
      </c>
      <c r="D778" t="str">
        <f t="shared" si="109"/>
        <v/>
      </c>
      <c r="E778">
        <f t="shared" si="110"/>
        <v>39235.566157407404</v>
      </c>
      <c r="F778" s="4">
        <f t="shared" si="111"/>
        <v>0.60000000000000142</v>
      </c>
      <c r="G778" s="4">
        <f t="shared" si="112"/>
        <v>0.30000000000000071</v>
      </c>
      <c r="H778" s="5">
        <f t="shared" si="113"/>
        <v>0.59999995166435982</v>
      </c>
      <c r="I778" s="14">
        <f t="shared" si="114"/>
        <v>109.50820568061565</v>
      </c>
      <c r="J778" s="19">
        <f t="shared" si="115"/>
        <v>1001689.8893588616</v>
      </c>
      <c r="K778" s="16">
        <f t="shared" si="116"/>
        <v>0.99193912773324378</v>
      </c>
    </row>
    <row r="779" spans="1:11" x14ac:dyDescent="0.15">
      <c r="A779" s="7">
        <v>39235.566180555557</v>
      </c>
      <c r="B779">
        <v>38.200000000000003</v>
      </c>
      <c r="C779" s="6">
        <f t="shared" si="108"/>
        <v>1518.0000002961606</v>
      </c>
      <c r="D779" t="str">
        <f t="shared" si="109"/>
        <v/>
      </c>
      <c r="E779">
        <f t="shared" si="110"/>
        <v>39235.566180555557</v>
      </c>
      <c r="F779" s="4">
        <f t="shared" si="111"/>
        <v>0.60000000000000142</v>
      </c>
      <c r="G779" s="4">
        <f t="shared" si="112"/>
        <v>0.30000000000000071</v>
      </c>
      <c r="H779" s="5">
        <f t="shared" si="113"/>
        <v>0.60000014025718118</v>
      </c>
      <c r="I779" s="14">
        <f t="shared" si="114"/>
        <v>109.50824010138754</v>
      </c>
      <c r="J779" s="19">
        <f t="shared" si="115"/>
        <v>1001799.397598963</v>
      </c>
      <c r="K779" s="16">
        <f t="shared" si="116"/>
        <v>0.99204756998600063</v>
      </c>
    </row>
    <row r="780" spans="1:11" x14ac:dyDescent="0.15">
      <c r="A780" s="7">
        <v>39235.566203703704</v>
      </c>
      <c r="B780">
        <v>38.1</v>
      </c>
      <c r="C780" s="6">
        <f t="shared" si="108"/>
        <v>1520.0000001350418</v>
      </c>
      <c r="D780" t="str">
        <f t="shared" si="109"/>
        <v/>
      </c>
      <c r="E780">
        <f t="shared" si="110"/>
        <v>39235.566203703704</v>
      </c>
      <c r="F780" s="4">
        <f t="shared" si="111"/>
        <v>0.5</v>
      </c>
      <c r="G780" s="4">
        <f t="shared" si="112"/>
        <v>0.25</v>
      </c>
      <c r="H780" s="5">
        <f t="shared" si="113"/>
        <v>0.54999995569232918</v>
      </c>
      <c r="I780" s="14">
        <f t="shared" si="114"/>
        <v>100.38252187389756</v>
      </c>
      <c r="J780" s="19">
        <f t="shared" si="115"/>
        <v>1001899.7801208369</v>
      </c>
      <c r="K780" s="16">
        <f t="shared" si="116"/>
        <v>0.9921469753531158</v>
      </c>
    </row>
    <row r="781" spans="1:11" x14ac:dyDescent="0.15">
      <c r="A781" s="7">
        <v>39235.56622685185</v>
      </c>
      <c r="B781">
        <v>38.1</v>
      </c>
      <c r="C781" s="6">
        <f t="shared" si="108"/>
        <v>1521.999999973923</v>
      </c>
      <c r="D781" t="str">
        <f t="shared" si="109"/>
        <v/>
      </c>
      <c r="E781">
        <f t="shared" si="110"/>
        <v>39235.56622685185</v>
      </c>
      <c r="F781" s="4">
        <f t="shared" si="111"/>
        <v>0.5</v>
      </c>
      <c r="G781" s="4">
        <f t="shared" si="112"/>
        <v>0.25</v>
      </c>
      <c r="H781" s="5">
        <f t="shared" si="113"/>
        <v>0.49999995972029865</v>
      </c>
      <c r="I781" s="14">
        <f t="shared" si="114"/>
        <v>91.256838067179487</v>
      </c>
      <c r="J781" s="19">
        <f t="shared" si="115"/>
        <v>1001991.0369589041</v>
      </c>
      <c r="K781" s="16">
        <f t="shared" si="116"/>
        <v>0.99223734386867501</v>
      </c>
    </row>
    <row r="782" spans="1:11" x14ac:dyDescent="0.15">
      <c r="A782" s="7">
        <v>39235.566250000003</v>
      </c>
      <c r="B782">
        <v>38.1</v>
      </c>
      <c r="C782" s="6">
        <f t="shared" si="108"/>
        <v>1524.0000004414469</v>
      </c>
      <c r="D782" t="str">
        <f t="shared" si="109"/>
        <v/>
      </c>
      <c r="E782">
        <f t="shared" si="110"/>
        <v>39235.566250000003</v>
      </c>
      <c r="F782" s="4">
        <f t="shared" si="111"/>
        <v>0.5</v>
      </c>
      <c r="G782" s="4">
        <f t="shared" si="112"/>
        <v>0.25</v>
      </c>
      <c r="H782" s="5">
        <f t="shared" si="113"/>
        <v>0.50000011688098311</v>
      </c>
      <c r="I782" s="14">
        <f t="shared" si="114"/>
        <v>91.256866751156068</v>
      </c>
      <c r="J782" s="19">
        <f t="shared" si="115"/>
        <v>1002082.2938256552</v>
      </c>
      <c r="K782" s="16">
        <f t="shared" si="116"/>
        <v>0.99232771241263895</v>
      </c>
    </row>
    <row r="783" spans="1:11" x14ac:dyDescent="0.15">
      <c r="A783" s="7">
        <v>39235.56627314815</v>
      </c>
      <c r="B783">
        <v>38.1</v>
      </c>
      <c r="C783" s="6">
        <f t="shared" si="108"/>
        <v>1526.0000002803281</v>
      </c>
      <c r="D783" t="str">
        <f t="shared" si="109"/>
        <v/>
      </c>
      <c r="E783">
        <f t="shared" si="110"/>
        <v>39235.56627314815</v>
      </c>
      <c r="F783" s="4">
        <f t="shared" si="111"/>
        <v>0.5</v>
      </c>
      <c r="G783" s="4">
        <f t="shared" si="112"/>
        <v>0.25</v>
      </c>
      <c r="H783" s="5">
        <f t="shared" si="113"/>
        <v>0.49999995972029865</v>
      </c>
      <c r="I783" s="14">
        <f t="shared" si="114"/>
        <v>91.256838067179487</v>
      </c>
      <c r="J783" s="19">
        <f t="shared" si="115"/>
        <v>1002173.5506637224</v>
      </c>
      <c r="K783" s="16">
        <f t="shared" si="116"/>
        <v>0.99241808092819828</v>
      </c>
    </row>
    <row r="784" spans="1:11" x14ac:dyDescent="0.15">
      <c r="A784" s="7">
        <v>39235.566296296296</v>
      </c>
      <c r="B784">
        <v>38.1</v>
      </c>
      <c r="C784" s="6">
        <f t="shared" si="108"/>
        <v>1528.0000001192093</v>
      </c>
      <c r="D784" t="str">
        <f t="shared" si="109"/>
        <v/>
      </c>
      <c r="E784">
        <f t="shared" si="110"/>
        <v>39235.566296296296</v>
      </c>
      <c r="F784" s="4">
        <f t="shared" si="111"/>
        <v>0.5</v>
      </c>
      <c r="G784" s="4">
        <f t="shared" si="112"/>
        <v>0.25</v>
      </c>
      <c r="H784" s="5">
        <f t="shared" si="113"/>
        <v>0.49999995972029865</v>
      </c>
      <c r="I784" s="14">
        <f t="shared" si="114"/>
        <v>91.256838067179487</v>
      </c>
      <c r="J784" s="19">
        <f t="shared" si="115"/>
        <v>1002264.8075017896</v>
      </c>
      <c r="K784" s="16">
        <f t="shared" si="116"/>
        <v>0.99250844944375749</v>
      </c>
    </row>
    <row r="785" spans="1:11" x14ac:dyDescent="0.15">
      <c r="A785" s="7">
        <v>39235.566319444442</v>
      </c>
      <c r="B785">
        <v>38.200000000000003</v>
      </c>
      <c r="C785" s="6">
        <f t="shared" si="108"/>
        <v>1529.9999999580905</v>
      </c>
      <c r="D785" t="str">
        <f t="shared" si="109"/>
        <v/>
      </c>
      <c r="E785">
        <f t="shared" si="110"/>
        <v>39235.566319444442</v>
      </c>
      <c r="F785" s="4">
        <f t="shared" si="111"/>
        <v>0.60000000000000142</v>
      </c>
      <c r="G785" s="4">
        <f t="shared" si="112"/>
        <v>0.30000000000000071</v>
      </c>
      <c r="H785" s="5">
        <f t="shared" si="113"/>
        <v>0.54999995569232918</v>
      </c>
      <c r="I785" s="14">
        <f t="shared" si="114"/>
        <v>100.38252187389756</v>
      </c>
      <c r="J785" s="19">
        <f t="shared" si="115"/>
        <v>1002365.1900236636</v>
      </c>
      <c r="K785" s="16">
        <f t="shared" si="116"/>
        <v>0.99260785481087266</v>
      </c>
    </row>
    <row r="786" spans="1:11" x14ac:dyDescent="0.15">
      <c r="A786" s="7">
        <v>39235.566342592596</v>
      </c>
      <c r="B786">
        <v>38.200000000000003</v>
      </c>
      <c r="C786" s="6">
        <f t="shared" si="108"/>
        <v>1532.0000004256144</v>
      </c>
      <c r="D786" t="str">
        <f t="shared" si="109"/>
        <v/>
      </c>
      <c r="E786">
        <f t="shared" si="110"/>
        <v>39235.566342592596</v>
      </c>
      <c r="F786" s="4">
        <f t="shared" si="111"/>
        <v>0.60000000000000142</v>
      </c>
      <c r="G786" s="4">
        <f t="shared" si="112"/>
        <v>0.30000000000000071</v>
      </c>
      <c r="H786" s="5">
        <f t="shared" si="113"/>
        <v>0.60000014025718118</v>
      </c>
      <c r="I786" s="14">
        <f t="shared" si="114"/>
        <v>109.50824010138754</v>
      </c>
      <c r="J786" s="19">
        <f t="shared" si="115"/>
        <v>1002474.698263765</v>
      </c>
      <c r="K786" s="16">
        <f t="shared" si="116"/>
        <v>0.99271629706362952</v>
      </c>
    </row>
    <row r="787" spans="1:11" x14ac:dyDescent="0.15">
      <c r="A787" s="7">
        <v>39235.566365740742</v>
      </c>
      <c r="B787">
        <v>38.200000000000003</v>
      </c>
      <c r="C787" s="6">
        <f t="shared" si="108"/>
        <v>1534.0000002644956</v>
      </c>
      <c r="D787" t="str">
        <f t="shared" si="109"/>
        <v/>
      </c>
      <c r="E787">
        <f t="shared" si="110"/>
        <v>39235.566365740742</v>
      </c>
      <c r="F787" s="4">
        <f t="shared" si="111"/>
        <v>0.60000000000000142</v>
      </c>
      <c r="G787" s="4">
        <f t="shared" si="112"/>
        <v>0.30000000000000071</v>
      </c>
      <c r="H787" s="5">
        <f t="shared" si="113"/>
        <v>0.59999995166435982</v>
      </c>
      <c r="I787" s="14">
        <f t="shared" si="114"/>
        <v>109.50820568061565</v>
      </c>
      <c r="J787" s="19">
        <f t="shared" si="115"/>
        <v>1002584.2064694456</v>
      </c>
      <c r="K787" s="16">
        <f t="shared" si="116"/>
        <v>0.99282473928230064</v>
      </c>
    </row>
    <row r="788" spans="1:11" x14ac:dyDescent="0.15">
      <c r="A788" s="7">
        <v>39235.566388888888</v>
      </c>
      <c r="B788">
        <v>38.1</v>
      </c>
      <c r="C788" s="6">
        <f t="shared" si="108"/>
        <v>1536.0000001033768</v>
      </c>
      <c r="D788" t="str">
        <f t="shared" si="109"/>
        <v/>
      </c>
      <c r="E788">
        <f t="shared" si="110"/>
        <v>39235.566388888888</v>
      </c>
      <c r="F788" s="4">
        <f t="shared" si="111"/>
        <v>0.5</v>
      </c>
      <c r="G788" s="4">
        <f t="shared" si="112"/>
        <v>0.25</v>
      </c>
      <c r="H788" s="5">
        <f t="shared" si="113"/>
        <v>0.54999995569232918</v>
      </c>
      <c r="I788" s="14">
        <f t="shared" si="114"/>
        <v>100.38252187389756</v>
      </c>
      <c r="J788" s="19">
        <f t="shared" si="115"/>
        <v>1002684.5889913195</v>
      </c>
      <c r="K788" s="16">
        <f t="shared" si="116"/>
        <v>0.99292414464941581</v>
      </c>
    </row>
    <row r="789" spans="1:11" x14ac:dyDescent="0.15">
      <c r="A789" s="7">
        <v>39235.566412037035</v>
      </c>
      <c r="B789">
        <v>38.1</v>
      </c>
      <c r="C789" s="6">
        <f t="shared" si="108"/>
        <v>1537.999999942258</v>
      </c>
      <c r="D789" t="str">
        <f t="shared" si="109"/>
        <v/>
      </c>
      <c r="E789">
        <f t="shared" si="110"/>
        <v>39235.566412037035</v>
      </c>
      <c r="F789" s="4">
        <f t="shared" si="111"/>
        <v>0.5</v>
      </c>
      <c r="G789" s="4">
        <f t="shared" si="112"/>
        <v>0.25</v>
      </c>
      <c r="H789" s="5">
        <f t="shared" si="113"/>
        <v>0.49999995972029865</v>
      </c>
      <c r="I789" s="14">
        <f t="shared" si="114"/>
        <v>91.256838067179487</v>
      </c>
      <c r="J789" s="19">
        <f t="shared" si="115"/>
        <v>1002775.8458293867</v>
      </c>
      <c r="K789" s="16">
        <f t="shared" si="116"/>
        <v>0.99301451316497502</v>
      </c>
    </row>
    <row r="790" spans="1:11" x14ac:dyDescent="0.15">
      <c r="A790" s="7">
        <v>39235.566435185188</v>
      </c>
      <c r="B790">
        <v>38.200000000000003</v>
      </c>
      <c r="C790" s="6">
        <f t="shared" si="108"/>
        <v>1540.0000004097819</v>
      </c>
      <c r="D790" t="str">
        <f t="shared" si="109"/>
        <v/>
      </c>
      <c r="E790">
        <f t="shared" si="110"/>
        <v>39235.566435185188</v>
      </c>
      <c r="F790" s="4">
        <f t="shared" si="111"/>
        <v>0.60000000000000142</v>
      </c>
      <c r="G790" s="4">
        <f t="shared" si="112"/>
        <v>0.30000000000000071</v>
      </c>
      <c r="H790" s="5">
        <f t="shared" si="113"/>
        <v>0.55000012856908209</v>
      </c>
      <c r="I790" s="14">
        <f t="shared" si="114"/>
        <v>100.3825534262718</v>
      </c>
      <c r="J790" s="19">
        <f t="shared" si="115"/>
        <v>1002876.228382813</v>
      </c>
      <c r="K790" s="16">
        <f t="shared" si="116"/>
        <v>0.99311391856333542</v>
      </c>
    </row>
    <row r="791" spans="1:11" x14ac:dyDescent="0.15">
      <c r="A791" s="7">
        <v>39235.566458333335</v>
      </c>
      <c r="B791">
        <v>38.200000000000003</v>
      </c>
      <c r="C791" s="6">
        <f t="shared" si="108"/>
        <v>1542.0000002486631</v>
      </c>
      <c r="D791" t="str">
        <f t="shared" si="109"/>
        <v/>
      </c>
      <c r="E791">
        <f t="shared" si="110"/>
        <v>39235.566458333335</v>
      </c>
      <c r="F791" s="4">
        <f t="shared" si="111"/>
        <v>0.60000000000000142</v>
      </c>
      <c r="G791" s="4">
        <f t="shared" si="112"/>
        <v>0.30000000000000071</v>
      </c>
      <c r="H791" s="5">
        <f t="shared" si="113"/>
        <v>0.59999995166435982</v>
      </c>
      <c r="I791" s="14">
        <f t="shared" si="114"/>
        <v>109.50820568061565</v>
      </c>
      <c r="J791" s="19">
        <f t="shared" si="115"/>
        <v>1002985.7365884937</v>
      </c>
      <c r="K791" s="16">
        <f t="shared" si="116"/>
        <v>0.99322236078200654</v>
      </c>
    </row>
    <row r="792" spans="1:11" x14ac:dyDescent="0.15">
      <c r="A792" s="7">
        <v>39235.566481481481</v>
      </c>
      <c r="B792">
        <v>38.1</v>
      </c>
      <c r="C792" s="6">
        <f t="shared" si="108"/>
        <v>1544.0000000875443</v>
      </c>
      <c r="D792" t="str">
        <f t="shared" si="109"/>
        <v/>
      </c>
      <c r="E792">
        <f t="shared" si="110"/>
        <v>39235.566481481481</v>
      </c>
      <c r="F792" s="4">
        <f t="shared" si="111"/>
        <v>0.5</v>
      </c>
      <c r="G792" s="4">
        <f t="shared" si="112"/>
        <v>0.25</v>
      </c>
      <c r="H792" s="5">
        <f t="shared" si="113"/>
        <v>0.54999995569232918</v>
      </c>
      <c r="I792" s="14">
        <f t="shared" si="114"/>
        <v>100.38252187389756</v>
      </c>
      <c r="J792" s="19">
        <f t="shared" si="115"/>
        <v>1003086.1191103676</v>
      </c>
      <c r="K792" s="16">
        <f t="shared" si="116"/>
        <v>0.99332176614912171</v>
      </c>
    </row>
    <row r="793" spans="1:11" x14ac:dyDescent="0.15">
      <c r="A793" s="7">
        <v>39235.566504629627</v>
      </c>
      <c r="B793">
        <v>38.1</v>
      </c>
      <c r="C793" s="6">
        <f t="shared" si="108"/>
        <v>1545.9999999264255</v>
      </c>
      <c r="D793" t="str">
        <f t="shared" si="109"/>
        <v/>
      </c>
      <c r="E793">
        <f t="shared" si="110"/>
        <v>39235.566504629627</v>
      </c>
      <c r="F793" s="4">
        <f t="shared" si="111"/>
        <v>0.5</v>
      </c>
      <c r="G793" s="4">
        <f t="shared" si="112"/>
        <v>0.25</v>
      </c>
      <c r="H793" s="5">
        <f t="shared" si="113"/>
        <v>0.49999995972029865</v>
      </c>
      <c r="I793" s="14">
        <f t="shared" si="114"/>
        <v>91.256838067179487</v>
      </c>
      <c r="J793" s="19">
        <f t="shared" si="115"/>
        <v>1003177.3759484348</v>
      </c>
      <c r="K793" s="16">
        <f t="shared" si="116"/>
        <v>0.99341213466468103</v>
      </c>
    </row>
    <row r="794" spans="1:11" x14ac:dyDescent="0.15">
      <c r="A794" s="7">
        <v>39235.566527777781</v>
      </c>
      <c r="B794">
        <v>38.1</v>
      </c>
      <c r="C794" s="6">
        <f t="shared" si="108"/>
        <v>1548.0000003939494</v>
      </c>
      <c r="D794" t="str">
        <f t="shared" si="109"/>
        <v/>
      </c>
      <c r="E794">
        <f t="shared" si="110"/>
        <v>39235.566527777781</v>
      </c>
      <c r="F794" s="4">
        <f t="shared" si="111"/>
        <v>0.5</v>
      </c>
      <c r="G794" s="4">
        <f t="shared" si="112"/>
        <v>0.25</v>
      </c>
      <c r="H794" s="5">
        <f t="shared" si="113"/>
        <v>0.50000011688098311</v>
      </c>
      <c r="I794" s="14">
        <f t="shared" si="114"/>
        <v>91.256866751156068</v>
      </c>
      <c r="J794" s="19">
        <f t="shared" si="115"/>
        <v>1003268.6328151859</v>
      </c>
      <c r="K794" s="16">
        <f t="shared" si="116"/>
        <v>0.99350250320864497</v>
      </c>
    </row>
    <row r="795" spans="1:11" x14ac:dyDescent="0.15">
      <c r="A795" s="7">
        <v>39235.566550925927</v>
      </c>
      <c r="B795">
        <v>38.1</v>
      </c>
      <c r="C795" s="6">
        <f t="shared" si="108"/>
        <v>1550.0000002328306</v>
      </c>
      <c r="D795" t="str">
        <f t="shared" si="109"/>
        <v/>
      </c>
      <c r="E795">
        <f t="shared" si="110"/>
        <v>39235.566550925927</v>
      </c>
      <c r="F795" s="4">
        <f t="shared" si="111"/>
        <v>0.5</v>
      </c>
      <c r="G795" s="4">
        <f t="shared" si="112"/>
        <v>0.25</v>
      </c>
      <c r="H795" s="5">
        <f t="shared" si="113"/>
        <v>0.49999995972029865</v>
      </c>
      <c r="I795" s="14">
        <f t="shared" si="114"/>
        <v>91.256838067179487</v>
      </c>
      <c r="J795" s="19">
        <f t="shared" si="115"/>
        <v>1003359.8896532531</v>
      </c>
      <c r="K795" s="16">
        <f t="shared" si="116"/>
        <v>0.99359287172420419</v>
      </c>
    </row>
    <row r="796" spans="1:11" x14ac:dyDescent="0.15">
      <c r="A796" s="7">
        <v>39235.566574074073</v>
      </c>
      <c r="B796">
        <v>38.1</v>
      </c>
      <c r="C796" s="6">
        <f t="shared" si="108"/>
        <v>1552.0000000717118</v>
      </c>
      <c r="D796" t="str">
        <f t="shared" si="109"/>
        <v/>
      </c>
      <c r="E796">
        <f t="shared" si="110"/>
        <v>39235.566574074073</v>
      </c>
      <c r="F796" s="4">
        <f t="shared" si="111"/>
        <v>0.5</v>
      </c>
      <c r="G796" s="4">
        <f t="shared" si="112"/>
        <v>0.25</v>
      </c>
      <c r="H796" s="5">
        <f t="shared" si="113"/>
        <v>0.49999995972029865</v>
      </c>
      <c r="I796" s="14">
        <f t="shared" si="114"/>
        <v>91.256838067179487</v>
      </c>
      <c r="J796" s="19">
        <f t="shared" si="115"/>
        <v>1003451.1464913203</v>
      </c>
      <c r="K796" s="16">
        <f t="shared" si="116"/>
        <v>0.99368324023976351</v>
      </c>
    </row>
    <row r="797" spans="1:11" x14ac:dyDescent="0.15">
      <c r="A797" s="7">
        <v>39235.56659722222</v>
      </c>
      <c r="B797">
        <v>38.1</v>
      </c>
      <c r="C797" s="6">
        <f t="shared" si="108"/>
        <v>1553.999999910593</v>
      </c>
      <c r="D797" t="str">
        <f t="shared" si="109"/>
        <v/>
      </c>
      <c r="E797">
        <f t="shared" si="110"/>
        <v>39235.56659722222</v>
      </c>
      <c r="F797" s="4">
        <f t="shared" si="111"/>
        <v>0.5</v>
      </c>
      <c r="G797" s="4">
        <f t="shared" si="112"/>
        <v>0.25</v>
      </c>
      <c r="H797" s="5">
        <f t="shared" si="113"/>
        <v>0.49999995972029865</v>
      </c>
      <c r="I797" s="14">
        <f t="shared" si="114"/>
        <v>91.256838067179487</v>
      </c>
      <c r="J797" s="19">
        <f t="shared" si="115"/>
        <v>1003542.4033293875</v>
      </c>
      <c r="K797" s="16">
        <f t="shared" si="116"/>
        <v>0.99377360875532272</v>
      </c>
    </row>
    <row r="798" spans="1:11" x14ac:dyDescent="0.15">
      <c r="A798" s="7">
        <v>39235.566620370373</v>
      </c>
      <c r="B798">
        <v>38.200000000000003</v>
      </c>
      <c r="C798" s="6">
        <f t="shared" si="108"/>
        <v>1556.000000378117</v>
      </c>
      <c r="D798" t="str">
        <f t="shared" si="109"/>
        <v/>
      </c>
      <c r="E798">
        <f t="shared" si="110"/>
        <v>39235.566620370373</v>
      </c>
      <c r="F798" s="4">
        <f t="shared" si="111"/>
        <v>0.60000000000000142</v>
      </c>
      <c r="G798" s="4">
        <f t="shared" si="112"/>
        <v>0.30000000000000071</v>
      </c>
      <c r="H798" s="5">
        <f t="shared" si="113"/>
        <v>0.55000012856908209</v>
      </c>
      <c r="I798" s="14">
        <f t="shared" si="114"/>
        <v>100.3825534262718</v>
      </c>
      <c r="J798" s="19">
        <f t="shared" si="115"/>
        <v>1003642.7858828139</v>
      </c>
      <c r="K798" s="16">
        <f t="shared" si="116"/>
        <v>0.99387301415368312</v>
      </c>
    </row>
    <row r="799" spans="1:11" x14ac:dyDescent="0.15">
      <c r="A799" s="7">
        <v>39235.566643518519</v>
      </c>
      <c r="B799">
        <v>38.1</v>
      </c>
      <c r="C799" s="6">
        <f t="shared" si="108"/>
        <v>1558.0000002169982</v>
      </c>
      <c r="D799" t="str">
        <f t="shared" si="109"/>
        <v/>
      </c>
      <c r="E799">
        <f t="shared" si="110"/>
        <v>39235.566643518519</v>
      </c>
      <c r="F799" s="4">
        <f t="shared" si="111"/>
        <v>0.5</v>
      </c>
      <c r="G799" s="4">
        <f t="shared" si="112"/>
        <v>0.25</v>
      </c>
      <c r="H799" s="5">
        <f t="shared" si="113"/>
        <v>0.54999995569232918</v>
      </c>
      <c r="I799" s="14">
        <f t="shared" si="114"/>
        <v>100.38252187389756</v>
      </c>
      <c r="J799" s="19">
        <f t="shared" si="115"/>
        <v>1003743.1684046878</v>
      </c>
      <c r="K799" s="16">
        <f t="shared" si="116"/>
        <v>0.99397241952079829</v>
      </c>
    </row>
    <row r="800" spans="1:11" x14ac:dyDescent="0.15">
      <c r="A800" s="7">
        <v>39235.566666666666</v>
      </c>
      <c r="B800">
        <v>38.1</v>
      </c>
      <c r="C800" s="6">
        <f t="shared" si="108"/>
        <v>1560.0000000558794</v>
      </c>
      <c r="D800" t="str">
        <f t="shared" si="109"/>
        <v/>
      </c>
      <c r="E800">
        <f t="shared" si="110"/>
        <v>39235.566666666666</v>
      </c>
      <c r="F800" s="4">
        <f t="shared" si="111"/>
        <v>0.5</v>
      </c>
      <c r="G800" s="4">
        <f t="shared" si="112"/>
        <v>0.25</v>
      </c>
      <c r="H800" s="5">
        <f t="shared" si="113"/>
        <v>0.49999995972029865</v>
      </c>
      <c r="I800" s="14">
        <f t="shared" si="114"/>
        <v>91.256838067179487</v>
      </c>
      <c r="J800" s="19">
        <f t="shared" si="115"/>
        <v>1003834.425242755</v>
      </c>
      <c r="K800" s="16">
        <f t="shared" si="116"/>
        <v>0.99406278803635761</v>
      </c>
    </row>
    <row r="801" spans="1:11" x14ac:dyDescent="0.15">
      <c r="A801" s="7">
        <v>39235.566689814812</v>
      </c>
      <c r="B801">
        <v>38.1</v>
      </c>
      <c r="C801" s="6">
        <f t="shared" si="108"/>
        <v>1561.9999998947605</v>
      </c>
      <c r="D801" t="str">
        <f t="shared" si="109"/>
        <v/>
      </c>
      <c r="E801">
        <f t="shared" si="110"/>
        <v>39235.566689814812</v>
      </c>
      <c r="F801" s="4">
        <f t="shared" si="111"/>
        <v>0.5</v>
      </c>
      <c r="G801" s="4">
        <f t="shared" si="112"/>
        <v>0.25</v>
      </c>
      <c r="H801" s="5">
        <f t="shared" si="113"/>
        <v>0.49999995972029865</v>
      </c>
      <c r="I801" s="14">
        <f t="shared" si="114"/>
        <v>91.256838067179487</v>
      </c>
      <c r="J801" s="19">
        <f t="shared" si="115"/>
        <v>1003925.6820808222</v>
      </c>
      <c r="K801" s="16">
        <f t="shared" si="116"/>
        <v>0.99415315655191683</v>
      </c>
    </row>
    <row r="802" spans="1:11" x14ac:dyDescent="0.15">
      <c r="A802" s="7">
        <v>39235.566712962966</v>
      </c>
      <c r="B802">
        <v>38.200000000000003</v>
      </c>
      <c r="C802" s="6">
        <f t="shared" si="108"/>
        <v>1564.0000003622845</v>
      </c>
      <c r="D802" t="str">
        <f t="shared" si="109"/>
        <v/>
      </c>
      <c r="E802">
        <f t="shared" si="110"/>
        <v>39235.566712962966</v>
      </c>
      <c r="F802" s="4">
        <f t="shared" si="111"/>
        <v>0.60000000000000142</v>
      </c>
      <c r="G802" s="4">
        <f t="shared" si="112"/>
        <v>0.30000000000000071</v>
      </c>
      <c r="H802" s="5">
        <f t="shared" si="113"/>
        <v>0.55000012856908209</v>
      </c>
      <c r="I802" s="14">
        <f t="shared" si="114"/>
        <v>100.3825534262718</v>
      </c>
      <c r="J802" s="19">
        <f t="shared" si="115"/>
        <v>1004026.0646342485</v>
      </c>
      <c r="K802" s="16">
        <f t="shared" si="116"/>
        <v>0.99425256195027722</v>
      </c>
    </row>
    <row r="803" spans="1:11" x14ac:dyDescent="0.15">
      <c r="A803" s="7">
        <v>39235.566736111112</v>
      </c>
      <c r="B803">
        <v>38</v>
      </c>
      <c r="C803" s="6">
        <f t="shared" si="108"/>
        <v>1566.0000002011657</v>
      </c>
      <c r="D803" t="str">
        <f t="shared" si="109"/>
        <v/>
      </c>
      <c r="E803">
        <f t="shared" si="110"/>
        <v>39235.566736111112</v>
      </c>
      <c r="F803" s="4">
        <f t="shared" si="111"/>
        <v>0.39999999999999858</v>
      </c>
      <c r="G803" s="4">
        <f t="shared" si="112"/>
        <v>0.19999999999999929</v>
      </c>
      <c r="H803" s="5">
        <f t="shared" si="113"/>
        <v>0.49999995972029865</v>
      </c>
      <c r="I803" s="14">
        <f t="shared" si="114"/>
        <v>91.256838067179487</v>
      </c>
      <c r="J803" s="19">
        <f t="shared" si="115"/>
        <v>1004117.3214723157</v>
      </c>
      <c r="K803" s="16">
        <f t="shared" si="116"/>
        <v>0.99434293046583655</v>
      </c>
    </row>
    <row r="804" spans="1:11" x14ac:dyDescent="0.15">
      <c r="A804" s="7">
        <v>39235.566759259258</v>
      </c>
      <c r="B804">
        <v>38.1</v>
      </c>
      <c r="C804" s="6">
        <f t="shared" ref="C804:C867" si="117">(A804-$B$4)*24*60*60</f>
        <v>1568.0000000400469</v>
      </c>
      <c r="D804" t="str">
        <f t="shared" ref="D804:D867" si="118">IF(F804=$B$8,A804,"")</f>
        <v/>
      </c>
      <c r="E804">
        <f t="shared" ref="E804:E867" si="119">IF(B804-$B$6&gt;0,A804," ")</f>
        <v>39235.566759259258</v>
      </c>
      <c r="F804" s="4">
        <f t="shared" ref="F804:F867" si="120">IF((B804-$B$6)&gt;0,B804-$B$6,0)</f>
        <v>0.5</v>
      </c>
      <c r="G804" s="4">
        <f t="shared" ref="G804:G867" si="121">F804/2</f>
        <v>0.25</v>
      </c>
      <c r="H804" s="5">
        <f t="shared" ref="H804:H867" si="122">AVERAGE(G803:G804)*(C804-C803)</f>
        <v>0.44999996374826806</v>
      </c>
      <c r="I804" s="14">
        <f t="shared" ref="I804:I867" si="123">H804*$B$14</f>
        <v>82.131154260461415</v>
      </c>
      <c r="J804" s="19">
        <f t="shared" ref="J804:J867" si="124">J803+I804</f>
        <v>1004199.4526265762</v>
      </c>
      <c r="K804" s="16">
        <f t="shared" ref="K804:K867" si="125">J804/($B$12*1000)</f>
        <v>0.99442426212983981</v>
      </c>
    </row>
    <row r="805" spans="1:11" x14ac:dyDescent="0.15">
      <c r="A805" s="7">
        <v>39235.566782407404</v>
      </c>
      <c r="B805">
        <v>38.200000000000003</v>
      </c>
      <c r="C805" s="6">
        <f t="shared" si="117"/>
        <v>1569.9999998789281</v>
      </c>
      <c r="D805" t="str">
        <f t="shared" si="118"/>
        <v/>
      </c>
      <c r="E805">
        <f t="shared" si="119"/>
        <v>39235.566782407404</v>
      </c>
      <c r="F805" s="4">
        <f t="shared" si="120"/>
        <v>0.60000000000000142</v>
      </c>
      <c r="G805" s="4">
        <f t="shared" si="121"/>
        <v>0.30000000000000071</v>
      </c>
      <c r="H805" s="5">
        <f t="shared" si="122"/>
        <v>0.54999995569232918</v>
      </c>
      <c r="I805" s="14">
        <f t="shared" si="123"/>
        <v>100.38252187389756</v>
      </c>
      <c r="J805" s="19">
        <f t="shared" si="124"/>
        <v>1004299.8351484501</v>
      </c>
      <c r="K805" s="16">
        <f t="shared" si="125"/>
        <v>0.99452366749695509</v>
      </c>
    </row>
    <row r="806" spans="1:11" x14ac:dyDescent="0.15">
      <c r="A806" s="7">
        <v>39235.566805555558</v>
      </c>
      <c r="B806">
        <v>38.1</v>
      </c>
      <c r="C806" s="6">
        <f t="shared" si="117"/>
        <v>1572.000000346452</v>
      </c>
      <c r="D806" t="str">
        <f t="shared" si="118"/>
        <v/>
      </c>
      <c r="E806">
        <f t="shared" si="119"/>
        <v>39235.566805555558</v>
      </c>
      <c r="F806" s="4">
        <f t="shared" si="120"/>
        <v>0.5</v>
      </c>
      <c r="G806" s="4">
        <f t="shared" si="121"/>
        <v>0.25</v>
      </c>
      <c r="H806" s="5">
        <f t="shared" si="122"/>
        <v>0.55000012856908209</v>
      </c>
      <c r="I806" s="14">
        <f t="shared" si="123"/>
        <v>100.3825534262718</v>
      </c>
      <c r="J806" s="19">
        <f t="shared" si="124"/>
        <v>1004400.2177018764</v>
      </c>
      <c r="K806" s="16">
        <f t="shared" si="125"/>
        <v>0.99462307289531549</v>
      </c>
    </row>
    <row r="807" spans="1:11" x14ac:dyDescent="0.15">
      <c r="A807" s="7">
        <v>39235.566828703704</v>
      </c>
      <c r="B807">
        <v>38.200000000000003</v>
      </c>
      <c r="C807" s="6">
        <f t="shared" si="117"/>
        <v>1574.0000001853332</v>
      </c>
      <c r="D807" t="str">
        <f t="shared" si="118"/>
        <v/>
      </c>
      <c r="E807">
        <f t="shared" si="119"/>
        <v>39235.566828703704</v>
      </c>
      <c r="F807" s="4">
        <f t="shared" si="120"/>
        <v>0.60000000000000142</v>
      </c>
      <c r="G807" s="4">
        <f t="shared" si="121"/>
        <v>0.30000000000000071</v>
      </c>
      <c r="H807" s="5">
        <f t="shared" si="122"/>
        <v>0.54999995569232918</v>
      </c>
      <c r="I807" s="14">
        <f t="shared" si="123"/>
        <v>100.38252187389756</v>
      </c>
      <c r="J807" s="19">
        <f t="shared" si="124"/>
        <v>1004500.6002237503</v>
      </c>
      <c r="K807" s="16">
        <f t="shared" si="125"/>
        <v>0.99472247826243065</v>
      </c>
    </row>
    <row r="808" spans="1:11" x14ac:dyDescent="0.15">
      <c r="A808" s="7">
        <v>39235.566851851851</v>
      </c>
      <c r="B808">
        <v>38</v>
      </c>
      <c r="C808" s="6">
        <f t="shared" si="117"/>
        <v>1576.0000000242144</v>
      </c>
      <c r="D808" t="str">
        <f t="shared" si="118"/>
        <v/>
      </c>
      <c r="E808">
        <f t="shared" si="119"/>
        <v>39235.566851851851</v>
      </c>
      <c r="F808" s="4">
        <f t="shared" si="120"/>
        <v>0.39999999999999858</v>
      </c>
      <c r="G808" s="4">
        <f t="shared" si="121"/>
        <v>0.19999999999999929</v>
      </c>
      <c r="H808" s="5">
        <f t="shared" si="122"/>
        <v>0.49999995972029865</v>
      </c>
      <c r="I808" s="14">
        <f t="shared" si="123"/>
        <v>91.256838067179487</v>
      </c>
      <c r="J808" s="19">
        <f t="shared" si="124"/>
        <v>1004591.8570618175</v>
      </c>
      <c r="K808" s="16">
        <f t="shared" si="125"/>
        <v>0.99481284677798987</v>
      </c>
    </row>
    <row r="809" spans="1:11" x14ac:dyDescent="0.15">
      <c r="A809" s="7">
        <v>39235.566874999997</v>
      </c>
      <c r="B809">
        <v>38.200000000000003</v>
      </c>
      <c r="C809" s="6">
        <f t="shared" si="117"/>
        <v>1577.9999998630956</v>
      </c>
      <c r="D809" t="str">
        <f t="shared" si="118"/>
        <v/>
      </c>
      <c r="E809">
        <f t="shared" si="119"/>
        <v>39235.566874999997</v>
      </c>
      <c r="F809" s="4">
        <f t="shared" si="120"/>
        <v>0.60000000000000142</v>
      </c>
      <c r="G809" s="4">
        <f t="shared" si="121"/>
        <v>0.30000000000000071</v>
      </c>
      <c r="H809" s="5">
        <f t="shared" si="122"/>
        <v>0.49999995972029865</v>
      </c>
      <c r="I809" s="14">
        <f t="shared" si="123"/>
        <v>91.256838067179487</v>
      </c>
      <c r="J809" s="19">
        <f t="shared" si="124"/>
        <v>1004683.1138998847</v>
      </c>
      <c r="K809" s="16">
        <f t="shared" si="125"/>
        <v>0.99490321529354919</v>
      </c>
    </row>
    <row r="810" spans="1:11" x14ac:dyDescent="0.15">
      <c r="A810" s="7">
        <v>39235.56689814815</v>
      </c>
      <c r="B810">
        <v>38</v>
      </c>
      <c r="C810" s="6">
        <f t="shared" si="117"/>
        <v>1580.0000003306195</v>
      </c>
      <c r="D810" t="str">
        <f t="shared" si="118"/>
        <v/>
      </c>
      <c r="E810">
        <f t="shared" si="119"/>
        <v>39235.56689814815</v>
      </c>
      <c r="F810" s="4">
        <f t="shared" si="120"/>
        <v>0.39999999999999858</v>
      </c>
      <c r="G810" s="4">
        <f t="shared" si="121"/>
        <v>0.19999999999999929</v>
      </c>
      <c r="H810" s="5">
        <f t="shared" si="122"/>
        <v>0.50000011688098311</v>
      </c>
      <c r="I810" s="14">
        <f t="shared" si="123"/>
        <v>91.256866751156068</v>
      </c>
      <c r="J810" s="19">
        <f t="shared" si="124"/>
        <v>1004774.3707666359</v>
      </c>
      <c r="K810" s="16">
        <f t="shared" si="125"/>
        <v>0.99499358383751313</v>
      </c>
    </row>
    <row r="811" spans="1:11" x14ac:dyDescent="0.15">
      <c r="A811" s="7">
        <v>39235.566921296297</v>
      </c>
      <c r="B811">
        <v>37.9</v>
      </c>
      <c r="C811" s="6">
        <f t="shared" si="117"/>
        <v>1582.0000001695007</v>
      </c>
      <c r="D811" t="str">
        <f t="shared" si="118"/>
        <v/>
      </c>
      <c r="E811">
        <f t="shared" si="119"/>
        <v>39235.566921296297</v>
      </c>
      <c r="F811" s="4">
        <f t="shared" si="120"/>
        <v>0.29999999999999716</v>
      </c>
      <c r="G811" s="4">
        <f t="shared" si="121"/>
        <v>0.14999999999999858</v>
      </c>
      <c r="H811" s="5">
        <f t="shared" si="122"/>
        <v>0.34999997180420694</v>
      </c>
      <c r="I811" s="14">
        <f t="shared" si="123"/>
        <v>63.879786647025256</v>
      </c>
      <c r="J811" s="19">
        <f t="shared" si="124"/>
        <v>1004838.2505532829</v>
      </c>
      <c r="K811" s="16">
        <f t="shared" si="125"/>
        <v>0.99505684179840459</v>
      </c>
    </row>
    <row r="812" spans="1:11" x14ac:dyDescent="0.15">
      <c r="A812" s="7">
        <v>39235.566944444443</v>
      </c>
      <c r="B812">
        <v>37.700000000000003</v>
      </c>
      <c r="C812" s="6">
        <f t="shared" si="117"/>
        <v>1584.0000000083819</v>
      </c>
      <c r="D812" t="str">
        <f t="shared" si="118"/>
        <v/>
      </c>
      <c r="E812">
        <f t="shared" si="119"/>
        <v>39235.566944444443</v>
      </c>
      <c r="F812" s="4">
        <f t="shared" si="120"/>
        <v>0.10000000000000142</v>
      </c>
      <c r="G812" s="4">
        <f t="shared" si="121"/>
        <v>5.0000000000000711E-2</v>
      </c>
      <c r="H812" s="5">
        <f t="shared" si="122"/>
        <v>0.19999998388811874</v>
      </c>
      <c r="I812" s="14">
        <f t="shared" si="123"/>
        <v>36.502735226871664</v>
      </c>
      <c r="J812" s="19">
        <f t="shared" si="124"/>
        <v>1004874.7532885098</v>
      </c>
      <c r="K812" s="16">
        <f t="shared" si="125"/>
        <v>0.9950929892046283</v>
      </c>
    </row>
    <row r="813" spans="1:11" x14ac:dyDescent="0.15">
      <c r="A813" s="7">
        <v>39235.566967592589</v>
      </c>
      <c r="B813">
        <v>38</v>
      </c>
      <c r="C813" s="6">
        <f t="shared" si="117"/>
        <v>1585.9999998472631</v>
      </c>
      <c r="D813" t="str">
        <f t="shared" si="118"/>
        <v/>
      </c>
      <c r="E813">
        <f t="shared" si="119"/>
        <v>39235.566967592589</v>
      </c>
      <c r="F813" s="4">
        <f t="shared" si="120"/>
        <v>0.39999999999999858</v>
      </c>
      <c r="G813" s="4">
        <f t="shared" si="121"/>
        <v>0.19999999999999929</v>
      </c>
      <c r="H813" s="5">
        <f t="shared" si="122"/>
        <v>0.24999997986014932</v>
      </c>
      <c r="I813" s="14">
        <f t="shared" si="123"/>
        <v>45.628419033589743</v>
      </c>
      <c r="J813" s="19">
        <f t="shared" si="124"/>
        <v>1004920.3817075434</v>
      </c>
      <c r="K813" s="16">
        <f t="shared" si="125"/>
        <v>0.99513817346240796</v>
      </c>
    </row>
    <row r="814" spans="1:11" x14ac:dyDescent="0.15">
      <c r="A814" s="7">
        <v>39235.566990740743</v>
      </c>
      <c r="B814">
        <v>37.9</v>
      </c>
      <c r="C814" s="6">
        <f t="shared" si="117"/>
        <v>1588.000000314787</v>
      </c>
      <c r="D814" t="str">
        <f t="shared" si="118"/>
        <v/>
      </c>
      <c r="E814">
        <f t="shared" si="119"/>
        <v>39235.566990740743</v>
      </c>
      <c r="F814" s="4">
        <f t="shared" si="120"/>
        <v>0.29999999999999716</v>
      </c>
      <c r="G814" s="4">
        <f t="shared" si="121"/>
        <v>0.14999999999999858</v>
      </c>
      <c r="H814" s="5">
        <f t="shared" si="122"/>
        <v>0.35000008181668607</v>
      </c>
      <c r="I814" s="14">
        <f t="shared" si="123"/>
        <v>63.879806725808862</v>
      </c>
      <c r="J814" s="19">
        <f t="shared" si="124"/>
        <v>1004984.2615142692</v>
      </c>
      <c r="K814" s="16">
        <f t="shared" si="125"/>
        <v>0.99520143144318263</v>
      </c>
    </row>
    <row r="815" spans="1:11" x14ac:dyDescent="0.15">
      <c r="A815" s="7">
        <v>39235.567013888889</v>
      </c>
      <c r="B815">
        <v>37.9</v>
      </c>
      <c r="C815" s="6">
        <f t="shared" si="117"/>
        <v>1590.0000001536682</v>
      </c>
      <c r="D815" t="str">
        <f t="shared" si="118"/>
        <v/>
      </c>
      <c r="E815">
        <f t="shared" si="119"/>
        <v>39235.567013888889</v>
      </c>
      <c r="F815" s="4">
        <f t="shared" si="120"/>
        <v>0.29999999999999716</v>
      </c>
      <c r="G815" s="4">
        <f t="shared" si="121"/>
        <v>0.14999999999999858</v>
      </c>
      <c r="H815" s="5">
        <f t="shared" si="122"/>
        <v>0.29999997583217636</v>
      </c>
      <c r="I815" s="14">
        <f t="shared" si="123"/>
        <v>54.754102840307176</v>
      </c>
      <c r="J815" s="19">
        <f t="shared" si="124"/>
        <v>1005039.0156171095</v>
      </c>
      <c r="K815" s="16">
        <f t="shared" si="125"/>
        <v>0.99525565255251824</v>
      </c>
    </row>
    <row r="816" spans="1:11" x14ac:dyDescent="0.15">
      <c r="A816" s="7">
        <v>39235.567037037035</v>
      </c>
      <c r="B816">
        <v>38</v>
      </c>
      <c r="C816" s="6">
        <f t="shared" si="117"/>
        <v>1591.9999999925494</v>
      </c>
      <c r="D816" t="str">
        <f t="shared" si="118"/>
        <v/>
      </c>
      <c r="E816">
        <f t="shared" si="119"/>
        <v>39235.567037037035</v>
      </c>
      <c r="F816" s="4">
        <f t="shared" si="120"/>
        <v>0.39999999999999858</v>
      </c>
      <c r="G816" s="4">
        <f t="shared" si="121"/>
        <v>0.19999999999999929</v>
      </c>
      <c r="H816" s="5">
        <f t="shared" si="122"/>
        <v>0.34999997180420694</v>
      </c>
      <c r="I816" s="14">
        <f t="shared" si="123"/>
        <v>63.879786647025256</v>
      </c>
      <c r="J816" s="19">
        <f t="shared" si="124"/>
        <v>1005102.8954037565</v>
      </c>
      <c r="K816" s="16">
        <f t="shared" si="125"/>
        <v>0.9953189105134097</v>
      </c>
    </row>
    <row r="817" spans="1:11" x14ac:dyDescent="0.15">
      <c r="A817" s="7">
        <v>39235.567060185182</v>
      </c>
      <c r="B817">
        <v>37.9</v>
      </c>
      <c r="C817" s="6">
        <f t="shared" si="117"/>
        <v>1593.9999998314306</v>
      </c>
      <c r="D817" t="str">
        <f t="shared" si="118"/>
        <v/>
      </c>
      <c r="E817">
        <f t="shared" si="119"/>
        <v>39235.567060185182</v>
      </c>
      <c r="F817" s="4">
        <f t="shared" si="120"/>
        <v>0.29999999999999716</v>
      </c>
      <c r="G817" s="4">
        <f t="shared" si="121"/>
        <v>0.14999999999999858</v>
      </c>
      <c r="H817" s="5">
        <f t="shared" si="122"/>
        <v>0.34999997180420694</v>
      </c>
      <c r="I817" s="14">
        <f t="shared" si="123"/>
        <v>63.879786647025256</v>
      </c>
      <c r="J817" s="19">
        <f t="shared" si="124"/>
        <v>1005166.7751904036</v>
      </c>
      <c r="K817" s="16">
        <f t="shared" si="125"/>
        <v>0.99538216847430117</v>
      </c>
    </row>
    <row r="818" spans="1:11" x14ac:dyDescent="0.15">
      <c r="A818" s="7">
        <v>39235.567083333335</v>
      </c>
      <c r="B818">
        <v>37.700000000000003</v>
      </c>
      <c r="C818" s="6">
        <f t="shared" si="117"/>
        <v>1596.0000002989545</v>
      </c>
      <c r="D818" t="str">
        <f t="shared" si="118"/>
        <v/>
      </c>
      <c r="E818">
        <f t="shared" si="119"/>
        <v>39235.567083333335</v>
      </c>
      <c r="F818" s="4">
        <f t="shared" si="120"/>
        <v>0.10000000000000142</v>
      </c>
      <c r="G818" s="4">
        <f t="shared" si="121"/>
        <v>5.0000000000000711E-2</v>
      </c>
      <c r="H818" s="5">
        <f t="shared" si="122"/>
        <v>0.20000004675239252</v>
      </c>
      <c r="I818" s="14">
        <f t="shared" si="123"/>
        <v>36.502746700462296</v>
      </c>
      <c r="J818" s="19">
        <f t="shared" si="124"/>
        <v>1005203.277937104</v>
      </c>
      <c r="K818" s="16">
        <f t="shared" si="125"/>
        <v>0.99541831589188678</v>
      </c>
    </row>
    <row r="819" spans="1:11" x14ac:dyDescent="0.15">
      <c r="A819" s="7">
        <v>39235.567106481481</v>
      </c>
      <c r="B819">
        <v>38</v>
      </c>
      <c r="C819" s="6">
        <f t="shared" si="117"/>
        <v>1598.0000001378357</v>
      </c>
      <c r="D819" t="str">
        <f t="shared" si="118"/>
        <v/>
      </c>
      <c r="E819">
        <f t="shared" si="119"/>
        <v>39235.567106481481</v>
      </c>
      <c r="F819" s="4">
        <f t="shared" si="120"/>
        <v>0.39999999999999858</v>
      </c>
      <c r="G819" s="4">
        <f t="shared" si="121"/>
        <v>0.19999999999999929</v>
      </c>
      <c r="H819" s="5">
        <f t="shared" si="122"/>
        <v>0.24999997986014932</v>
      </c>
      <c r="I819" s="14">
        <f t="shared" si="123"/>
        <v>45.628419033589743</v>
      </c>
      <c r="J819" s="19">
        <f t="shared" si="124"/>
        <v>1005248.9063561376</v>
      </c>
      <c r="K819" s="16">
        <f t="shared" si="125"/>
        <v>0.99546350014966634</v>
      </c>
    </row>
    <row r="820" spans="1:11" x14ac:dyDescent="0.15">
      <c r="A820" s="7">
        <v>39235.567129629628</v>
      </c>
      <c r="B820">
        <v>37.9</v>
      </c>
      <c r="C820" s="6">
        <f t="shared" si="117"/>
        <v>1599.9999999767169</v>
      </c>
      <c r="D820" t="str">
        <f t="shared" si="118"/>
        <v/>
      </c>
      <c r="E820">
        <f t="shared" si="119"/>
        <v>39235.567129629628</v>
      </c>
      <c r="F820" s="4">
        <f t="shared" si="120"/>
        <v>0.29999999999999716</v>
      </c>
      <c r="G820" s="4">
        <f t="shared" si="121"/>
        <v>0.14999999999999858</v>
      </c>
      <c r="H820" s="5">
        <f t="shared" si="122"/>
        <v>0.34999997180420694</v>
      </c>
      <c r="I820" s="14">
        <f t="shared" si="123"/>
        <v>63.879786647025256</v>
      </c>
      <c r="J820" s="19">
        <f t="shared" si="124"/>
        <v>1005312.7861427846</v>
      </c>
      <c r="K820" s="16">
        <f t="shared" si="125"/>
        <v>0.99552675811055791</v>
      </c>
    </row>
    <row r="821" spans="1:11" x14ac:dyDescent="0.15">
      <c r="A821" s="7">
        <v>39235.567152777781</v>
      </c>
      <c r="B821">
        <v>37.9</v>
      </c>
      <c r="C821" s="6">
        <f t="shared" si="117"/>
        <v>1602.0000004442409</v>
      </c>
      <c r="D821" t="str">
        <f t="shared" si="118"/>
        <v/>
      </c>
      <c r="E821">
        <f t="shared" si="119"/>
        <v>39235.567152777781</v>
      </c>
      <c r="F821" s="4">
        <f t="shared" si="120"/>
        <v>0.29999999999999716</v>
      </c>
      <c r="G821" s="4">
        <f t="shared" si="121"/>
        <v>0.14999999999999858</v>
      </c>
      <c r="H821" s="5">
        <f t="shared" si="122"/>
        <v>0.30000007012858704</v>
      </c>
      <c r="I821" s="14">
        <f t="shared" si="123"/>
        <v>54.754120050693125</v>
      </c>
      <c r="J821" s="19">
        <f t="shared" si="124"/>
        <v>1005367.5402628353</v>
      </c>
      <c r="K821" s="16">
        <f t="shared" si="125"/>
        <v>0.99558097923693623</v>
      </c>
    </row>
    <row r="822" spans="1:11" x14ac:dyDescent="0.15">
      <c r="A822" s="7">
        <v>39235.567175925928</v>
      </c>
      <c r="B822">
        <v>37.700000000000003</v>
      </c>
      <c r="C822" s="6">
        <f t="shared" si="117"/>
        <v>1604.0000002831221</v>
      </c>
      <c r="D822" t="str">
        <f t="shared" si="118"/>
        <v/>
      </c>
      <c r="E822">
        <f t="shared" si="119"/>
        <v>39235.567175925928</v>
      </c>
      <c r="F822" s="4">
        <f t="shared" si="120"/>
        <v>0.10000000000000142</v>
      </c>
      <c r="G822" s="4">
        <f t="shared" si="121"/>
        <v>5.0000000000000711E-2</v>
      </c>
      <c r="H822" s="5">
        <f t="shared" si="122"/>
        <v>0.19999998388811874</v>
      </c>
      <c r="I822" s="14">
        <f t="shared" si="123"/>
        <v>36.502735226871664</v>
      </c>
      <c r="J822" s="19">
        <f t="shared" si="124"/>
        <v>1005404.0429980622</v>
      </c>
      <c r="K822" s="16">
        <f t="shared" si="125"/>
        <v>0.99561712664315993</v>
      </c>
    </row>
    <row r="823" spans="1:11" x14ac:dyDescent="0.15">
      <c r="A823" s="7">
        <v>39235.567199074074</v>
      </c>
      <c r="B823">
        <v>38</v>
      </c>
      <c r="C823" s="6">
        <f t="shared" si="117"/>
        <v>1606.0000001220033</v>
      </c>
      <c r="D823" t="str">
        <f t="shared" si="118"/>
        <v/>
      </c>
      <c r="E823">
        <f t="shared" si="119"/>
        <v>39235.567199074074</v>
      </c>
      <c r="F823" s="4">
        <f t="shared" si="120"/>
        <v>0.39999999999999858</v>
      </c>
      <c r="G823" s="4">
        <f t="shared" si="121"/>
        <v>0.19999999999999929</v>
      </c>
      <c r="H823" s="5">
        <f t="shared" si="122"/>
        <v>0.24999997986014932</v>
      </c>
      <c r="I823" s="14">
        <f t="shared" si="123"/>
        <v>45.628419033589743</v>
      </c>
      <c r="J823" s="19">
        <f t="shared" si="124"/>
        <v>1005449.6714170958</v>
      </c>
      <c r="K823" s="16">
        <f t="shared" si="125"/>
        <v>0.9956623109009396</v>
      </c>
    </row>
    <row r="824" spans="1:11" x14ac:dyDescent="0.15">
      <c r="A824" s="7">
        <v>39235.56722222222</v>
      </c>
      <c r="B824">
        <v>38</v>
      </c>
      <c r="C824" s="6">
        <f t="shared" si="117"/>
        <v>1607.9999999608845</v>
      </c>
      <c r="D824" t="str">
        <f t="shared" si="118"/>
        <v/>
      </c>
      <c r="E824">
        <f t="shared" si="119"/>
        <v>39235.56722222222</v>
      </c>
      <c r="F824" s="4">
        <f t="shared" si="120"/>
        <v>0.39999999999999858</v>
      </c>
      <c r="G824" s="4">
        <f t="shared" si="121"/>
        <v>0.19999999999999929</v>
      </c>
      <c r="H824" s="5">
        <f t="shared" si="122"/>
        <v>0.39999996777623748</v>
      </c>
      <c r="I824" s="14">
        <f t="shared" si="123"/>
        <v>73.005470453743328</v>
      </c>
      <c r="J824" s="19">
        <f t="shared" si="124"/>
        <v>1005522.6768875496</v>
      </c>
      <c r="K824" s="16">
        <f t="shared" si="125"/>
        <v>0.99573460571338701</v>
      </c>
    </row>
    <row r="825" spans="1:11" x14ac:dyDescent="0.15">
      <c r="A825" s="7">
        <v>39235.567245370374</v>
      </c>
      <c r="B825">
        <v>38</v>
      </c>
      <c r="C825" s="6">
        <f t="shared" si="117"/>
        <v>1610.0000004284084</v>
      </c>
      <c r="D825" t="str">
        <f t="shared" si="118"/>
        <v/>
      </c>
      <c r="E825">
        <f t="shared" si="119"/>
        <v>39235.567245370374</v>
      </c>
      <c r="F825" s="4">
        <f t="shared" si="120"/>
        <v>0.39999999999999858</v>
      </c>
      <c r="G825" s="4">
        <f t="shared" si="121"/>
        <v>0.19999999999999929</v>
      </c>
      <c r="H825" s="5">
        <f t="shared" si="122"/>
        <v>0.40000009350478505</v>
      </c>
      <c r="I825" s="14">
        <f t="shared" si="123"/>
        <v>73.005493400924593</v>
      </c>
      <c r="J825" s="19">
        <f t="shared" si="124"/>
        <v>1005595.6823809505</v>
      </c>
      <c r="K825" s="16">
        <f t="shared" si="125"/>
        <v>0.99580690054855825</v>
      </c>
    </row>
    <row r="826" spans="1:11" x14ac:dyDescent="0.15">
      <c r="A826" s="7">
        <v>39235.56726851852</v>
      </c>
      <c r="B826">
        <v>38</v>
      </c>
      <c r="C826" s="6">
        <f t="shared" si="117"/>
        <v>1612.0000002672896</v>
      </c>
      <c r="D826" t="str">
        <f t="shared" si="118"/>
        <v/>
      </c>
      <c r="E826">
        <f t="shared" si="119"/>
        <v>39235.56726851852</v>
      </c>
      <c r="F826" s="4">
        <f t="shared" si="120"/>
        <v>0.39999999999999858</v>
      </c>
      <c r="G826" s="4">
        <f t="shared" si="121"/>
        <v>0.19999999999999929</v>
      </c>
      <c r="H826" s="5">
        <f t="shared" si="122"/>
        <v>0.39999996777623748</v>
      </c>
      <c r="I826" s="14">
        <f t="shared" si="123"/>
        <v>73.005470453743328</v>
      </c>
      <c r="J826" s="19">
        <f t="shared" si="124"/>
        <v>1005668.6878514043</v>
      </c>
      <c r="K826" s="16">
        <f t="shared" si="125"/>
        <v>0.99587919536100566</v>
      </c>
    </row>
    <row r="827" spans="1:11" x14ac:dyDescent="0.15">
      <c r="A827" s="7">
        <v>39235.567291666666</v>
      </c>
      <c r="B827">
        <v>38.1</v>
      </c>
      <c r="C827" s="6">
        <f t="shared" si="117"/>
        <v>1614.0000001061708</v>
      </c>
      <c r="D827" t="str">
        <f t="shared" si="118"/>
        <v/>
      </c>
      <c r="E827">
        <f t="shared" si="119"/>
        <v>39235.567291666666</v>
      </c>
      <c r="F827" s="4">
        <f t="shared" si="120"/>
        <v>0.5</v>
      </c>
      <c r="G827" s="4">
        <f t="shared" si="121"/>
        <v>0.25</v>
      </c>
      <c r="H827" s="5">
        <f t="shared" si="122"/>
        <v>0.44999996374826806</v>
      </c>
      <c r="I827" s="14">
        <f t="shared" si="123"/>
        <v>82.131154260461415</v>
      </c>
      <c r="J827" s="19">
        <f t="shared" si="124"/>
        <v>1005750.8190056648</v>
      </c>
      <c r="K827" s="16">
        <f t="shared" si="125"/>
        <v>0.99596052702500892</v>
      </c>
    </row>
    <row r="828" spans="1:11" x14ac:dyDescent="0.15">
      <c r="A828" s="7">
        <v>39235.567314814813</v>
      </c>
      <c r="B828">
        <v>38</v>
      </c>
      <c r="C828" s="6">
        <f t="shared" si="117"/>
        <v>1615.999999945052</v>
      </c>
      <c r="D828" t="str">
        <f t="shared" si="118"/>
        <v/>
      </c>
      <c r="E828">
        <f t="shared" si="119"/>
        <v>39235.567314814813</v>
      </c>
      <c r="F828" s="4">
        <f t="shared" si="120"/>
        <v>0.39999999999999858</v>
      </c>
      <c r="G828" s="4">
        <f t="shared" si="121"/>
        <v>0.19999999999999929</v>
      </c>
      <c r="H828" s="5">
        <f t="shared" si="122"/>
        <v>0.44999996374826806</v>
      </c>
      <c r="I828" s="14">
        <f t="shared" si="123"/>
        <v>82.131154260461415</v>
      </c>
      <c r="J828" s="19">
        <f t="shared" si="124"/>
        <v>1005832.9501599253</v>
      </c>
      <c r="K828" s="16">
        <f t="shared" si="125"/>
        <v>0.99604185868901229</v>
      </c>
    </row>
    <row r="829" spans="1:11" x14ac:dyDescent="0.15">
      <c r="A829" s="7">
        <v>39235.567337962966</v>
      </c>
      <c r="B829">
        <v>38.1</v>
      </c>
      <c r="C829" s="6">
        <f t="shared" si="117"/>
        <v>1618.0000004125759</v>
      </c>
      <c r="D829" t="str">
        <f t="shared" si="118"/>
        <v/>
      </c>
      <c r="E829">
        <f t="shared" si="119"/>
        <v>39235.567337962966</v>
      </c>
      <c r="F829" s="4">
        <f t="shared" si="120"/>
        <v>0.5</v>
      </c>
      <c r="G829" s="4">
        <f t="shared" si="121"/>
        <v>0.25</v>
      </c>
      <c r="H829" s="5">
        <f t="shared" si="122"/>
        <v>0.45000010519288408</v>
      </c>
      <c r="I829" s="14">
        <f t="shared" si="123"/>
        <v>82.131180076040323</v>
      </c>
      <c r="J829" s="19">
        <f t="shared" si="124"/>
        <v>1005915.0813400013</v>
      </c>
      <c r="K829" s="16">
        <f t="shared" si="125"/>
        <v>0.99612319037857988</v>
      </c>
    </row>
    <row r="830" spans="1:11" x14ac:dyDescent="0.15">
      <c r="A830" s="7">
        <v>39235.567361111112</v>
      </c>
      <c r="B830">
        <v>38.1</v>
      </c>
      <c r="C830" s="6">
        <f t="shared" si="117"/>
        <v>1620.0000002514571</v>
      </c>
      <c r="D830" t="str">
        <f t="shared" si="118"/>
        <v/>
      </c>
      <c r="E830">
        <f t="shared" si="119"/>
        <v>39235.567361111112</v>
      </c>
      <c r="F830" s="4">
        <f t="shared" si="120"/>
        <v>0.5</v>
      </c>
      <c r="G830" s="4">
        <f t="shared" si="121"/>
        <v>0.25</v>
      </c>
      <c r="H830" s="5">
        <f t="shared" si="122"/>
        <v>0.49999995972029865</v>
      </c>
      <c r="I830" s="14">
        <f t="shared" si="123"/>
        <v>91.256838067179487</v>
      </c>
      <c r="J830" s="19">
        <f t="shared" si="124"/>
        <v>1006006.3381780685</v>
      </c>
      <c r="K830" s="16">
        <f t="shared" si="125"/>
        <v>0.9962135588941391</v>
      </c>
    </row>
    <row r="831" spans="1:11" x14ac:dyDescent="0.15">
      <c r="A831" s="7">
        <v>39235.567384259259</v>
      </c>
      <c r="B831">
        <v>38.1</v>
      </c>
      <c r="C831" s="6">
        <f t="shared" si="117"/>
        <v>1622.0000000903383</v>
      </c>
      <c r="D831" t="str">
        <f t="shared" si="118"/>
        <v/>
      </c>
      <c r="E831">
        <f t="shared" si="119"/>
        <v>39235.567384259259</v>
      </c>
      <c r="F831" s="4">
        <f t="shared" si="120"/>
        <v>0.5</v>
      </c>
      <c r="G831" s="4">
        <f t="shared" si="121"/>
        <v>0.25</v>
      </c>
      <c r="H831" s="5">
        <f t="shared" si="122"/>
        <v>0.49999995972029865</v>
      </c>
      <c r="I831" s="14">
        <f t="shared" si="123"/>
        <v>91.256838067179487</v>
      </c>
      <c r="J831" s="19">
        <f t="shared" si="124"/>
        <v>1006097.5950161357</v>
      </c>
      <c r="K831" s="16">
        <f t="shared" si="125"/>
        <v>0.99630392740969842</v>
      </c>
    </row>
    <row r="832" spans="1:11" x14ac:dyDescent="0.15">
      <c r="A832" s="7">
        <v>39235.567407407405</v>
      </c>
      <c r="B832">
        <v>38.1</v>
      </c>
      <c r="C832" s="6">
        <f t="shared" si="117"/>
        <v>1623.9999999292195</v>
      </c>
      <c r="D832" t="str">
        <f t="shared" si="118"/>
        <v/>
      </c>
      <c r="E832">
        <f t="shared" si="119"/>
        <v>39235.567407407405</v>
      </c>
      <c r="F832" s="4">
        <f t="shared" si="120"/>
        <v>0.5</v>
      </c>
      <c r="G832" s="4">
        <f t="shared" si="121"/>
        <v>0.25</v>
      </c>
      <c r="H832" s="5">
        <f t="shared" si="122"/>
        <v>0.49999995972029865</v>
      </c>
      <c r="I832" s="14">
        <f t="shared" si="123"/>
        <v>91.256838067179487</v>
      </c>
      <c r="J832" s="19">
        <f t="shared" si="124"/>
        <v>1006188.8518542029</v>
      </c>
      <c r="K832" s="16">
        <f t="shared" si="125"/>
        <v>0.99639429592525763</v>
      </c>
    </row>
    <row r="833" spans="1:11" x14ac:dyDescent="0.15">
      <c r="A833" s="7">
        <v>39235.567430555559</v>
      </c>
      <c r="B833">
        <v>38.1</v>
      </c>
      <c r="C833" s="6">
        <f t="shared" si="117"/>
        <v>1626.0000003967434</v>
      </c>
      <c r="D833" t="str">
        <f t="shared" si="118"/>
        <v/>
      </c>
      <c r="E833">
        <f t="shared" si="119"/>
        <v>39235.567430555559</v>
      </c>
      <c r="F833" s="4">
        <f t="shared" si="120"/>
        <v>0.5</v>
      </c>
      <c r="G833" s="4">
        <f t="shared" si="121"/>
        <v>0.25</v>
      </c>
      <c r="H833" s="5">
        <f t="shared" si="122"/>
        <v>0.50000011688098311</v>
      </c>
      <c r="I833" s="14">
        <f t="shared" si="123"/>
        <v>91.256866751156068</v>
      </c>
      <c r="J833" s="19">
        <f t="shared" si="124"/>
        <v>1006280.108720954</v>
      </c>
      <c r="K833" s="16">
        <f t="shared" si="125"/>
        <v>0.99648466446922157</v>
      </c>
    </row>
    <row r="834" spans="1:11" x14ac:dyDescent="0.15">
      <c r="A834" s="7">
        <v>39235.567453703705</v>
      </c>
      <c r="B834">
        <v>38.1</v>
      </c>
      <c r="C834" s="6">
        <f t="shared" si="117"/>
        <v>1628.0000002356246</v>
      </c>
      <c r="D834" t="str">
        <f t="shared" si="118"/>
        <v/>
      </c>
      <c r="E834">
        <f t="shared" si="119"/>
        <v>39235.567453703705</v>
      </c>
      <c r="F834" s="4">
        <f t="shared" si="120"/>
        <v>0.5</v>
      </c>
      <c r="G834" s="4">
        <f t="shared" si="121"/>
        <v>0.25</v>
      </c>
      <c r="H834" s="5">
        <f t="shared" si="122"/>
        <v>0.49999995972029865</v>
      </c>
      <c r="I834" s="14">
        <f t="shared" si="123"/>
        <v>91.256838067179487</v>
      </c>
      <c r="J834" s="19">
        <f t="shared" si="124"/>
        <v>1006371.3655590212</v>
      </c>
      <c r="K834" s="16">
        <f t="shared" si="125"/>
        <v>0.9965750329847809</v>
      </c>
    </row>
    <row r="835" spans="1:11" x14ac:dyDescent="0.15">
      <c r="A835" s="7">
        <v>39235.567476851851</v>
      </c>
      <c r="B835">
        <v>38</v>
      </c>
      <c r="C835" s="6">
        <f t="shared" si="117"/>
        <v>1630.0000000745058</v>
      </c>
      <c r="D835" t="str">
        <f t="shared" si="118"/>
        <v/>
      </c>
      <c r="E835">
        <f t="shared" si="119"/>
        <v>39235.567476851851</v>
      </c>
      <c r="F835" s="4">
        <f t="shared" si="120"/>
        <v>0.39999999999999858</v>
      </c>
      <c r="G835" s="4">
        <f t="shared" si="121"/>
        <v>0.19999999999999929</v>
      </c>
      <c r="H835" s="5">
        <f t="shared" si="122"/>
        <v>0.44999996374826806</v>
      </c>
      <c r="I835" s="14">
        <f t="shared" si="123"/>
        <v>82.131154260461415</v>
      </c>
      <c r="J835" s="19">
        <f t="shared" si="124"/>
        <v>1006453.4967132817</v>
      </c>
      <c r="K835" s="16">
        <f t="shared" si="125"/>
        <v>0.99665636464878415</v>
      </c>
    </row>
    <row r="836" spans="1:11" x14ac:dyDescent="0.15">
      <c r="A836" s="7">
        <v>39235.567499999997</v>
      </c>
      <c r="B836">
        <v>38.1</v>
      </c>
      <c r="C836" s="6">
        <f t="shared" si="117"/>
        <v>1631.999999913387</v>
      </c>
      <c r="D836" t="str">
        <f t="shared" si="118"/>
        <v/>
      </c>
      <c r="E836">
        <f t="shared" si="119"/>
        <v>39235.567499999997</v>
      </c>
      <c r="F836" s="4">
        <f t="shared" si="120"/>
        <v>0.5</v>
      </c>
      <c r="G836" s="4">
        <f t="shared" si="121"/>
        <v>0.25</v>
      </c>
      <c r="H836" s="5">
        <f t="shared" si="122"/>
        <v>0.44999996374826806</v>
      </c>
      <c r="I836" s="14">
        <f t="shared" si="123"/>
        <v>82.131154260461415</v>
      </c>
      <c r="J836" s="19">
        <f t="shared" si="124"/>
        <v>1006535.6278675422</v>
      </c>
      <c r="K836" s="16">
        <f t="shared" si="125"/>
        <v>0.99673769631278752</v>
      </c>
    </row>
    <row r="837" spans="1:11" x14ac:dyDescent="0.15">
      <c r="A837" s="7">
        <v>39235.567523148151</v>
      </c>
      <c r="B837">
        <v>38.1</v>
      </c>
      <c r="C837" s="6">
        <f t="shared" si="117"/>
        <v>1634.0000003809109</v>
      </c>
      <c r="D837" t="str">
        <f t="shared" si="118"/>
        <v/>
      </c>
      <c r="E837">
        <f t="shared" si="119"/>
        <v>39235.567523148151</v>
      </c>
      <c r="F837" s="4">
        <f t="shared" si="120"/>
        <v>0.5</v>
      </c>
      <c r="G837" s="4">
        <f t="shared" si="121"/>
        <v>0.25</v>
      </c>
      <c r="H837" s="5">
        <f t="shared" si="122"/>
        <v>0.50000011688098311</v>
      </c>
      <c r="I837" s="14">
        <f t="shared" si="123"/>
        <v>91.256866751156068</v>
      </c>
      <c r="J837" s="19">
        <f t="shared" si="124"/>
        <v>1006626.8847342933</v>
      </c>
      <c r="K837" s="16">
        <f t="shared" si="125"/>
        <v>0.99682806485675146</v>
      </c>
    </row>
    <row r="838" spans="1:11" x14ac:dyDescent="0.15">
      <c r="A838" s="7">
        <v>39235.567546296297</v>
      </c>
      <c r="B838">
        <v>38.1</v>
      </c>
      <c r="C838" s="6">
        <f t="shared" si="117"/>
        <v>1636.0000002197921</v>
      </c>
      <c r="D838" t="str">
        <f t="shared" si="118"/>
        <v/>
      </c>
      <c r="E838">
        <f t="shared" si="119"/>
        <v>39235.567546296297</v>
      </c>
      <c r="F838" s="4">
        <f t="shared" si="120"/>
        <v>0.5</v>
      </c>
      <c r="G838" s="4">
        <f t="shared" si="121"/>
        <v>0.25</v>
      </c>
      <c r="H838" s="5">
        <f t="shared" si="122"/>
        <v>0.49999995972029865</v>
      </c>
      <c r="I838" s="14">
        <f t="shared" si="123"/>
        <v>91.256838067179487</v>
      </c>
      <c r="J838" s="19">
        <f t="shared" si="124"/>
        <v>1006718.1415723605</v>
      </c>
      <c r="K838" s="16">
        <f t="shared" si="125"/>
        <v>0.99691843337231068</v>
      </c>
    </row>
    <row r="839" spans="1:11" x14ac:dyDescent="0.15">
      <c r="A839" s="7">
        <v>39235.567569444444</v>
      </c>
      <c r="B839">
        <v>38.1</v>
      </c>
      <c r="C839" s="6">
        <f t="shared" si="117"/>
        <v>1638.0000000586733</v>
      </c>
      <c r="D839" t="str">
        <f t="shared" si="118"/>
        <v/>
      </c>
      <c r="E839">
        <f t="shared" si="119"/>
        <v>39235.567569444444</v>
      </c>
      <c r="F839" s="4">
        <f t="shared" si="120"/>
        <v>0.5</v>
      </c>
      <c r="G839" s="4">
        <f t="shared" si="121"/>
        <v>0.25</v>
      </c>
      <c r="H839" s="5">
        <f t="shared" si="122"/>
        <v>0.49999995972029865</v>
      </c>
      <c r="I839" s="14">
        <f t="shared" si="123"/>
        <v>91.256838067179487</v>
      </c>
      <c r="J839" s="19">
        <f t="shared" si="124"/>
        <v>1006809.3984104277</v>
      </c>
      <c r="K839" s="16">
        <f t="shared" si="125"/>
        <v>0.99700880188787</v>
      </c>
    </row>
    <row r="840" spans="1:11" x14ac:dyDescent="0.15">
      <c r="A840" s="7">
        <v>39235.56759259259</v>
      </c>
      <c r="B840">
        <v>37.9</v>
      </c>
      <c r="C840" s="6">
        <f t="shared" si="117"/>
        <v>1639.9999998975545</v>
      </c>
      <c r="D840" t="str">
        <f t="shared" si="118"/>
        <v/>
      </c>
      <c r="E840">
        <f t="shared" si="119"/>
        <v>39235.56759259259</v>
      </c>
      <c r="F840" s="4">
        <f t="shared" si="120"/>
        <v>0.29999999999999716</v>
      </c>
      <c r="G840" s="4">
        <f t="shared" si="121"/>
        <v>0.14999999999999858</v>
      </c>
      <c r="H840" s="5">
        <f t="shared" si="122"/>
        <v>0.39999996777623748</v>
      </c>
      <c r="I840" s="14">
        <f t="shared" si="123"/>
        <v>73.005470453743328</v>
      </c>
      <c r="J840" s="19">
        <f t="shared" si="124"/>
        <v>1006882.4038808815</v>
      </c>
      <c r="K840" s="16">
        <f t="shared" si="125"/>
        <v>0.99708109670031742</v>
      </c>
    </row>
    <row r="841" spans="1:11" x14ac:dyDescent="0.15">
      <c r="A841" s="7">
        <v>39235.567615740743</v>
      </c>
      <c r="B841">
        <v>37.700000000000003</v>
      </c>
      <c r="C841" s="6">
        <f t="shared" si="117"/>
        <v>1642.0000003650784</v>
      </c>
      <c r="D841" t="str">
        <f t="shared" si="118"/>
        <v/>
      </c>
      <c r="E841">
        <f t="shared" si="119"/>
        <v>39235.567615740743</v>
      </c>
      <c r="F841" s="4">
        <f t="shared" si="120"/>
        <v>0.10000000000000142</v>
      </c>
      <c r="G841" s="4">
        <f t="shared" si="121"/>
        <v>5.0000000000000711E-2</v>
      </c>
      <c r="H841" s="5">
        <f t="shared" si="122"/>
        <v>0.20000004675239252</v>
      </c>
      <c r="I841" s="14">
        <f t="shared" si="123"/>
        <v>36.502746700462296</v>
      </c>
      <c r="J841" s="19">
        <f t="shared" si="124"/>
        <v>1006918.9066275819</v>
      </c>
      <c r="K841" s="16">
        <f t="shared" si="125"/>
        <v>0.99711724411790292</v>
      </c>
    </row>
    <row r="842" spans="1:11" x14ac:dyDescent="0.15">
      <c r="A842" s="7">
        <v>39235.56763888889</v>
      </c>
      <c r="B842">
        <v>38</v>
      </c>
      <c r="C842" s="6">
        <f t="shared" si="117"/>
        <v>1644.0000002039596</v>
      </c>
      <c r="D842" t="str">
        <f t="shared" si="118"/>
        <v/>
      </c>
      <c r="E842">
        <f t="shared" si="119"/>
        <v>39235.56763888889</v>
      </c>
      <c r="F842" s="4">
        <f t="shared" si="120"/>
        <v>0.39999999999999858</v>
      </c>
      <c r="G842" s="4">
        <f t="shared" si="121"/>
        <v>0.19999999999999929</v>
      </c>
      <c r="H842" s="5">
        <f t="shared" si="122"/>
        <v>0.24999997986014932</v>
      </c>
      <c r="I842" s="14">
        <f t="shared" si="123"/>
        <v>45.628419033589743</v>
      </c>
      <c r="J842" s="19">
        <f t="shared" si="124"/>
        <v>1006964.5350466155</v>
      </c>
      <c r="K842" s="16">
        <f t="shared" si="125"/>
        <v>0.99716242837568259</v>
      </c>
    </row>
    <row r="843" spans="1:11" x14ac:dyDescent="0.15">
      <c r="A843" s="7">
        <v>39235.567662037036</v>
      </c>
      <c r="B843">
        <v>37.700000000000003</v>
      </c>
      <c r="C843" s="6">
        <f t="shared" si="117"/>
        <v>1646.0000000428408</v>
      </c>
      <c r="D843" t="str">
        <f t="shared" si="118"/>
        <v/>
      </c>
      <c r="E843">
        <f t="shared" si="119"/>
        <v>39235.567662037036</v>
      </c>
      <c r="F843" s="4">
        <f t="shared" si="120"/>
        <v>0.10000000000000142</v>
      </c>
      <c r="G843" s="4">
        <f t="shared" si="121"/>
        <v>5.0000000000000711E-2</v>
      </c>
      <c r="H843" s="5">
        <f t="shared" si="122"/>
        <v>0.24999997986014932</v>
      </c>
      <c r="I843" s="14">
        <f t="shared" si="123"/>
        <v>45.628419033589743</v>
      </c>
      <c r="J843" s="19">
        <f t="shared" si="124"/>
        <v>1007010.1634656491</v>
      </c>
      <c r="K843" s="16">
        <f t="shared" si="125"/>
        <v>0.99720761263346214</v>
      </c>
    </row>
    <row r="844" spans="1:11" x14ac:dyDescent="0.15">
      <c r="A844" s="7">
        <v>39235.567685185182</v>
      </c>
      <c r="B844">
        <v>37.9</v>
      </c>
      <c r="C844" s="6">
        <f t="shared" si="117"/>
        <v>1647.999999881722</v>
      </c>
      <c r="D844" t="str">
        <f t="shared" si="118"/>
        <v/>
      </c>
      <c r="E844">
        <f t="shared" si="119"/>
        <v>39235.567685185182</v>
      </c>
      <c r="F844" s="4">
        <f t="shared" si="120"/>
        <v>0.29999999999999716</v>
      </c>
      <c r="G844" s="4">
        <f t="shared" si="121"/>
        <v>0.14999999999999858</v>
      </c>
      <c r="H844" s="5">
        <f t="shared" si="122"/>
        <v>0.19999998388811874</v>
      </c>
      <c r="I844" s="14">
        <f t="shared" si="123"/>
        <v>36.502735226871664</v>
      </c>
      <c r="J844" s="19">
        <f t="shared" si="124"/>
        <v>1007046.666200876</v>
      </c>
      <c r="K844" s="16">
        <f t="shared" si="125"/>
        <v>0.99724376003968584</v>
      </c>
    </row>
    <row r="845" spans="1:11" x14ac:dyDescent="0.15">
      <c r="A845" s="7">
        <v>39235.567708333336</v>
      </c>
      <c r="B845">
        <v>37.700000000000003</v>
      </c>
      <c r="C845" s="6">
        <f t="shared" si="117"/>
        <v>1650.000000349246</v>
      </c>
      <c r="D845" t="str">
        <f t="shared" si="118"/>
        <v/>
      </c>
      <c r="E845">
        <f t="shared" si="119"/>
        <v>39235.567708333336</v>
      </c>
      <c r="F845" s="4">
        <f t="shared" si="120"/>
        <v>0.10000000000000142</v>
      </c>
      <c r="G845" s="4">
        <f t="shared" si="121"/>
        <v>5.0000000000000711E-2</v>
      </c>
      <c r="H845" s="5">
        <f t="shared" si="122"/>
        <v>0.20000004675239252</v>
      </c>
      <c r="I845" s="14">
        <f t="shared" si="123"/>
        <v>36.502746700462296</v>
      </c>
      <c r="J845" s="19">
        <f t="shared" si="124"/>
        <v>1007083.1689475764</v>
      </c>
      <c r="K845" s="16">
        <f t="shared" si="125"/>
        <v>0.99727990745727146</v>
      </c>
    </row>
    <row r="846" spans="1:11" x14ac:dyDescent="0.15">
      <c r="A846" s="7">
        <v>39235.567731481482</v>
      </c>
      <c r="B846">
        <v>37.700000000000003</v>
      </c>
      <c r="C846" s="6">
        <f t="shared" si="117"/>
        <v>1652.0000001881272</v>
      </c>
      <c r="D846" t="str">
        <f t="shared" si="118"/>
        <v/>
      </c>
      <c r="E846">
        <f t="shared" si="119"/>
        <v>39235.567731481482</v>
      </c>
      <c r="F846" s="4">
        <f t="shared" si="120"/>
        <v>0.10000000000000142</v>
      </c>
      <c r="G846" s="4">
        <f t="shared" si="121"/>
        <v>5.0000000000000711E-2</v>
      </c>
      <c r="H846" s="5">
        <f t="shared" si="122"/>
        <v>9.9999991944061145E-2</v>
      </c>
      <c r="I846" s="14">
        <f t="shared" si="123"/>
        <v>18.251367613436155</v>
      </c>
      <c r="J846" s="19">
        <f t="shared" si="124"/>
        <v>1007101.4203151899</v>
      </c>
      <c r="K846" s="16">
        <f t="shared" si="125"/>
        <v>0.99729798116038326</v>
      </c>
    </row>
    <row r="847" spans="1:11" x14ac:dyDescent="0.15">
      <c r="A847" s="7">
        <v>39235.567754629628</v>
      </c>
      <c r="B847">
        <v>37.700000000000003</v>
      </c>
      <c r="C847" s="6">
        <f t="shared" si="117"/>
        <v>1654.0000000270084</v>
      </c>
      <c r="D847" t="str">
        <f t="shared" si="118"/>
        <v/>
      </c>
      <c r="E847">
        <f t="shared" si="119"/>
        <v>39235.567754629628</v>
      </c>
      <c r="F847" s="4">
        <f t="shared" si="120"/>
        <v>0.10000000000000142</v>
      </c>
      <c r="G847" s="4">
        <f t="shared" si="121"/>
        <v>5.0000000000000711E-2</v>
      </c>
      <c r="H847" s="5">
        <f t="shared" si="122"/>
        <v>9.9999991944061145E-2</v>
      </c>
      <c r="I847" s="14">
        <f t="shared" si="123"/>
        <v>18.251367613436155</v>
      </c>
      <c r="J847" s="19">
        <f t="shared" si="124"/>
        <v>1007119.6716828033</v>
      </c>
      <c r="K847" s="16">
        <f t="shared" si="125"/>
        <v>0.99731605486349517</v>
      </c>
    </row>
    <row r="848" spans="1:11" x14ac:dyDescent="0.15">
      <c r="A848" s="7">
        <v>39235.567777777775</v>
      </c>
      <c r="B848">
        <v>37.9</v>
      </c>
      <c r="C848" s="6">
        <f t="shared" si="117"/>
        <v>1655.9999998658895</v>
      </c>
      <c r="D848" t="str">
        <f t="shared" si="118"/>
        <v/>
      </c>
      <c r="E848">
        <f t="shared" si="119"/>
        <v>39235.567777777775</v>
      </c>
      <c r="F848" s="4">
        <f t="shared" si="120"/>
        <v>0.29999999999999716</v>
      </c>
      <c r="G848" s="4">
        <f t="shared" si="121"/>
        <v>0.14999999999999858</v>
      </c>
      <c r="H848" s="5">
        <f t="shared" si="122"/>
        <v>0.19999998388811874</v>
      </c>
      <c r="I848" s="14">
        <f t="shared" si="123"/>
        <v>36.502735226871664</v>
      </c>
      <c r="J848" s="19">
        <f t="shared" si="124"/>
        <v>1007156.1744180302</v>
      </c>
      <c r="K848" s="16">
        <f t="shared" si="125"/>
        <v>0.99735220226971888</v>
      </c>
    </row>
    <row r="849" spans="1:11" x14ac:dyDescent="0.15">
      <c r="A849" s="7">
        <v>39235.567800925928</v>
      </c>
      <c r="B849">
        <v>37.700000000000003</v>
      </c>
      <c r="C849" s="6">
        <f t="shared" si="117"/>
        <v>1658.0000003334135</v>
      </c>
      <c r="D849" t="str">
        <f t="shared" si="118"/>
        <v/>
      </c>
      <c r="E849">
        <f t="shared" si="119"/>
        <v>39235.567800925928</v>
      </c>
      <c r="F849" s="4">
        <f t="shared" si="120"/>
        <v>0.10000000000000142</v>
      </c>
      <c r="G849" s="4">
        <f t="shared" si="121"/>
        <v>5.0000000000000711E-2</v>
      </c>
      <c r="H849" s="5">
        <f t="shared" si="122"/>
        <v>0.20000004675239252</v>
      </c>
      <c r="I849" s="14">
        <f t="shared" si="123"/>
        <v>36.502746700462296</v>
      </c>
      <c r="J849" s="19">
        <f t="shared" si="124"/>
        <v>1007192.6771647306</v>
      </c>
      <c r="K849" s="16">
        <f t="shared" si="125"/>
        <v>0.99738834968730439</v>
      </c>
    </row>
    <row r="850" spans="1:11" x14ac:dyDescent="0.15">
      <c r="A850" s="7">
        <v>39235.567824074074</v>
      </c>
      <c r="B850">
        <v>37.700000000000003</v>
      </c>
      <c r="C850" s="6">
        <f t="shared" si="117"/>
        <v>1660.0000001722947</v>
      </c>
      <c r="D850" t="str">
        <f t="shared" si="118"/>
        <v/>
      </c>
      <c r="E850">
        <f t="shared" si="119"/>
        <v>39235.567824074074</v>
      </c>
      <c r="F850" s="4">
        <f t="shared" si="120"/>
        <v>0.10000000000000142</v>
      </c>
      <c r="G850" s="4">
        <f t="shared" si="121"/>
        <v>5.0000000000000711E-2</v>
      </c>
      <c r="H850" s="5">
        <f t="shared" si="122"/>
        <v>9.9999991944061145E-2</v>
      </c>
      <c r="I850" s="14">
        <f t="shared" si="123"/>
        <v>18.251367613436155</v>
      </c>
      <c r="J850" s="19">
        <f t="shared" si="124"/>
        <v>1007210.9285323441</v>
      </c>
      <c r="K850" s="16">
        <f t="shared" si="125"/>
        <v>0.9974064233904163</v>
      </c>
    </row>
    <row r="851" spans="1:11" x14ac:dyDescent="0.15">
      <c r="A851" s="7">
        <v>39235.567847222221</v>
      </c>
      <c r="B851">
        <v>37.700000000000003</v>
      </c>
      <c r="C851" s="6">
        <f t="shared" si="117"/>
        <v>1662.0000000111759</v>
      </c>
      <c r="D851" t="str">
        <f t="shared" si="118"/>
        <v/>
      </c>
      <c r="E851">
        <f t="shared" si="119"/>
        <v>39235.567847222221</v>
      </c>
      <c r="F851" s="4">
        <f t="shared" si="120"/>
        <v>0.10000000000000142</v>
      </c>
      <c r="G851" s="4">
        <f t="shared" si="121"/>
        <v>5.0000000000000711E-2</v>
      </c>
      <c r="H851" s="5">
        <f t="shared" si="122"/>
        <v>9.9999991944061145E-2</v>
      </c>
      <c r="I851" s="14">
        <f t="shared" si="123"/>
        <v>18.251367613436155</v>
      </c>
      <c r="J851" s="19">
        <f t="shared" si="124"/>
        <v>1007229.1798999575</v>
      </c>
      <c r="K851" s="16">
        <f t="shared" si="125"/>
        <v>0.9974244970935281</v>
      </c>
    </row>
    <row r="852" spans="1:11" x14ac:dyDescent="0.15">
      <c r="A852" s="7">
        <v>39235.567870370367</v>
      </c>
      <c r="B852">
        <v>37.700000000000003</v>
      </c>
      <c r="C852" s="6">
        <f t="shared" si="117"/>
        <v>1663.9999998500571</v>
      </c>
      <c r="D852" t="str">
        <f t="shared" si="118"/>
        <v/>
      </c>
      <c r="E852">
        <f t="shared" si="119"/>
        <v>39235.567870370367</v>
      </c>
      <c r="F852" s="4">
        <f t="shared" si="120"/>
        <v>0.10000000000000142</v>
      </c>
      <c r="G852" s="4">
        <f t="shared" si="121"/>
        <v>5.0000000000000711E-2</v>
      </c>
      <c r="H852" s="5">
        <f t="shared" si="122"/>
        <v>9.9999991944061145E-2</v>
      </c>
      <c r="I852" s="14">
        <f t="shared" si="123"/>
        <v>18.251367613436155</v>
      </c>
      <c r="J852" s="19">
        <f t="shared" si="124"/>
        <v>1007247.4312675709</v>
      </c>
      <c r="K852" s="16">
        <f t="shared" si="125"/>
        <v>0.99744257079664</v>
      </c>
    </row>
    <row r="853" spans="1:11" x14ac:dyDescent="0.15">
      <c r="A853" s="7">
        <v>39235.567893518521</v>
      </c>
      <c r="B853">
        <v>37.700000000000003</v>
      </c>
      <c r="C853" s="6">
        <f t="shared" si="117"/>
        <v>1666.000000317581</v>
      </c>
      <c r="D853" t="str">
        <f t="shared" si="118"/>
        <v/>
      </c>
      <c r="E853">
        <f t="shared" si="119"/>
        <v>39235.567893518521</v>
      </c>
      <c r="F853" s="4">
        <f t="shared" si="120"/>
        <v>0.10000000000000142</v>
      </c>
      <c r="G853" s="4">
        <f t="shared" si="121"/>
        <v>5.0000000000000711E-2</v>
      </c>
      <c r="H853" s="5">
        <f t="shared" si="122"/>
        <v>0.10000002337619804</v>
      </c>
      <c r="I853" s="14">
        <f t="shared" si="123"/>
        <v>18.251373350231471</v>
      </c>
      <c r="J853" s="19">
        <f t="shared" si="124"/>
        <v>1007265.6826409212</v>
      </c>
      <c r="K853" s="16">
        <f t="shared" si="125"/>
        <v>0.99746064450543281</v>
      </c>
    </row>
    <row r="854" spans="1:11" x14ac:dyDescent="0.15">
      <c r="A854" s="7">
        <v>39235.567916666667</v>
      </c>
      <c r="B854">
        <v>37.700000000000003</v>
      </c>
      <c r="C854" s="6">
        <f t="shared" si="117"/>
        <v>1668.0000001564622</v>
      </c>
      <c r="D854" t="str">
        <f t="shared" si="118"/>
        <v/>
      </c>
      <c r="E854">
        <f t="shared" si="119"/>
        <v>39235.567916666667</v>
      </c>
      <c r="F854" s="4">
        <f t="shared" si="120"/>
        <v>0.10000000000000142</v>
      </c>
      <c r="G854" s="4">
        <f t="shared" si="121"/>
        <v>5.0000000000000711E-2</v>
      </c>
      <c r="H854" s="5">
        <f t="shared" si="122"/>
        <v>9.9999991944061145E-2</v>
      </c>
      <c r="I854" s="14">
        <f t="shared" si="123"/>
        <v>18.251367613436155</v>
      </c>
      <c r="J854" s="19">
        <f t="shared" si="124"/>
        <v>1007283.9340085346</v>
      </c>
      <c r="K854" s="16">
        <f t="shared" si="125"/>
        <v>0.99747871820854461</v>
      </c>
    </row>
    <row r="855" spans="1:11" x14ac:dyDescent="0.15">
      <c r="A855" s="7">
        <v>39235.567939814813</v>
      </c>
      <c r="B855">
        <v>37.700000000000003</v>
      </c>
      <c r="C855" s="6">
        <f t="shared" si="117"/>
        <v>1669.9999999953434</v>
      </c>
      <c r="D855" t="str">
        <f t="shared" si="118"/>
        <v/>
      </c>
      <c r="E855">
        <f t="shared" si="119"/>
        <v>39235.567939814813</v>
      </c>
      <c r="F855" s="4">
        <f t="shared" si="120"/>
        <v>0.10000000000000142</v>
      </c>
      <c r="G855" s="4">
        <f t="shared" si="121"/>
        <v>5.0000000000000711E-2</v>
      </c>
      <c r="H855" s="5">
        <f t="shared" si="122"/>
        <v>9.9999991944061145E-2</v>
      </c>
      <c r="I855" s="14">
        <f t="shared" si="123"/>
        <v>18.251367613436155</v>
      </c>
      <c r="J855" s="19">
        <f t="shared" si="124"/>
        <v>1007302.1853761481</v>
      </c>
      <c r="K855" s="16">
        <f t="shared" si="125"/>
        <v>0.99749679191165652</v>
      </c>
    </row>
    <row r="856" spans="1:11" x14ac:dyDescent="0.15">
      <c r="A856" s="7">
        <v>39235.567962962959</v>
      </c>
      <c r="B856">
        <v>37.700000000000003</v>
      </c>
      <c r="C856" s="6">
        <f t="shared" si="117"/>
        <v>1671.9999998342246</v>
      </c>
      <c r="D856" t="str">
        <f t="shared" si="118"/>
        <v/>
      </c>
      <c r="E856">
        <f t="shared" si="119"/>
        <v>39235.567962962959</v>
      </c>
      <c r="F856" s="4">
        <f t="shared" si="120"/>
        <v>0.10000000000000142</v>
      </c>
      <c r="G856" s="4">
        <f t="shared" si="121"/>
        <v>5.0000000000000711E-2</v>
      </c>
      <c r="H856" s="5">
        <f t="shared" si="122"/>
        <v>9.9999991944061145E-2</v>
      </c>
      <c r="I856" s="14">
        <f t="shared" si="123"/>
        <v>18.251367613436155</v>
      </c>
      <c r="J856" s="19">
        <f t="shared" si="124"/>
        <v>1007320.4367437615</v>
      </c>
      <c r="K856" s="16">
        <f t="shared" si="125"/>
        <v>0.99751486561476832</v>
      </c>
    </row>
    <row r="857" spans="1:11" x14ac:dyDescent="0.15">
      <c r="A857" s="7">
        <v>39235.567986111113</v>
      </c>
      <c r="B857">
        <v>37.700000000000003</v>
      </c>
      <c r="C857" s="6">
        <f t="shared" si="117"/>
        <v>1674.0000003017485</v>
      </c>
      <c r="D857" t="str">
        <f t="shared" si="118"/>
        <v/>
      </c>
      <c r="E857">
        <f t="shared" si="119"/>
        <v>39235.567986111113</v>
      </c>
      <c r="F857" s="4">
        <f t="shared" si="120"/>
        <v>0.10000000000000142</v>
      </c>
      <c r="G857" s="4">
        <f t="shared" si="121"/>
        <v>5.0000000000000711E-2</v>
      </c>
      <c r="H857" s="5">
        <f t="shared" si="122"/>
        <v>0.10000002337619804</v>
      </c>
      <c r="I857" s="14">
        <f t="shared" si="123"/>
        <v>18.251373350231471</v>
      </c>
      <c r="J857" s="19">
        <f t="shared" si="124"/>
        <v>1007338.6881171118</v>
      </c>
      <c r="K857" s="16">
        <f t="shared" si="125"/>
        <v>0.99753293932356124</v>
      </c>
    </row>
    <row r="858" spans="1:11" x14ac:dyDescent="0.15">
      <c r="A858" s="7">
        <v>39235.568009259259</v>
      </c>
      <c r="B858">
        <v>37.700000000000003</v>
      </c>
      <c r="C858" s="6">
        <f t="shared" si="117"/>
        <v>1676.0000001406297</v>
      </c>
      <c r="D858" t="str">
        <f t="shared" si="118"/>
        <v/>
      </c>
      <c r="E858">
        <f t="shared" si="119"/>
        <v>39235.568009259259</v>
      </c>
      <c r="F858" s="4">
        <f t="shared" si="120"/>
        <v>0.10000000000000142</v>
      </c>
      <c r="G858" s="4">
        <f t="shared" si="121"/>
        <v>5.0000000000000711E-2</v>
      </c>
      <c r="H858" s="5">
        <f t="shared" si="122"/>
        <v>9.9999991944061145E-2</v>
      </c>
      <c r="I858" s="14">
        <f t="shared" si="123"/>
        <v>18.251367613436155</v>
      </c>
      <c r="J858" s="19">
        <f t="shared" si="124"/>
        <v>1007356.9394847252</v>
      </c>
      <c r="K858" s="16">
        <f t="shared" si="125"/>
        <v>0.99755101302667304</v>
      </c>
    </row>
    <row r="859" spans="1:11" x14ac:dyDescent="0.15">
      <c r="A859" s="7">
        <v>39235.568032407406</v>
      </c>
      <c r="B859">
        <v>37.700000000000003</v>
      </c>
      <c r="C859" s="6">
        <f t="shared" si="117"/>
        <v>1677.9999999795109</v>
      </c>
      <c r="D859" t="str">
        <f t="shared" si="118"/>
        <v/>
      </c>
      <c r="E859">
        <f t="shared" si="119"/>
        <v>39235.568032407406</v>
      </c>
      <c r="F859" s="4">
        <f t="shared" si="120"/>
        <v>0.10000000000000142</v>
      </c>
      <c r="G859" s="4">
        <f t="shared" si="121"/>
        <v>5.0000000000000711E-2</v>
      </c>
      <c r="H859" s="5">
        <f t="shared" si="122"/>
        <v>9.9999991944061145E-2</v>
      </c>
      <c r="I859" s="14">
        <f t="shared" si="123"/>
        <v>18.251367613436155</v>
      </c>
      <c r="J859" s="19">
        <f t="shared" si="124"/>
        <v>1007375.1908523387</v>
      </c>
      <c r="K859" s="16">
        <f t="shared" si="125"/>
        <v>0.99756908672978495</v>
      </c>
    </row>
    <row r="860" spans="1:11" x14ac:dyDescent="0.15">
      <c r="A860" s="7">
        <v>39235.568055555559</v>
      </c>
      <c r="B860">
        <v>37.700000000000003</v>
      </c>
      <c r="C860" s="6">
        <f t="shared" si="117"/>
        <v>1680.0000004470348</v>
      </c>
      <c r="D860" t="str">
        <f t="shared" si="118"/>
        <v/>
      </c>
      <c r="E860">
        <f t="shared" si="119"/>
        <v>39235.568055555559</v>
      </c>
      <c r="F860" s="4">
        <f t="shared" si="120"/>
        <v>0.10000000000000142</v>
      </c>
      <c r="G860" s="4">
        <f t="shared" si="121"/>
        <v>5.0000000000000711E-2</v>
      </c>
      <c r="H860" s="5">
        <f t="shared" si="122"/>
        <v>0.10000002337619804</v>
      </c>
      <c r="I860" s="14">
        <f t="shared" si="123"/>
        <v>18.251373350231471</v>
      </c>
      <c r="J860" s="19">
        <f t="shared" si="124"/>
        <v>1007393.442225689</v>
      </c>
      <c r="K860" s="16">
        <f t="shared" si="125"/>
        <v>0.99758716043857776</v>
      </c>
    </row>
    <row r="861" spans="1:11" x14ac:dyDescent="0.15">
      <c r="A861" s="7">
        <v>39235.568078703705</v>
      </c>
      <c r="B861">
        <v>37.700000000000003</v>
      </c>
      <c r="C861" s="6">
        <f t="shared" si="117"/>
        <v>1682.000000285916</v>
      </c>
      <c r="D861" t="str">
        <f t="shared" si="118"/>
        <v/>
      </c>
      <c r="E861">
        <f t="shared" si="119"/>
        <v>39235.568078703705</v>
      </c>
      <c r="F861" s="4">
        <f t="shared" si="120"/>
        <v>0.10000000000000142</v>
      </c>
      <c r="G861" s="4">
        <f t="shared" si="121"/>
        <v>5.0000000000000711E-2</v>
      </c>
      <c r="H861" s="5">
        <f t="shared" si="122"/>
        <v>9.9999991944061145E-2</v>
      </c>
      <c r="I861" s="14">
        <f t="shared" si="123"/>
        <v>18.251367613436155</v>
      </c>
      <c r="J861" s="19">
        <f t="shared" si="124"/>
        <v>1007411.6935933024</v>
      </c>
      <c r="K861" s="16">
        <f t="shared" si="125"/>
        <v>0.99760523414168956</v>
      </c>
    </row>
    <row r="862" spans="1:11" x14ac:dyDescent="0.15">
      <c r="A862" s="7">
        <v>39235.568101851852</v>
      </c>
      <c r="B862">
        <v>37.700000000000003</v>
      </c>
      <c r="C862" s="6">
        <f t="shared" si="117"/>
        <v>1684.0000001247972</v>
      </c>
      <c r="D862" t="str">
        <f t="shared" si="118"/>
        <v/>
      </c>
      <c r="E862">
        <f t="shared" si="119"/>
        <v>39235.568101851852</v>
      </c>
      <c r="F862" s="4">
        <f t="shared" si="120"/>
        <v>0.10000000000000142</v>
      </c>
      <c r="G862" s="4">
        <f t="shared" si="121"/>
        <v>5.0000000000000711E-2</v>
      </c>
      <c r="H862" s="5">
        <f t="shared" si="122"/>
        <v>9.9999991944061145E-2</v>
      </c>
      <c r="I862" s="14">
        <f t="shared" si="123"/>
        <v>18.251367613436155</v>
      </c>
      <c r="J862" s="19">
        <f t="shared" si="124"/>
        <v>1007429.9449609158</v>
      </c>
      <c r="K862" s="16">
        <f t="shared" si="125"/>
        <v>0.99762330784480147</v>
      </c>
    </row>
    <row r="863" spans="1:11" x14ac:dyDescent="0.15">
      <c r="A863" s="7">
        <v>39235.568124999998</v>
      </c>
      <c r="B863">
        <v>37.700000000000003</v>
      </c>
      <c r="C863" s="6">
        <f t="shared" si="117"/>
        <v>1685.9999999636784</v>
      </c>
      <c r="D863" t="str">
        <f t="shared" si="118"/>
        <v/>
      </c>
      <c r="E863">
        <f t="shared" si="119"/>
        <v>39235.568124999998</v>
      </c>
      <c r="F863" s="4">
        <f t="shared" si="120"/>
        <v>0.10000000000000142</v>
      </c>
      <c r="G863" s="4">
        <f t="shared" si="121"/>
        <v>5.0000000000000711E-2</v>
      </c>
      <c r="H863" s="5">
        <f t="shared" si="122"/>
        <v>9.9999991944061145E-2</v>
      </c>
      <c r="I863" s="14">
        <f t="shared" si="123"/>
        <v>18.251367613436155</v>
      </c>
      <c r="J863" s="19">
        <f t="shared" si="124"/>
        <v>1007448.1963285293</v>
      </c>
      <c r="K863" s="16">
        <f t="shared" si="125"/>
        <v>0.99764138154791326</v>
      </c>
    </row>
    <row r="864" spans="1:11" x14ac:dyDescent="0.15">
      <c r="A864" s="7">
        <v>39235.568148148152</v>
      </c>
      <c r="B864">
        <v>37.700000000000003</v>
      </c>
      <c r="C864" s="6">
        <f t="shared" si="117"/>
        <v>1688.0000004312024</v>
      </c>
      <c r="D864" t="str">
        <f t="shared" si="118"/>
        <v/>
      </c>
      <c r="E864">
        <f t="shared" si="119"/>
        <v>39235.568148148152</v>
      </c>
      <c r="F864" s="4">
        <f t="shared" si="120"/>
        <v>0.10000000000000142</v>
      </c>
      <c r="G864" s="4">
        <f t="shared" si="121"/>
        <v>5.0000000000000711E-2</v>
      </c>
      <c r="H864" s="5">
        <f t="shared" si="122"/>
        <v>0.10000002337619804</v>
      </c>
      <c r="I864" s="14">
        <f t="shared" si="123"/>
        <v>18.251373350231471</v>
      </c>
      <c r="J864" s="19">
        <f t="shared" si="124"/>
        <v>1007466.4477018795</v>
      </c>
      <c r="K864" s="16">
        <f t="shared" si="125"/>
        <v>0.99765945525670607</v>
      </c>
    </row>
    <row r="865" spans="1:11" x14ac:dyDescent="0.15">
      <c r="A865" s="7">
        <v>39235.568171296298</v>
      </c>
      <c r="B865">
        <v>37.700000000000003</v>
      </c>
      <c r="C865" s="6">
        <f t="shared" si="117"/>
        <v>1690.0000002700835</v>
      </c>
      <c r="D865" t="str">
        <f t="shared" si="118"/>
        <v/>
      </c>
      <c r="E865">
        <f t="shared" si="119"/>
        <v>39235.568171296298</v>
      </c>
      <c r="F865" s="4">
        <f t="shared" si="120"/>
        <v>0.10000000000000142</v>
      </c>
      <c r="G865" s="4">
        <f t="shared" si="121"/>
        <v>5.0000000000000711E-2</v>
      </c>
      <c r="H865" s="5">
        <f t="shared" si="122"/>
        <v>9.9999991944061145E-2</v>
      </c>
      <c r="I865" s="14">
        <f t="shared" si="123"/>
        <v>18.251367613436155</v>
      </c>
      <c r="J865" s="19">
        <f t="shared" si="124"/>
        <v>1007484.699069493</v>
      </c>
      <c r="K865" s="16">
        <f t="shared" si="125"/>
        <v>0.99767752895981798</v>
      </c>
    </row>
    <row r="866" spans="1:11" x14ac:dyDescent="0.15">
      <c r="A866" s="7">
        <v>39235.568194444444</v>
      </c>
      <c r="B866">
        <v>37.9</v>
      </c>
      <c r="C866" s="6">
        <f t="shared" si="117"/>
        <v>1692.0000001089647</v>
      </c>
      <c r="D866" t="str">
        <f t="shared" si="118"/>
        <v/>
      </c>
      <c r="E866">
        <f t="shared" si="119"/>
        <v>39235.568194444444</v>
      </c>
      <c r="F866" s="4">
        <f t="shared" si="120"/>
        <v>0.29999999999999716</v>
      </c>
      <c r="G866" s="4">
        <f t="shared" si="121"/>
        <v>0.14999999999999858</v>
      </c>
      <c r="H866" s="5">
        <f t="shared" si="122"/>
        <v>0.19999998388811874</v>
      </c>
      <c r="I866" s="14">
        <f t="shared" si="123"/>
        <v>36.502735226871664</v>
      </c>
      <c r="J866" s="19">
        <f t="shared" si="124"/>
        <v>1007521.2018047199</v>
      </c>
      <c r="K866" s="16">
        <f t="shared" si="125"/>
        <v>0.99771367636604169</v>
      </c>
    </row>
    <row r="867" spans="1:11" x14ac:dyDescent="0.15">
      <c r="A867" s="7">
        <v>39235.56821759259</v>
      </c>
      <c r="B867">
        <v>37.700000000000003</v>
      </c>
      <c r="C867" s="6">
        <f t="shared" si="117"/>
        <v>1693.9999999478459</v>
      </c>
      <c r="D867" t="str">
        <f t="shared" si="118"/>
        <v/>
      </c>
      <c r="E867">
        <f t="shared" si="119"/>
        <v>39235.56821759259</v>
      </c>
      <c r="F867" s="4">
        <f t="shared" si="120"/>
        <v>0.10000000000000142</v>
      </c>
      <c r="G867" s="4">
        <f t="shared" si="121"/>
        <v>5.0000000000000711E-2</v>
      </c>
      <c r="H867" s="5">
        <f t="shared" si="122"/>
        <v>0.19999998388811874</v>
      </c>
      <c r="I867" s="14">
        <f t="shared" si="123"/>
        <v>36.502735226871664</v>
      </c>
      <c r="J867" s="19">
        <f t="shared" si="124"/>
        <v>1007557.7045399467</v>
      </c>
      <c r="K867" s="16">
        <f t="shared" si="125"/>
        <v>0.9977498237722654</v>
      </c>
    </row>
    <row r="868" spans="1:11" x14ac:dyDescent="0.15">
      <c r="A868" s="7">
        <v>39235.568240740744</v>
      </c>
      <c r="B868">
        <v>37.700000000000003</v>
      </c>
      <c r="C868" s="6">
        <f t="shared" ref="C868:C931" si="126">(A868-$B$4)*24*60*60</f>
        <v>1696.0000004153699</v>
      </c>
      <c r="D868" t="str">
        <f t="shared" ref="D868:D931" si="127">IF(F868=$B$8,A868,"")</f>
        <v/>
      </c>
      <c r="E868">
        <f t="shared" ref="E868:E931" si="128">IF(B868-$B$6&gt;0,A868," ")</f>
        <v>39235.568240740744</v>
      </c>
      <c r="F868" s="4">
        <f t="shared" ref="F868:F931" si="129">IF((B868-$B$6)&gt;0,B868-$B$6,0)</f>
        <v>0.10000000000000142</v>
      </c>
      <c r="G868" s="4">
        <f t="shared" ref="G868:G931" si="130">F868/2</f>
        <v>5.0000000000000711E-2</v>
      </c>
      <c r="H868" s="5">
        <f t="shared" ref="H868:H931" si="131">AVERAGE(G867:G868)*(C868-C867)</f>
        <v>0.10000002337619804</v>
      </c>
      <c r="I868" s="14">
        <f t="shared" ref="I868:I931" si="132">H868*$B$14</f>
        <v>18.251373350231471</v>
      </c>
      <c r="J868" s="19">
        <f t="shared" ref="J868:J931" si="133">J867+I868</f>
        <v>1007575.955913297</v>
      </c>
      <c r="K868" s="16">
        <f t="shared" ref="K868:K931" si="134">J868/($B$12*1000)</f>
        <v>0.99776789748105821</v>
      </c>
    </row>
    <row r="869" spans="1:11" x14ac:dyDescent="0.15">
      <c r="A869" s="7">
        <v>39235.56826388889</v>
      </c>
      <c r="B869">
        <v>37.700000000000003</v>
      </c>
      <c r="C869" s="6">
        <f t="shared" si="126"/>
        <v>1698.0000002542511</v>
      </c>
      <c r="D869" t="str">
        <f t="shared" si="127"/>
        <v/>
      </c>
      <c r="E869">
        <f t="shared" si="128"/>
        <v>39235.56826388889</v>
      </c>
      <c r="F869" s="4">
        <f t="shared" si="129"/>
        <v>0.10000000000000142</v>
      </c>
      <c r="G869" s="4">
        <f t="shared" si="130"/>
        <v>5.0000000000000711E-2</v>
      </c>
      <c r="H869" s="5">
        <f t="shared" si="131"/>
        <v>9.9999991944061145E-2</v>
      </c>
      <c r="I869" s="14">
        <f t="shared" si="132"/>
        <v>18.251367613436155</v>
      </c>
      <c r="J869" s="19">
        <f t="shared" si="133"/>
        <v>1007594.2072809105</v>
      </c>
      <c r="K869" s="16">
        <f t="shared" si="134"/>
        <v>0.99778597118417012</v>
      </c>
    </row>
    <row r="870" spans="1:11" x14ac:dyDescent="0.15">
      <c r="A870" s="7">
        <v>39235.568287037036</v>
      </c>
      <c r="B870">
        <v>37.700000000000003</v>
      </c>
      <c r="C870" s="6">
        <f t="shared" si="126"/>
        <v>1700.0000000931323</v>
      </c>
      <c r="D870" t="str">
        <f t="shared" si="127"/>
        <v/>
      </c>
      <c r="E870">
        <f t="shared" si="128"/>
        <v>39235.568287037036</v>
      </c>
      <c r="F870" s="4">
        <f t="shared" si="129"/>
        <v>0.10000000000000142</v>
      </c>
      <c r="G870" s="4">
        <f t="shared" si="130"/>
        <v>5.0000000000000711E-2</v>
      </c>
      <c r="H870" s="5">
        <f t="shared" si="131"/>
        <v>9.9999991944061145E-2</v>
      </c>
      <c r="I870" s="14">
        <f t="shared" si="132"/>
        <v>18.251367613436155</v>
      </c>
      <c r="J870" s="19">
        <f t="shared" si="133"/>
        <v>1007612.4586485239</v>
      </c>
      <c r="K870" s="16">
        <f t="shared" si="134"/>
        <v>0.99780404488728192</v>
      </c>
    </row>
    <row r="871" spans="1:11" x14ac:dyDescent="0.15">
      <c r="A871" s="7">
        <v>39235.568310185183</v>
      </c>
      <c r="B871">
        <v>37.700000000000003</v>
      </c>
      <c r="C871" s="6">
        <f t="shared" si="126"/>
        <v>1701.9999999320135</v>
      </c>
      <c r="D871" t="str">
        <f t="shared" si="127"/>
        <v/>
      </c>
      <c r="E871">
        <f t="shared" si="128"/>
        <v>39235.568310185183</v>
      </c>
      <c r="F871" s="4">
        <f t="shared" si="129"/>
        <v>0.10000000000000142</v>
      </c>
      <c r="G871" s="4">
        <f t="shared" si="130"/>
        <v>5.0000000000000711E-2</v>
      </c>
      <c r="H871" s="5">
        <f t="shared" si="131"/>
        <v>9.9999991944061145E-2</v>
      </c>
      <c r="I871" s="14">
        <f t="shared" si="132"/>
        <v>18.251367613436155</v>
      </c>
      <c r="J871" s="19">
        <f t="shared" si="133"/>
        <v>1007630.7100161373</v>
      </c>
      <c r="K871" s="16">
        <f t="shared" si="134"/>
        <v>0.99782211859039371</v>
      </c>
    </row>
    <row r="872" spans="1:11" x14ac:dyDescent="0.15">
      <c r="A872" s="7">
        <v>39235.568333333336</v>
      </c>
      <c r="B872">
        <v>37.9</v>
      </c>
      <c r="C872" s="6">
        <f t="shared" si="126"/>
        <v>1704.0000003995374</v>
      </c>
      <c r="D872" t="str">
        <f t="shared" si="127"/>
        <v/>
      </c>
      <c r="E872">
        <f t="shared" si="128"/>
        <v>39235.568333333336</v>
      </c>
      <c r="F872" s="4">
        <f t="shared" si="129"/>
        <v>0.29999999999999716</v>
      </c>
      <c r="G872" s="4">
        <f t="shared" si="130"/>
        <v>0.14999999999999858</v>
      </c>
      <c r="H872" s="5">
        <f t="shared" si="131"/>
        <v>0.20000004675239252</v>
      </c>
      <c r="I872" s="14">
        <f t="shared" si="132"/>
        <v>36.502746700462296</v>
      </c>
      <c r="J872" s="19">
        <f t="shared" si="133"/>
        <v>1007667.2127628378</v>
      </c>
      <c r="K872" s="16">
        <f t="shared" si="134"/>
        <v>0.99785826600797933</v>
      </c>
    </row>
    <row r="873" spans="1:11" x14ac:dyDescent="0.15">
      <c r="A873" s="7">
        <v>39235.568356481483</v>
      </c>
      <c r="B873">
        <v>37.700000000000003</v>
      </c>
      <c r="C873" s="6">
        <f t="shared" si="126"/>
        <v>1706.0000002384186</v>
      </c>
      <c r="D873" t="str">
        <f t="shared" si="127"/>
        <v/>
      </c>
      <c r="E873">
        <f t="shared" si="128"/>
        <v>39235.568356481483</v>
      </c>
      <c r="F873" s="4">
        <f t="shared" si="129"/>
        <v>0.10000000000000142</v>
      </c>
      <c r="G873" s="4">
        <f t="shared" si="130"/>
        <v>5.0000000000000711E-2</v>
      </c>
      <c r="H873" s="5">
        <f t="shared" si="131"/>
        <v>0.19999998388811874</v>
      </c>
      <c r="I873" s="14">
        <f t="shared" si="132"/>
        <v>36.502735226871664</v>
      </c>
      <c r="J873" s="19">
        <f t="shared" si="133"/>
        <v>1007703.7154980646</v>
      </c>
      <c r="K873" s="16">
        <f t="shared" si="134"/>
        <v>0.99789441341420304</v>
      </c>
    </row>
    <row r="874" spans="1:11" x14ac:dyDescent="0.15">
      <c r="A874" s="7">
        <v>39235.568379629629</v>
      </c>
      <c r="B874">
        <v>37.700000000000003</v>
      </c>
      <c r="C874" s="6">
        <f t="shared" si="126"/>
        <v>1708.0000000772998</v>
      </c>
      <c r="D874" t="str">
        <f t="shared" si="127"/>
        <v/>
      </c>
      <c r="E874">
        <f t="shared" si="128"/>
        <v>39235.568379629629</v>
      </c>
      <c r="F874" s="4">
        <f t="shared" si="129"/>
        <v>0.10000000000000142</v>
      </c>
      <c r="G874" s="4">
        <f t="shared" si="130"/>
        <v>5.0000000000000711E-2</v>
      </c>
      <c r="H874" s="5">
        <f t="shared" si="131"/>
        <v>9.9999991944061145E-2</v>
      </c>
      <c r="I874" s="14">
        <f t="shared" si="132"/>
        <v>18.251367613436155</v>
      </c>
      <c r="J874" s="19">
        <f t="shared" si="133"/>
        <v>1007721.9668656781</v>
      </c>
      <c r="K874" s="16">
        <f t="shared" si="134"/>
        <v>0.99791248711731484</v>
      </c>
    </row>
    <row r="875" spans="1:11" x14ac:dyDescent="0.15">
      <c r="A875" s="7">
        <v>39235.568402777775</v>
      </c>
      <c r="B875">
        <v>37.9</v>
      </c>
      <c r="C875" s="6">
        <f t="shared" si="126"/>
        <v>1709.999999916181</v>
      </c>
      <c r="D875" t="str">
        <f t="shared" si="127"/>
        <v/>
      </c>
      <c r="E875">
        <f t="shared" si="128"/>
        <v>39235.568402777775</v>
      </c>
      <c r="F875" s="4">
        <f t="shared" si="129"/>
        <v>0.29999999999999716</v>
      </c>
      <c r="G875" s="4">
        <f t="shared" si="130"/>
        <v>0.14999999999999858</v>
      </c>
      <c r="H875" s="5">
        <f t="shared" si="131"/>
        <v>0.19999998388811874</v>
      </c>
      <c r="I875" s="14">
        <f t="shared" si="132"/>
        <v>36.502735226871664</v>
      </c>
      <c r="J875" s="19">
        <f t="shared" si="133"/>
        <v>1007758.469600905</v>
      </c>
      <c r="K875" s="16">
        <f t="shared" si="134"/>
        <v>0.99794863452353855</v>
      </c>
    </row>
    <row r="876" spans="1:11" x14ac:dyDescent="0.15">
      <c r="A876" s="7">
        <v>39235.568425925929</v>
      </c>
      <c r="B876">
        <v>37.9</v>
      </c>
      <c r="C876" s="6">
        <f t="shared" si="126"/>
        <v>1712.0000003837049</v>
      </c>
      <c r="D876" t="str">
        <f t="shared" si="127"/>
        <v/>
      </c>
      <c r="E876">
        <f t="shared" si="128"/>
        <v>39235.568425925929</v>
      </c>
      <c r="F876" s="4">
        <f t="shared" si="129"/>
        <v>0.29999999999999716</v>
      </c>
      <c r="G876" s="4">
        <f t="shared" si="130"/>
        <v>0.14999999999999858</v>
      </c>
      <c r="H876" s="5">
        <f t="shared" si="131"/>
        <v>0.30000007012858704</v>
      </c>
      <c r="I876" s="14">
        <f t="shared" si="132"/>
        <v>54.754120050693125</v>
      </c>
      <c r="J876" s="19">
        <f t="shared" si="133"/>
        <v>1007813.2237209557</v>
      </c>
      <c r="K876" s="16">
        <f t="shared" si="134"/>
        <v>0.99800285564991698</v>
      </c>
    </row>
    <row r="877" spans="1:11" x14ac:dyDescent="0.15">
      <c r="A877" s="7">
        <v>39235.568449074075</v>
      </c>
      <c r="B877">
        <v>37.700000000000003</v>
      </c>
      <c r="C877" s="6">
        <f t="shared" si="126"/>
        <v>1714.0000002225861</v>
      </c>
      <c r="D877" t="str">
        <f t="shared" si="127"/>
        <v/>
      </c>
      <c r="E877">
        <f t="shared" si="128"/>
        <v>39235.568449074075</v>
      </c>
      <c r="F877" s="4">
        <f t="shared" si="129"/>
        <v>0.10000000000000142</v>
      </c>
      <c r="G877" s="4">
        <f t="shared" si="130"/>
        <v>5.0000000000000711E-2</v>
      </c>
      <c r="H877" s="5">
        <f t="shared" si="131"/>
        <v>0.19999998388811874</v>
      </c>
      <c r="I877" s="14">
        <f t="shared" si="132"/>
        <v>36.502735226871664</v>
      </c>
      <c r="J877" s="19">
        <f t="shared" si="133"/>
        <v>1007849.7264561825</v>
      </c>
      <c r="K877" s="16">
        <f t="shared" si="134"/>
        <v>0.99803900305614068</v>
      </c>
    </row>
    <row r="878" spans="1:11" x14ac:dyDescent="0.15">
      <c r="A878" s="7">
        <v>39235.568472222221</v>
      </c>
      <c r="B878">
        <v>37.700000000000003</v>
      </c>
      <c r="C878" s="6">
        <f t="shared" si="126"/>
        <v>1716.0000000614673</v>
      </c>
      <c r="D878" t="str">
        <f t="shared" si="127"/>
        <v/>
      </c>
      <c r="E878">
        <f t="shared" si="128"/>
        <v>39235.568472222221</v>
      </c>
      <c r="F878" s="4">
        <f t="shared" si="129"/>
        <v>0.10000000000000142</v>
      </c>
      <c r="G878" s="4">
        <f t="shared" si="130"/>
        <v>5.0000000000000711E-2</v>
      </c>
      <c r="H878" s="5">
        <f t="shared" si="131"/>
        <v>9.9999991944061145E-2</v>
      </c>
      <c r="I878" s="14">
        <f t="shared" si="132"/>
        <v>18.251367613436155</v>
      </c>
      <c r="J878" s="19">
        <f t="shared" si="133"/>
        <v>1007867.977823796</v>
      </c>
      <c r="K878" s="16">
        <f t="shared" si="134"/>
        <v>0.99805707675925248</v>
      </c>
    </row>
    <row r="879" spans="1:11" x14ac:dyDescent="0.15">
      <c r="A879" s="7">
        <v>39235.568495370368</v>
      </c>
      <c r="B879">
        <v>37.700000000000003</v>
      </c>
      <c r="C879" s="6">
        <f t="shared" si="126"/>
        <v>1717.9999999003485</v>
      </c>
      <c r="D879" t="str">
        <f t="shared" si="127"/>
        <v/>
      </c>
      <c r="E879">
        <f t="shared" si="128"/>
        <v>39235.568495370368</v>
      </c>
      <c r="F879" s="4">
        <f t="shared" si="129"/>
        <v>0.10000000000000142</v>
      </c>
      <c r="G879" s="4">
        <f t="shared" si="130"/>
        <v>5.0000000000000711E-2</v>
      </c>
      <c r="H879" s="5">
        <f t="shared" si="131"/>
        <v>9.9999991944061145E-2</v>
      </c>
      <c r="I879" s="14">
        <f t="shared" si="132"/>
        <v>18.251367613436155</v>
      </c>
      <c r="J879" s="19">
        <f t="shared" si="133"/>
        <v>1007886.2291914094</v>
      </c>
      <c r="K879" s="16">
        <f t="shared" si="134"/>
        <v>0.99807515046236439</v>
      </c>
    </row>
    <row r="880" spans="1:11" x14ac:dyDescent="0.15">
      <c r="A880" s="7">
        <v>39235.568518518521</v>
      </c>
      <c r="B880">
        <v>37.700000000000003</v>
      </c>
      <c r="C880" s="6">
        <f t="shared" si="126"/>
        <v>1720.0000003678724</v>
      </c>
      <c r="D880" t="str">
        <f t="shared" si="127"/>
        <v/>
      </c>
      <c r="E880">
        <f t="shared" si="128"/>
        <v>39235.568518518521</v>
      </c>
      <c r="F880" s="4">
        <f t="shared" si="129"/>
        <v>0.10000000000000142</v>
      </c>
      <c r="G880" s="4">
        <f t="shared" si="130"/>
        <v>5.0000000000000711E-2</v>
      </c>
      <c r="H880" s="5">
        <f t="shared" si="131"/>
        <v>0.10000002337619804</v>
      </c>
      <c r="I880" s="14">
        <f t="shared" si="132"/>
        <v>18.251373350231471</v>
      </c>
      <c r="J880" s="19">
        <f t="shared" si="133"/>
        <v>1007904.4805647597</v>
      </c>
      <c r="K880" s="16">
        <f t="shared" si="134"/>
        <v>0.9980932241711572</v>
      </c>
    </row>
    <row r="881" spans="1:11" x14ac:dyDescent="0.15">
      <c r="A881" s="7">
        <v>39235.568541666667</v>
      </c>
      <c r="B881">
        <v>37.700000000000003</v>
      </c>
      <c r="C881" s="6">
        <f t="shared" si="126"/>
        <v>1722.0000002067536</v>
      </c>
      <c r="D881" t="str">
        <f t="shared" si="127"/>
        <v/>
      </c>
      <c r="E881">
        <f t="shared" si="128"/>
        <v>39235.568541666667</v>
      </c>
      <c r="F881" s="4">
        <f t="shared" si="129"/>
        <v>0.10000000000000142</v>
      </c>
      <c r="G881" s="4">
        <f t="shared" si="130"/>
        <v>5.0000000000000711E-2</v>
      </c>
      <c r="H881" s="5">
        <f t="shared" si="131"/>
        <v>9.9999991944061145E-2</v>
      </c>
      <c r="I881" s="14">
        <f t="shared" si="132"/>
        <v>18.251367613436155</v>
      </c>
      <c r="J881" s="19">
        <f t="shared" si="133"/>
        <v>1007922.7319323731</v>
      </c>
      <c r="K881" s="16">
        <f t="shared" si="134"/>
        <v>0.99811129787426911</v>
      </c>
    </row>
    <row r="882" spans="1:11" x14ac:dyDescent="0.15">
      <c r="A882" s="7">
        <v>39235.568564814814</v>
      </c>
      <c r="B882">
        <v>37.700000000000003</v>
      </c>
      <c r="C882" s="6">
        <f t="shared" si="126"/>
        <v>1724.0000000456348</v>
      </c>
      <c r="D882" t="str">
        <f t="shared" si="127"/>
        <v/>
      </c>
      <c r="E882">
        <f t="shared" si="128"/>
        <v>39235.568564814814</v>
      </c>
      <c r="F882" s="4">
        <f t="shared" si="129"/>
        <v>0.10000000000000142</v>
      </c>
      <c r="G882" s="4">
        <f t="shared" si="130"/>
        <v>5.0000000000000711E-2</v>
      </c>
      <c r="H882" s="5">
        <f t="shared" si="131"/>
        <v>9.9999991944061145E-2</v>
      </c>
      <c r="I882" s="14">
        <f t="shared" si="132"/>
        <v>18.251367613436155</v>
      </c>
      <c r="J882" s="19">
        <f t="shared" si="133"/>
        <v>1007940.9832999866</v>
      </c>
      <c r="K882" s="16">
        <f t="shared" si="134"/>
        <v>0.99812937157738091</v>
      </c>
    </row>
    <row r="883" spans="1:11" x14ac:dyDescent="0.15">
      <c r="A883" s="7">
        <v>39235.56858796296</v>
      </c>
      <c r="B883">
        <v>37.700000000000003</v>
      </c>
      <c r="C883" s="6">
        <f t="shared" si="126"/>
        <v>1725.999999884516</v>
      </c>
      <c r="D883" t="str">
        <f t="shared" si="127"/>
        <v/>
      </c>
      <c r="E883">
        <f t="shared" si="128"/>
        <v>39235.56858796296</v>
      </c>
      <c r="F883" s="4">
        <f t="shared" si="129"/>
        <v>0.10000000000000142</v>
      </c>
      <c r="G883" s="4">
        <f t="shared" si="130"/>
        <v>5.0000000000000711E-2</v>
      </c>
      <c r="H883" s="5">
        <f t="shared" si="131"/>
        <v>9.9999991944061145E-2</v>
      </c>
      <c r="I883" s="14">
        <f t="shared" si="132"/>
        <v>18.251367613436155</v>
      </c>
      <c r="J883" s="19">
        <f t="shared" si="133"/>
        <v>1007959.2346676</v>
      </c>
      <c r="K883" s="16">
        <f t="shared" si="134"/>
        <v>0.99814744528049282</v>
      </c>
    </row>
    <row r="884" spans="1:11" x14ac:dyDescent="0.15">
      <c r="A884" s="7">
        <v>39235.568611111114</v>
      </c>
      <c r="B884">
        <v>37.700000000000003</v>
      </c>
      <c r="C884" s="6">
        <f t="shared" si="126"/>
        <v>1728.0000003520399</v>
      </c>
      <c r="D884" t="str">
        <f t="shared" si="127"/>
        <v/>
      </c>
      <c r="E884">
        <f t="shared" si="128"/>
        <v>39235.568611111114</v>
      </c>
      <c r="F884" s="4">
        <f t="shared" si="129"/>
        <v>0.10000000000000142</v>
      </c>
      <c r="G884" s="4">
        <f t="shared" si="130"/>
        <v>5.0000000000000711E-2</v>
      </c>
      <c r="H884" s="5">
        <f t="shared" si="131"/>
        <v>0.10000002337619804</v>
      </c>
      <c r="I884" s="14">
        <f t="shared" si="132"/>
        <v>18.251373350231471</v>
      </c>
      <c r="J884" s="19">
        <f t="shared" si="133"/>
        <v>1007977.4860409503</v>
      </c>
      <c r="K884" s="16">
        <f t="shared" si="134"/>
        <v>0.99816551898928563</v>
      </c>
    </row>
    <row r="885" spans="1:11" x14ac:dyDescent="0.15">
      <c r="A885" s="7">
        <v>39235.56863425926</v>
      </c>
      <c r="B885">
        <v>37.700000000000003</v>
      </c>
      <c r="C885" s="6">
        <f t="shared" si="126"/>
        <v>1730.0000001909211</v>
      </c>
      <c r="D885" t="str">
        <f t="shared" si="127"/>
        <v/>
      </c>
      <c r="E885">
        <f t="shared" si="128"/>
        <v>39235.56863425926</v>
      </c>
      <c r="F885" s="4">
        <f t="shared" si="129"/>
        <v>0.10000000000000142</v>
      </c>
      <c r="G885" s="4">
        <f t="shared" si="130"/>
        <v>5.0000000000000711E-2</v>
      </c>
      <c r="H885" s="5">
        <f t="shared" si="131"/>
        <v>9.9999991944061145E-2</v>
      </c>
      <c r="I885" s="14">
        <f t="shared" si="132"/>
        <v>18.251367613436155</v>
      </c>
      <c r="J885" s="19">
        <f t="shared" si="133"/>
        <v>1007995.7374085637</v>
      </c>
      <c r="K885" s="16">
        <f t="shared" si="134"/>
        <v>0.99818359269239743</v>
      </c>
    </row>
    <row r="886" spans="1:11" x14ac:dyDescent="0.15">
      <c r="A886" s="7">
        <v>39235.568657407406</v>
      </c>
      <c r="B886">
        <v>37.700000000000003</v>
      </c>
      <c r="C886" s="6">
        <f t="shared" si="126"/>
        <v>1732.0000000298023</v>
      </c>
      <c r="D886" t="str">
        <f t="shared" si="127"/>
        <v/>
      </c>
      <c r="E886">
        <f t="shared" si="128"/>
        <v>39235.568657407406</v>
      </c>
      <c r="F886" s="4">
        <f t="shared" si="129"/>
        <v>0.10000000000000142</v>
      </c>
      <c r="G886" s="4">
        <f t="shared" si="130"/>
        <v>5.0000000000000711E-2</v>
      </c>
      <c r="H886" s="5">
        <f t="shared" si="131"/>
        <v>9.9999991944061145E-2</v>
      </c>
      <c r="I886" s="14">
        <f t="shared" si="132"/>
        <v>18.251367613436155</v>
      </c>
      <c r="J886" s="19">
        <f t="shared" si="133"/>
        <v>1008013.9887761772</v>
      </c>
      <c r="K886" s="16">
        <f t="shared" si="134"/>
        <v>0.99820166639550933</v>
      </c>
    </row>
    <row r="887" spans="1:11" x14ac:dyDescent="0.15">
      <c r="A887" s="7">
        <v>39235.568680555552</v>
      </c>
      <c r="B887">
        <v>37.700000000000003</v>
      </c>
      <c r="C887" s="6">
        <f t="shared" si="126"/>
        <v>1733.9999998686835</v>
      </c>
      <c r="D887" t="str">
        <f t="shared" si="127"/>
        <v/>
      </c>
      <c r="E887">
        <f t="shared" si="128"/>
        <v>39235.568680555552</v>
      </c>
      <c r="F887" s="4">
        <f t="shared" si="129"/>
        <v>0.10000000000000142</v>
      </c>
      <c r="G887" s="4">
        <f t="shared" si="130"/>
        <v>5.0000000000000711E-2</v>
      </c>
      <c r="H887" s="5">
        <f t="shared" si="131"/>
        <v>9.9999991944061145E-2</v>
      </c>
      <c r="I887" s="14">
        <f t="shared" si="132"/>
        <v>18.251367613436155</v>
      </c>
      <c r="J887" s="19">
        <f t="shared" si="133"/>
        <v>1008032.2401437906</v>
      </c>
      <c r="K887" s="16">
        <f t="shared" si="134"/>
        <v>0.99821974009862113</v>
      </c>
    </row>
    <row r="888" spans="1:11" x14ac:dyDescent="0.15">
      <c r="A888" s="7">
        <v>39235.568703703706</v>
      </c>
      <c r="B888">
        <v>37.700000000000003</v>
      </c>
      <c r="C888" s="6">
        <f t="shared" si="126"/>
        <v>1736.0000003362074</v>
      </c>
      <c r="D888" t="str">
        <f t="shared" si="127"/>
        <v/>
      </c>
      <c r="E888">
        <f t="shared" si="128"/>
        <v>39235.568703703706</v>
      </c>
      <c r="F888" s="4">
        <f t="shared" si="129"/>
        <v>0.10000000000000142</v>
      </c>
      <c r="G888" s="4">
        <f t="shared" si="130"/>
        <v>5.0000000000000711E-2</v>
      </c>
      <c r="H888" s="5">
        <f t="shared" si="131"/>
        <v>0.10000002337619804</v>
      </c>
      <c r="I888" s="14">
        <f t="shared" si="132"/>
        <v>18.251373350231471</v>
      </c>
      <c r="J888" s="19">
        <f t="shared" si="133"/>
        <v>1008050.4915171409</v>
      </c>
      <c r="K888" s="16">
        <f t="shared" si="134"/>
        <v>0.99823781380741405</v>
      </c>
    </row>
    <row r="889" spans="1:11" x14ac:dyDescent="0.15">
      <c r="A889" s="7">
        <v>39235.568726851852</v>
      </c>
      <c r="B889">
        <v>37.700000000000003</v>
      </c>
      <c r="C889" s="6">
        <f t="shared" si="126"/>
        <v>1738.0000001750886</v>
      </c>
      <c r="D889" t="str">
        <f t="shared" si="127"/>
        <v/>
      </c>
      <c r="E889">
        <f t="shared" si="128"/>
        <v>39235.568726851852</v>
      </c>
      <c r="F889" s="4">
        <f t="shared" si="129"/>
        <v>0.10000000000000142</v>
      </c>
      <c r="G889" s="4">
        <f t="shared" si="130"/>
        <v>5.0000000000000711E-2</v>
      </c>
      <c r="H889" s="5">
        <f t="shared" si="131"/>
        <v>9.9999991944061145E-2</v>
      </c>
      <c r="I889" s="14">
        <f t="shared" si="132"/>
        <v>18.251367613436155</v>
      </c>
      <c r="J889" s="19">
        <f t="shared" si="133"/>
        <v>1008068.7428847543</v>
      </c>
      <c r="K889" s="16">
        <f t="shared" si="134"/>
        <v>0.99825588751052585</v>
      </c>
    </row>
    <row r="890" spans="1:11" x14ac:dyDescent="0.15">
      <c r="A890" s="7">
        <v>39235.568749999999</v>
      </c>
      <c r="B890">
        <v>37.700000000000003</v>
      </c>
      <c r="C890" s="6">
        <f t="shared" si="126"/>
        <v>1740.0000000139698</v>
      </c>
      <c r="D890" t="str">
        <f t="shared" si="127"/>
        <v/>
      </c>
      <c r="E890">
        <f t="shared" si="128"/>
        <v>39235.568749999999</v>
      </c>
      <c r="F890" s="4">
        <f t="shared" si="129"/>
        <v>0.10000000000000142</v>
      </c>
      <c r="G890" s="4">
        <f t="shared" si="130"/>
        <v>5.0000000000000711E-2</v>
      </c>
      <c r="H890" s="5">
        <f t="shared" si="131"/>
        <v>9.9999991944061145E-2</v>
      </c>
      <c r="I890" s="14">
        <f t="shared" si="132"/>
        <v>18.251367613436155</v>
      </c>
      <c r="J890" s="19">
        <f t="shared" si="133"/>
        <v>1008086.9942523678</v>
      </c>
      <c r="K890" s="16">
        <f t="shared" si="134"/>
        <v>0.99827396121363765</v>
      </c>
    </row>
    <row r="891" spans="1:11" x14ac:dyDescent="0.15">
      <c r="A891" s="7">
        <v>39235.568773148145</v>
      </c>
      <c r="B891">
        <v>37.700000000000003</v>
      </c>
      <c r="C891" s="6">
        <f t="shared" si="126"/>
        <v>1741.999999852851</v>
      </c>
      <c r="D891" t="str">
        <f t="shared" si="127"/>
        <v/>
      </c>
      <c r="E891">
        <f t="shared" si="128"/>
        <v>39235.568773148145</v>
      </c>
      <c r="F891" s="4">
        <f t="shared" si="129"/>
        <v>0.10000000000000142</v>
      </c>
      <c r="G891" s="4">
        <f t="shared" si="130"/>
        <v>5.0000000000000711E-2</v>
      </c>
      <c r="H891" s="5">
        <f t="shared" si="131"/>
        <v>9.9999991944061145E-2</v>
      </c>
      <c r="I891" s="14">
        <f t="shared" si="132"/>
        <v>18.251367613436155</v>
      </c>
      <c r="J891" s="19">
        <f t="shared" si="133"/>
        <v>1008105.2456199812</v>
      </c>
      <c r="K891" s="16">
        <f t="shared" si="134"/>
        <v>0.99829203491674956</v>
      </c>
    </row>
    <row r="892" spans="1:11" x14ac:dyDescent="0.15">
      <c r="A892" s="7">
        <v>39235.568796296298</v>
      </c>
      <c r="B892">
        <v>37.700000000000003</v>
      </c>
      <c r="C892" s="6">
        <f t="shared" si="126"/>
        <v>1744.000000320375</v>
      </c>
      <c r="D892" t="str">
        <f t="shared" si="127"/>
        <v/>
      </c>
      <c r="E892">
        <f t="shared" si="128"/>
        <v>39235.568796296298</v>
      </c>
      <c r="F892" s="4">
        <f t="shared" si="129"/>
        <v>0.10000000000000142</v>
      </c>
      <c r="G892" s="4">
        <f t="shared" si="130"/>
        <v>5.0000000000000711E-2</v>
      </c>
      <c r="H892" s="5">
        <f t="shared" si="131"/>
        <v>0.10000002337619804</v>
      </c>
      <c r="I892" s="14">
        <f t="shared" si="132"/>
        <v>18.251373350231471</v>
      </c>
      <c r="J892" s="19">
        <f t="shared" si="133"/>
        <v>1008123.4969933315</v>
      </c>
      <c r="K892" s="16">
        <f t="shared" si="134"/>
        <v>0.99831010862554237</v>
      </c>
    </row>
    <row r="893" spans="1:11" x14ac:dyDescent="0.15">
      <c r="A893" s="7">
        <v>39235.568819444445</v>
      </c>
      <c r="B893">
        <v>37.700000000000003</v>
      </c>
      <c r="C893" s="6">
        <f t="shared" si="126"/>
        <v>1746.0000001592562</v>
      </c>
      <c r="D893" t="str">
        <f t="shared" si="127"/>
        <v/>
      </c>
      <c r="E893">
        <f t="shared" si="128"/>
        <v>39235.568819444445</v>
      </c>
      <c r="F893" s="4">
        <f t="shared" si="129"/>
        <v>0.10000000000000142</v>
      </c>
      <c r="G893" s="4">
        <f t="shared" si="130"/>
        <v>5.0000000000000711E-2</v>
      </c>
      <c r="H893" s="5">
        <f t="shared" si="131"/>
        <v>9.9999991944061145E-2</v>
      </c>
      <c r="I893" s="14">
        <f t="shared" si="132"/>
        <v>18.251367613436155</v>
      </c>
      <c r="J893" s="19">
        <f t="shared" si="133"/>
        <v>1008141.7483609449</v>
      </c>
      <c r="K893" s="16">
        <f t="shared" si="134"/>
        <v>0.99832818232865428</v>
      </c>
    </row>
    <row r="894" spans="1:11" x14ac:dyDescent="0.15">
      <c r="A894" s="7">
        <v>39235.568842592591</v>
      </c>
      <c r="B894">
        <v>37.700000000000003</v>
      </c>
      <c r="C894" s="6">
        <f t="shared" si="126"/>
        <v>1747.9999999981374</v>
      </c>
      <c r="D894" t="str">
        <f t="shared" si="127"/>
        <v/>
      </c>
      <c r="E894">
        <f t="shared" si="128"/>
        <v>39235.568842592591</v>
      </c>
      <c r="F894" s="4">
        <f t="shared" si="129"/>
        <v>0.10000000000000142</v>
      </c>
      <c r="G894" s="4">
        <f t="shared" si="130"/>
        <v>5.0000000000000711E-2</v>
      </c>
      <c r="H894" s="5">
        <f t="shared" si="131"/>
        <v>9.9999991944061145E-2</v>
      </c>
      <c r="I894" s="14">
        <f t="shared" si="132"/>
        <v>18.251367613436155</v>
      </c>
      <c r="J894" s="19">
        <f t="shared" si="133"/>
        <v>1008159.9997285584</v>
      </c>
      <c r="K894" s="16">
        <f t="shared" si="134"/>
        <v>0.99834625603176608</v>
      </c>
    </row>
    <row r="895" spans="1:11" x14ac:dyDescent="0.15">
      <c r="A895" s="7">
        <v>39235.568865740737</v>
      </c>
      <c r="B895">
        <v>37.700000000000003</v>
      </c>
      <c r="C895" s="6">
        <f t="shared" si="126"/>
        <v>1749.9999998370185</v>
      </c>
      <c r="D895" t="str">
        <f t="shared" si="127"/>
        <v/>
      </c>
      <c r="E895">
        <f t="shared" si="128"/>
        <v>39235.568865740737</v>
      </c>
      <c r="F895" s="4">
        <f t="shared" si="129"/>
        <v>0.10000000000000142</v>
      </c>
      <c r="G895" s="4">
        <f t="shared" si="130"/>
        <v>5.0000000000000711E-2</v>
      </c>
      <c r="H895" s="5">
        <f t="shared" si="131"/>
        <v>9.9999991944061145E-2</v>
      </c>
      <c r="I895" s="14">
        <f t="shared" si="132"/>
        <v>18.251367613436155</v>
      </c>
      <c r="J895" s="19">
        <f t="shared" si="133"/>
        <v>1008178.2510961718</v>
      </c>
      <c r="K895" s="16">
        <f t="shared" si="134"/>
        <v>0.99836432973487799</v>
      </c>
    </row>
    <row r="896" spans="1:11" x14ac:dyDescent="0.15">
      <c r="A896" s="7">
        <v>39235.568888888891</v>
      </c>
      <c r="B896">
        <v>37.700000000000003</v>
      </c>
      <c r="C896" s="6">
        <f t="shared" si="126"/>
        <v>1752.0000003045425</v>
      </c>
      <c r="D896" t="str">
        <f t="shared" si="127"/>
        <v/>
      </c>
      <c r="E896">
        <f t="shared" si="128"/>
        <v>39235.568888888891</v>
      </c>
      <c r="F896" s="4">
        <f t="shared" si="129"/>
        <v>0.10000000000000142</v>
      </c>
      <c r="G896" s="4">
        <f t="shared" si="130"/>
        <v>5.0000000000000711E-2</v>
      </c>
      <c r="H896" s="5">
        <f t="shared" si="131"/>
        <v>0.10000002337619804</v>
      </c>
      <c r="I896" s="14">
        <f t="shared" si="132"/>
        <v>18.251373350231471</v>
      </c>
      <c r="J896" s="19">
        <f t="shared" si="133"/>
        <v>1008196.5024695221</v>
      </c>
      <c r="K896" s="16">
        <f t="shared" si="134"/>
        <v>0.9983824034436708</v>
      </c>
    </row>
    <row r="897" spans="1:11" x14ac:dyDescent="0.15">
      <c r="A897" s="7">
        <v>39235.568912037037</v>
      </c>
      <c r="B897">
        <v>37.700000000000003</v>
      </c>
      <c r="C897" s="6">
        <f t="shared" si="126"/>
        <v>1754.0000001434237</v>
      </c>
      <c r="D897" t="str">
        <f t="shared" si="127"/>
        <v/>
      </c>
      <c r="E897">
        <f t="shared" si="128"/>
        <v>39235.568912037037</v>
      </c>
      <c r="F897" s="4">
        <f t="shared" si="129"/>
        <v>0.10000000000000142</v>
      </c>
      <c r="G897" s="4">
        <f t="shared" si="130"/>
        <v>5.0000000000000711E-2</v>
      </c>
      <c r="H897" s="5">
        <f t="shared" si="131"/>
        <v>9.9999991944061145E-2</v>
      </c>
      <c r="I897" s="14">
        <f t="shared" si="132"/>
        <v>18.251367613436155</v>
      </c>
      <c r="J897" s="19">
        <f t="shared" si="133"/>
        <v>1008214.7538371355</v>
      </c>
      <c r="K897" s="16">
        <f t="shared" si="134"/>
        <v>0.99840047714678259</v>
      </c>
    </row>
    <row r="898" spans="1:11" x14ac:dyDescent="0.15">
      <c r="A898" s="7">
        <v>39235.568935185183</v>
      </c>
      <c r="B898">
        <v>37.700000000000003</v>
      </c>
      <c r="C898" s="6">
        <f t="shared" si="126"/>
        <v>1755.9999999823049</v>
      </c>
      <c r="D898" t="str">
        <f t="shared" si="127"/>
        <v/>
      </c>
      <c r="E898">
        <f t="shared" si="128"/>
        <v>39235.568935185183</v>
      </c>
      <c r="F898" s="4">
        <f t="shared" si="129"/>
        <v>0.10000000000000142</v>
      </c>
      <c r="G898" s="4">
        <f t="shared" si="130"/>
        <v>5.0000000000000711E-2</v>
      </c>
      <c r="H898" s="5">
        <f t="shared" si="131"/>
        <v>9.9999991944061145E-2</v>
      </c>
      <c r="I898" s="14">
        <f t="shared" si="132"/>
        <v>18.251367613436155</v>
      </c>
      <c r="J898" s="19">
        <f t="shared" si="133"/>
        <v>1008233.0052047489</v>
      </c>
      <c r="K898" s="16">
        <f t="shared" si="134"/>
        <v>0.9984185508498945</v>
      </c>
    </row>
    <row r="899" spans="1:11" x14ac:dyDescent="0.15">
      <c r="A899" s="7">
        <v>39235.568958333337</v>
      </c>
      <c r="B899">
        <v>37.700000000000003</v>
      </c>
      <c r="C899" s="6">
        <f t="shared" si="126"/>
        <v>1758.0000004498288</v>
      </c>
      <c r="D899" t="str">
        <f t="shared" si="127"/>
        <v/>
      </c>
      <c r="E899">
        <f t="shared" si="128"/>
        <v>39235.568958333337</v>
      </c>
      <c r="F899" s="4">
        <f t="shared" si="129"/>
        <v>0.10000000000000142</v>
      </c>
      <c r="G899" s="4">
        <f t="shared" si="130"/>
        <v>5.0000000000000711E-2</v>
      </c>
      <c r="H899" s="5">
        <f t="shared" si="131"/>
        <v>0.10000002337619804</v>
      </c>
      <c r="I899" s="14">
        <f t="shared" si="132"/>
        <v>18.251373350231471</v>
      </c>
      <c r="J899" s="19">
        <f t="shared" si="133"/>
        <v>1008251.2565780992</v>
      </c>
      <c r="K899" s="16">
        <f t="shared" si="134"/>
        <v>0.99843662455868731</v>
      </c>
    </row>
    <row r="900" spans="1:11" x14ac:dyDescent="0.15">
      <c r="A900" s="7">
        <v>39235.568981481483</v>
      </c>
      <c r="B900">
        <v>37.700000000000003</v>
      </c>
      <c r="C900" s="6">
        <f t="shared" si="126"/>
        <v>1760.00000028871</v>
      </c>
      <c r="D900" t="str">
        <f t="shared" si="127"/>
        <v/>
      </c>
      <c r="E900">
        <f t="shared" si="128"/>
        <v>39235.568981481483</v>
      </c>
      <c r="F900" s="4">
        <f t="shared" si="129"/>
        <v>0.10000000000000142</v>
      </c>
      <c r="G900" s="4">
        <f t="shared" si="130"/>
        <v>5.0000000000000711E-2</v>
      </c>
      <c r="H900" s="5">
        <f t="shared" si="131"/>
        <v>9.9999991944061145E-2</v>
      </c>
      <c r="I900" s="14">
        <f t="shared" si="132"/>
        <v>18.251367613436155</v>
      </c>
      <c r="J900" s="19">
        <f t="shared" si="133"/>
        <v>1008269.5079457127</v>
      </c>
      <c r="K900" s="16">
        <f t="shared" si="134"/>
        <v>0.99845469826179922</v>
      </c>
    </row>
    <row r="901" spans="1:11" x14ac:dyDescent="0.15">
      <c r="A901" s="7">
        <v>39235.569004629629</v>
      </c>
      <c r="B901">
        <v>37.700000000000003</v>
      </c>
      <c r="C901" s="6">
        <f t="shared" si="126"/>
        <v>1762.0000001275912</v>
      </c>
      <c r="D901" t="str">
        <f t="shared" si="127"/>
        <v/>
      </c>
      <c r="E901">
        <f t="shared" si="128"/>
        <v>39235.569004629629</v>
      </c>
      <c r="F901" s="4">
        <f t="shared" si="129"/>
        <v>0.10000000000000142</v>
      </c>
      <c r="G901" s="4">
        <f t="shared" si="130"/>
        <v>5.0000000000000711E-2</v>
      </c>
      <c r="H901" s="5">
        <f t="shared" si="131"/>
        <v>9.9999991944061145E-2</v>
      </c>
      <c r="I901" s="14">
        <f t="shared" si="132"/>
        <v>18.251367613436155</v>
      </c>
      <c r="J901" s="19">
        <f t="shared" si="133"/>
        <v>1008287.7593133261</v>
      </c>
      <c r="K901" s="16">
        <f t="shared" si="134"/>
        <v>0.99847277196491102</v>
      </c>
    </row>
    <row r="902" spans="1:11" x14ac:dyDescent="0.15">
      <c r="A902" s="7">
        <v>39235.569027777776</v>
      </c>
      <c r="B902">
        <v>37.700000000000003</v>
      </c>
      <c r="C902" s="6">
        <f t="shared" si="126"/>
        <v>1763.9999999664724</v>
      </c>
      <c r="D902" t="str">
        <f t="shared" si="127"/>
        <v/>
      </c>
      <c r="E902">
        <f t="shared" si="128"/>
        <v>39235.569027777776</v>
      </c>
      <c r="F902" s="4">
        <f t="shared" si="129"/>
        <v>0.10000000000000142</v>
      </c>
      <c r="G902" s="4">
        <f t="shared" si="130"/>
        <v>5.0000000000000711E-2</v>
      </c>
      <c r="H902" s="5">
        <f t="shared" si="131"/>
        <v>9.9999991944061145E-2</v>
      </c>
      <c r="I902" s="14">
        <f t="shared" si="132"/>
        <v>18.251367613436155</v>
      </c>
      <c r="J902" s="19">
        <f t="shared" si="133"/>
        <v>1008306.0106809395</v>
      </c>
      <c r="K902" s="16">
        <f t="shared" si="134"/>
        <v>0.99849084566802282</v>
      </c>
    </row>
    <row r="903" spans="1:11" x14ac:dyDescent="0.15">
      <c r="A903" s="7">
        <v>39235.569050925929</v>
      </c>
      <c r="B903">
        <v>37.700000000000003</v>
      </c>
      <c r="C903" s="6">
        <f t="shared" si="126"/>
        <v>1766.0000004339963</v>
      </c>
      <c r="D903" t="str">
        <f t="shared" si="127"/>
        <v/>
      </c>
      <c r="E903">
        <f t="shared" si="128"/>
        <v>39235.569050925929</v>
      </c>
      <c r="F903" s="4">
        <f t="shared" si="129"/>
        <v>0.10000000000000142</v>
      </c>
      <c r="G903" s="4">
        <f t="shared" si="130"/>
        <v>5.0000000000000711E-2</v>
      </c>
      <c r="H903" s="5">
        <f t="shared" si="131"/>
        <v>0.10000002337619804</v>
      </c>
      <c r="I903" s="14">
        <f t="shared" si="132"/>
        <v>18.251373350231471</v>
      </c>
      <c r="J903" s="19">
        <f t="shared" si="133"/>
        <v>1008324.2620542898</v>
      </c>
      <c r="K903" s="16">
        <f t="shared" si="134"/>
        <v>0.99850891937681574</v>
      </c>
    </row>
    <row r="904" spans="1:11" x14ac:dyDescent="0.15">
      <c r="A904" s="7">
        <v>39235.569074074076</v>
      </c>
      <c r="B904">
        <v>37.700000000000003</v>
      </c>
      <c r="C904" s="6">
        <f t="shared" si="126"/>
        <v>1768.0000002728775</v>
      </c>
      <c r="D904" t="str">
        <f t="shared" si="127"/>
        <v/>
      </c>
      <c r="E904">
        <f t="shared" si="128"/>
        <v>39235.569074074076</v>
      </c>
      <c r="F904" s="4">
        <f t="shared" si="129"/>
        <v>0.10000000000000142</v>
      </c>
      <c r="G904" s="4">
        <f t="shared" si="130"/>
        <v>5.0000000000000711E-2</v>
      </c>
      <c r="H904" s="5">
        <f t="shared" si="131"/>
        <v>9.9999991944061145E-2</v>
      </c>
      <c r="I904" s="14">
        <f t="shared" si="132"/>
        <v>18.251367613436155</v>
      </c>
      <c r="J904" s="19">
        <f t="shared" si="133"/>
        <v>1008342.5134219032</v>
      </c>
      <c r="K904" s="16">
        <f t="shared" si="134"/>
        <v>0.99852699307992754</v>
      </c>
    </row>
    <row r="905" spans="1:11" x14ac:dyDescent="0.15">
      <c r="A905" s="7">
        <v>39235.569097222222</v>
      </c>
      <c r="B905">
        <v>37.700000000000003</v>
      </c>
      <c r="C905" s="6">
        <f t="shared" si="126"/>
        <v>1770.0000001117587</v>
      </c>
      <c r="D905" t="str">
        <f t="shared" si="127"/>
        <v/>
      </c>
      <c r="E905">
        <f t="shared" si="128"/>
        <v>39235.569097222222</v>
      </c>
      <c r="F905" s="4">
        <f t="shared" si="129"/>
        <v>0.10000000000000142</v>
      </c>
      <c r="G905" s="4">
        <f t="shared" si="130"/>
        <v>5.0000000000000711E-2</v>
      </c>
      <c r="H905" s="5">
        <f t="shared" si="131"/>
        <v>9.9999991944061145E-2</v>
      </c>
      <c r="I905" s="14">
        <f t="shared" si="132"/>
        <v>18.251367613436155</v>
      </c>
      <c r="J905" s="19">
        <f t="shared" si="133"/>
        <v>1008360.7647895167</v>
      </c>
      <c r="K905" s="16">
        <f t="shared" si="134"/>
        <v>0.99854506678303945</v>
      </c>
    </row>
    <row r="906" spans="1:11" x14ac:dyDescent="0.15">
      <c r="A906" s="7">
        <v>39235.569120370368</v>
      </c>
      <c r="B906">
        <v>37.700000000000003</v>
      </c>
      <c r="C906" s="6">
        <f t="shared" si="126"/>
        <v>1771.9999999506399</v>
      </c>
      <c r="D906" t="str">
        <f t="shared" si="127"/>
        <v/>
      </c>
      <c r="E906">
        <f t="shared" si="128"/>
        <v>39235.569120370368</v>
      </c>
      <c r="F906" s="4">
        <f t="shared" si="129"/>
        <v>0.10000000000000142</v>
      </c>
      <c r="G906" s="4">
        <f t="shared" si="130"/>
        <v>5.0000000000000711E-2</v>
      </c>
      <c r="H906" s="5">
        <f t="shared" si="131"/>
        <v>9.9999991944061145E-2</v>
      </c>
      <c r="I906" s="14">
        <f t="shared" si="132"/>
        <v>18.251367613436155</v>
      </c>
      <c r="J906" s="19">
        <f t="shared" si="133"/>
        <v>1008379.0161571301</v>
      </c>
      <c r="K906" s="16">
        <f t="shared" si="134"/>
        <v>0.99856314048615125</v>
      </c>
    </row>
    <row r="907" spans="1:11" x14ac:dyDescent="0.15">
      <c r="A907" s="7">
        <v>39235.569143518522</v>
      </c>
      <c r="B907">
        <v>37.700000000000003</v>
      </c>
      <c r="C907" s="6">
        <f t="shared" si="126"/>
        <v>1774.0000004181638</v>
      </c>
      <c r="D907" t="str">
        <f t="shared" si="127"/>
        <v/>
      </c>
      <c r="E907">
        <f t="shared" si="128"/>
        <v>39235.569143518522</v>
      </c>
      <c r="F907" s="4">
        <f t="shared" si="129"/>
        <v>0.10000000000000142</v>
      </c>
      <c r="G907" s="4">
        <f t="shared" si="130"/>
        <v>5.0000000000000711E-2</v>
      </c>
      <c r="H907" s="5">
        <f t="shared" si="131"/>
        <v>0.10000002337619804</v>
      </c>
      <c r="I907" s="14">
        <f t="shared" si="132"/>
        <v>18.251373350231471</v>
      </c>
      <c r="J907" s="19">
        <f t="shared" si="133"/>
        <v>1008397.2675304804</v>
      </c>
      <c r="K907" s="16">
        <f t="shared" si="134"/>
        <v>0.99858121419494406</v>
      </c>
    </row>
    <row r="908" spans="1:11" x14ac:dyDescent="0.15">
      <c r="A908" s="7">
        <v>39235.569166666668</v>
      </c>
      <c r="B908">
        <v>37.700000000000003</v>
      </c>
      <c r="C908" s="6">
        <f t="shared" si="126"/>
        <v>1776.000000257045</v>
      </c>
      <c r="D908" t="str">
        <f t="shared" si="127"/>
        <v/>
      </c>
      <c r="E908">
        <f t="shared" si="128"/>
        <v>39235.569166666668</v>
      </c>
      <c r="F908" s="4">
        <f t="shared" si="129"/>
        <v>0.10000000000000142</v>
      </c>
      <c r="G908" s="4">
        <f t="shared" si="130"/>
        <v>5.0000000000000711E-2</v>
      </c>
      <c r="H908" s="5">
        <f t="shared" si="131"/>
        <v>9.9999991944061145E-2</v>
      </c>
      <c r="I908" s="14">
        <f t="shared" si="132"/>
        <v>18.251367613436155</v>
      </c>
      <c r="J908" s="19">
        <f t="shared" si="133"/>
        <v>1008415.5188980938</v>
      </c>
      <c r="K908" s="16">
        <f t="shared" si="134"/>
        <v>0.99859928789805597</v>
      </c>
    </row>
    <row r="909" spans="1:11" x14ac:dyDescent="0.15">
      <c r="A909" s="7">
        <v>39235.569189814814</v>
      </c>
      <c r="B909">
        <v>37.6</v>
      </c>
      <c r="C909" s="6">
        <f t="shared" si="126"/>
        <v>1778.0000000959262</v>
      </c>
      <c r="D909" t="str">
        <f t="shared" si="127"/>
        <v/>
      </c>
      <c r="E909" t="str">
        <f t="shared" si="128"/>
        <v xml:space="preserve"> </v>
      </c>
      <c r="F909" s="4">
        <f t="shared" si="129"/>
        <v>0</v>
      </c>
      <c r="G909" s="4">
        <f t="shared" si="130"/>
        <v>0</v>
      </c>
      <c r="H909" s="5">
        <f t="shared" si="131"/>
        <v>4.9999995972030573E-2</v>
      </c>
      <c r="I909" s="14">
        <f t="shared" si="132"/>
        <v>9.1256838067180777</v>
      </c>
      <c r="J909" s="19">
        <f t="shared" si="133"/>
        <v>1008424.6445819006</v>
      </c>
      <c r="K909" s="16">
        <f t="shared" si="134"/>
        <v>0.99860832474961192</v>
      </c>
    </row>
    <row r="910" spans="1:11" x14ac:dyDescent="0.15">
      <c r="A910" s="7">
        <v>39235.569212962961</v>
      </c>
      <c r="B910">
        <v>37.700000000000003</v>
      </c>
      <c r="C910" s="6">
        <f t="shared" si="126"/>
        <v>1779.9999999348074</v>
      </c>
      <c r="D910" t="str">
        <f t="shared" si="127"/>
        <v/>
      </c>
      <c r="E910">
        <f t="shared" si="128"/>
        <v>39235.569212962961</v>
      </c>
      <c r="F910" s="4">
        <f t="shared" si="129"/>
        <v>0.10000000000000142</v>
      </c>
      <c r="G910" s="4">
        <f t="shared" si="130"/>
        <v>5.0000000000000711E-2</v>
      </c>
      <c r="H910" s="5">
        <f t="shared" si="131"/>
        <v>4.9999995972030573E-2</v>
      </c>
      <c r="I910" s="14">
        <f t="shared" si="132"/>
        <v>9.1256838067180777</v>
      </c>
      <c r="J910" s="19">
        <f t="shared" si="133"/>
        <v>1008433.7702657073</v>
      </c>
      <c r="K910" s="16">
        <f t="shared" si="134"/>
        <v>0.99861736160116776</v>
      </c>
    </row>
    <row r="911" spans="1:11" x14ac:dyDescent="0.15">
      <c r="A911" s="7">
        <v>39235.569236111114</v>
      </c>
      <c r="B911">
        <v>37.700000000000003</v>
      </c>
      <c r="C911" s="6">
        <f t="shared" si="126"/>
        <v>1782.0000004023314</v>
      </c>
      <c r="D911" t="str">
        <f t="shared" si="127"/>
        <v/>
      </c>
      <c r="E911">
        <f t="shared" si="128"/>
        <v>39235.569236111114</v>
      </c>
      <c r="F911" s="4">
        <f t="shared" si="129"/>
        <v>0.10000000000000142</v>
      </c>
      <c r="G911" s="4">
        <f t="shared" si="130"/>
        <v>5.0000000000000711E-2</v>
      </c>
      <c r="H911" s="5">
        <f t="shared" si="131"/>
        <v>0.10000002337619804</v>
      </c>
      <c r="I911" s="14">
        <f t="shared" si="132"/>
        <v>18.251373350231471</v>
      </c>
      <c r="J911" s="19">
        <f t="shared" si="133"/>
        <v>1008452.0216390576</v>
      </c>
      <c r="K911" s="16">
        <f t="shared" si="134"/>
        <v>0.99863543530996068</v>
      </c>
    </row>
    <row r="912" spans="1:11" x14ac:dyDescent="0.15">
      <c r="A912" s="7">
        <v>39235.56925925926</v>
      </c>
      <c r="B912">
        <v>37.6</v>
      </c>
      <c r="C912" s="6">
        <f t="shared" si="126"/>
        <v>1784.0000002412125</v>
      </c>
      <c r="D912" t="str">
        <f t="shared" si="127"/>
        <v/>
      </c>
      <c r="E912" t="str">
        <f t="shared" si="128"/>
        <v xml:space="preserve"> </v>
      </c>
      <c r="F912" s="4">
        <f t="shared" si="129"/>
        <v>0</v>
      </c>
      <c r="G912" s="4">
        <f t="shared" si="130"/>
        <v>0</v>
      </c>
      <c r="H912" s="5">
        <f t="shared" si="131"/>
        <v>4.9999995972030573E-2</v>
      </c>
      <c r="I912" s="14">
        <f t="shared" si="132"/>
        <v>9.1256838067180777</v>
      </c>
      <c r="J912" s="19">
        <f t="shared" si="133"/>
        <v>1008461.1473228643</v>
      </c>
      <c r="K912" s="16">
        <f t="shared" si="134"/>
        <v>0.99864447216151653</v>
      </c>
    </row>
    <row r="913" spans="1:11" x14ac:dyDescent="0.15">
      <c r="A913" s="7">
        <v>39235.569282407407</v>
      </c>
      <c r="B913">
        <v>37.700000000000003</v>
      </c>
      <c r="C913" s="6">
        <f t="shared" si="126"/>
        <v>1786.0000000800937</v>
      </c>
      <c r="D913" t="str">
        <f t="shared" si="127"/>
        <v/>
      </c>
      <c r="E913">
        <f t="shared" si="128"/>
        <v>39235.569282407407</v>
      </c>
      <c r="F913" s="4">
        <f t="shared" si="129"/>
        <v>0.10000000000000142</v>
      </c>
      <c r="G913" s="4">
        <f t="shared" si="130"/>
        <v>5.0000000000000711E-2</v>
      </c>
      <c r="H913" s="5">
        <f t="shared" si="131"/>
        <v>4.9999995972030573E-2</v>
      </c>
      <c r="I913" s="14">
        <f t="shared" si="132"/>
        <v>9.1256838067180777</v>
      </c>
      <c r="J913" s="19">
        <f t="shared" si="133"/>
        <v>1008470.273006671</v>
      </c>
      <c r="K913" s="16">
        <f t="shared" si="134"/>
        <v>0.99865350901307248</v>
      </c>
    </row>
    <row r="914" spans="1:11" x14ac:dyDescent="0.15">
      <c r="A914" s="7">
        <v>39235.569305555553</v>
      </c>
      <c r="B914">
        <v>37.6</v>
      </c>
      <c r="C914" s="6">
        <f t="shared" si="126"/>
        <v>1787.9999999189749</v>
      </c>
      <c r="D914" t="str">
        <f t="shared" si="127"/>
        <v/>
      </c>
      <c r="E914" t="str">
        <f t="shared" si="128"/>
        <v xml:space="preserve"> </v>
      </c>
      <c r="F914" s="4">
        <f t="shared" si="129"/>
        <v>0</v>
      </c>
      <c r="G914" s="4">
        <f t="shared" si="130"/>
        <v>0</v>
      </c>
      <c r="H914" s="5">
        <f t="shared" si="131"/>
        <v>4.9999995972030573E-2</v>
      </c>
      <c r="I914" s="14">
        <f t="shared" si="132"/>
        <v>9.1256838067180777</v>
      </c>
      <c r="J914" s="19">
        <f t="shared" si="133"/>
        <v>1008479.3986904777</v>
      </c>
      <c r="K914" s="16">
        <f t="shared" si="134"/>
        <v>0.99866254586462844</v>
      </c>
    </row>
    <row r="915" spans="1:11" x14ac:dyDescent="0.15">
      <c r="A915" s="7">
        <v>39235.569328703707</v>
      </c>
      <c r="B915">
        <v>37.700000000000003</v>
      </c>
      <c r="C915" s="6">
        <f t="shared" si="126"/>
        <v>1790.0000003864989</v>
      </c>
      <c r="D915" t="str">
        <f t="shared" si="127"/>
        <v/>
      </c>
      <c r="E915">
        <f t="shared" si="128"/>
        <v>39235.569328703707</v>
      </c>
      <c r="F915" s="4">
        <f t="shared" si="129"/>
        <v>0.10000000000000142</v>
      </c>
      <c r="G915" s="4">
        <f t="shared" si="130"/>
        <v>5.0000000000000711E-2</v>
      </c>
      <c r="H915" s="5">
        <f t="shared" si="131"/>
        <v>5.0000011688099019E-2</v>
      </c>
      <c r="I915" s="14">
        <f t="shared" si="132"/>
        <v>9.1256866751157357</v>
      </c>
      <c r="J915" s="19">
        <f t="shared" si="133"/>
        <v>1008488.5243771528</v>
      </c>
      <c r="K915" s="16">
        <f t="shared" si="134"/>
        <v>0.99867158271902479</v>
      </c>
    </row>
    <row r="916" spans="1:11" x14ac:dyDescent="0.15">
      <c r="A916" s="7">
        <v>39235.569351851853</v>
      </c>
      <c r="B916">
        <v>37.700000000000003</v>
      </c>
      <c r="C916" s="6">
        <f t="shared" si="126"/>
        <v>1792.0000002253801</v>
      </c>
      <c r="D916" t="str">
        <f t="shared" si="127"/>
        <v/>
      </c>
      <c r="E916">
        <f t="shared" si="128"/>
        <v>39235.569351851853</v>
      </c>
      <c r="F916" s="4">
        <f t="shared" si="129"/>
        <v>0.10000000000000142</v>
      </c>
      <c r="G916" s="4">
        <f t="shared" si="130"/>
        <v>5.0000000000000711E-2</v>
      </c>
      <c r="H916" s="5">
        <f t="shared" si="131"/>
        <v>9.9999991944061145E-2</v>
      </c>
      <c r="I916" s="14">
        <f t="shared" si="132"/>
        <v>18.251367613436155</v>
      </c>
      <c r="J916" s="19">
        <f t="shared" si="133"/>
        <v>1008506.7757447662</v>
      </c>
      <c r="K916" s="16">
        <f t="shared" si="134"/>
        <v>0.99868965642213658</v>
      </c>
    </row>
    <row r="917" spans="1:11" x14ac:dyDescent="0.15">
      <c r="A917" s="7">
        <v>39235.569374999999</v>
      </c>
      <c r="B917">
        <v>37.6</v>
      </c>
      <c r="C917" s="6">
        <f t="shared" si="126"/>
        <v>1794.0000000642613</v>
      </c>
      <c r="D917" t="str">
        <f t="shared" si="127"/>
        <v/>
      </c>
      <c r="E917" t="str">
        <f t="shared" si="128"/>
        <v xml:space="preserve"> </v>
      </c>
      <c r="F917" s="4">
        <f t="shared" si="129"/>
        <v>0</v>
      </c>
      <c r="G917" s="4">
        <f t="shared" si="130"/>
        <v>0</v>
      </c>
      <c r="H917" s="5">
        <f t="shared" si="131"/>
        <v>4.9999995972030573E-2</v>
      </c>
      <c r="I917" s="14">
        <f t="shared" si="132"/>
        <v>9.1256838067180777</v>
      </c>
      <c r="J917" s="19">
        <f t="shared" si="133"/>
        <v>1008515.9014285729</v>
      </c>
      <c r="K917" s="16">
        <f t="shared" si="134"/>
        <v>0.99869869327369254</v>
      </c>
    </row>
    <row r="918" spans="1:11" x14ac:dyDescent="0.15">
      <c r="A918" s="7">
        <v>39235.569398148145</v>
      </c>
      <c r="B918">
        <v>37.700000000000003</v>
      </c>
      <c r="C918" s="6">
        <f t="shared" si="126"/>
        <v>1795.9999999031425</v>
      </c>
      <c r="D918" t="str">
        <f t="shared" si="127"/>
        <v/>
      </c>
      <c r="E918">
        <f t="shared" si="128"/>
        <v>39235.569398148145</v>
      </c>
      <c r="F918" s="4">
        <f t="shared" si="129"/>
        <v>0.10000000000000142</v>
      </c>
      <c r="G918" s="4">
        <f t="shared" si="130"/>
        <v>5.0000000000000711E-2</v>
      </c>
      <c r="H918" s="5">
        <f t="shared" si="131"/>
        <v>4.9999995972030573E-2</v>
      </c>
      <c r="I918" s="14">
        <f t="shared" si="132"/>
        <v>9.1256838067180777</v>
      </c>
      <c r="J918" s="19">
        <f t="shared" si="133"/>
        <v>1008525.0271123797</v>
      </c>
      <c r="K918" s="16">
        <f t="shared" si="134"/>
        <v>0.99870773012524849</v>
      </c>
    </row>
    <row r="919" spans="1:11" x14ac:dyDescent="0.15">
      <c r="A919" s="7">
        <v>39235.569421296299</v>
      </c>
      <c r="B919">
        <v>37.6</v>
      </c>
      <c r="C919" s="6">
        <f t="shared" si="126"/>
        <v>1798.0000003706664</v>
      </c>
      <c r="D919" t="str">
        <f t="shared" si="127"/>
        <v/>
      </c>
      <c r="E919" t="str">
        <f t="shared" si="128"/>
        <v xml:space="preserve"> </v>
      </c>
      <c r="F919" s="4">
        <f t="shared" si="129"/>
        <v>0</v>
      </c>
      <c r="G919" s="4">
        <f t="shared" si="130"/>
        <v>0</v>
      </c>
      <c r="H919" s="5">
        <f t="shared" si="131"/>
        <v>5.0000011688099019E-2</v>
      </c>
      <c r="I919" s="14">
        <f t="shared" si="132"/>
        <v>9.1256866751157357</v>
      </c>
      <c r="J919" s="19">
        <f t="shared" si="133"/>
        <v>1008534.1527990547</v>
      </c>
      <c r="K919" s="16">
        <f t="shared" si="134"/>
        <v>0.99871676697964484</v>
      </c>
    </row>
    <row r="920" spans="1:11" x14ac:dyDescent="0.15">
      <c r="A920" s="7">
        <v>39235.569444444445</v>
      </c>
      <c r="B920">
        <v>37.700000000000003</v>
      </c>
      <c r="C920" s="6">
        <f t="shared" si="126"/>
        <v>1800.0000002095476</v>
      </c>
      <c r="D920" t="str">
        <f t="shared" si="127"/>
        <v/>
      </c>
      <c r="E920">
        <f t="shared" si="128"/>
        <v>39235.569444444445</v>
      </c>
      <c r="F920" s="4">
        <f t="shared" si="129"/>
        <v>0.10000000000000142</v>
      </c>
      <c r="G920" s="4">
        <f t="shared" si="130"/>
        <v>5.0000000000000711E-2</v>
      </c>
      <c r="H920" s="5">
        <f t="shared" si="131"/>
        <v>4.9999995972030573E-2</v>
      </c>
      <c r="I920" s="14">
        <f t="shared" si="132"/>
        <v>9.1256838067180777</v>
      </c>
      <c r="J920" s="19">
        <f t="shared" si="133"/>
        <v>1008543.2784828615</v>
      </c>
      <c r="K920" s="16">
        <f t="shared" si="134"/>
        <v>0.9987258038312008</v>
      </c>
    </row>
    <row r="921" spans="1:11" x14ac:dyDescent="0.15">
      <c r="A921" s="7">
        <v>39235.569467592592</v>
      </c>
      <c r="B921">
        <v>37.700000000000003</v>
      </c>
      <c r="C921" s="6">
        <f t="shared" si="126"/>
        <v>1802.0000000484288</v>
      </c>
      <c r="D921" t="str">
        <f t="shared" si="127"/>
        <v/>
      </c>
      <c r="E921">
        <f t="shared" si="128"/>
        <v>39235.569467592592</v>
      </c>
      <c r="F921" s="4">
        <f t="shared" si="129"/>
        <v>0.10000000000000142</v>
      </c>
      <c r="G921" s="4">
        <f t="shared" si="130"/>
        <v>5.0000000000000711E-2</v>
      </c>
      <c r="H921" s="5">
        <f t="shared" si="131"/>
        <v>9.9999991944061145E-2</v>
      </c>
      <c r="I921" s="14">
        <f t="shared" si="132"/>
        <v>18.251367613436155</v>
      </c>
      <c r="J921" s="19">
        <f t="shared" si="133"/>
        <v>1008561.5298504749</v>
      </c>
      <c r="K921" s="16">
        <f t="shared" si="134"/>
        <v>0.9987438775343126</v>
      </c>
    </row>
    <row r="922" spans="1:11" x14ac:dyDescent="0.15">
      <c r="A922" s="7">
        <v>39235.569490740738</v>
      </c>
      <c r="B922">
        <v>37.700000000000003</v>
      </c>
      <c r="C922" s="6">
        <f t="shared" si="126"/>
        <v>1803.99999988731</v>
      </c>
      <c r="D922" t="str">
        <f t="shared" si="127"/>
        <v/>
      </c>
      <c r="E922">
        <f t="shared" si="128"/>
        <v>39235.569490740738</v>
      </c>
      <c r="F922" s="4">
        <f t="shared" si="129"/>
        <v>0.10000000000000142</v>
      </c>
      <c r="G922" s="4">
        <f t="shared" si="130"/>
        <v>5.0000000000000711E-2</v>
      </c>
      <c r="H922" s="5">
        <f t="shared" si="131"/>
        <v>9.9999991944061145E-2</v>
      </c>
      <c r="I922" s="14">
        <f t="shared" si="132"/>
        <v>18.251367613436155</v>
      </c>
      <c r="J922" s="19">
        <f t="shared" si="133"/>
        <v>1008579.7812180883</v>
      </c>
      <c r="K922" s="16">
        <f t="shared" si="134"/>
        <v>0.99876195123742451</v>
      </c>
    </row>
    <row r="923" spans="1:11" x14ac:dyDescent="0.15">
      <c r="A923" s="7">
        <v>39235.569513888891</v>
      </c>
      <c r="B923">
        <v>37.6</v>
      </c>
      <c r="C923" s="6">
        <f t="shared" si="126"/>
        <v>1806.0000003548339</v>
      </c>
      <c r="D923" t="str">
        <f t="shared" si="127"/>
        <v/>
      </c>
      <c r="E923" t="str">
        <f t="shared" si="128"/>
        <v xml:space="preserve"> </v>
      </c>
      <c r="F923" s="4">
        <f t="shared" si="129"/>
        <v>0</v>
      </c>
      <c r="G923" s="4">
        <f t="shared" si="130"/>
        <v>0</v>
      </c>
      <c r="H923" s="5">
        <f t="shared" si="131"/>
        <v>5.0000011688099019E-2</v>
      </c>
      <c r="I923" s="14">
        <f t="shared" si="132"/>
        <v>9.1256866751157357</v>
      </c>
      <c r="J923" s="19">
        <f t="shared" si="133"/>
        <v>1008588.9069047634</v>
      </c>
      <c r="K923" s="16">
        <f t="shared" si="134"/>
        <v>0.99877098809182085</v>
      </c>
    </row>
    <row r="924" spans="1:11" x14ac:dyDescent="0.15">
      <c r="A924" s="7">
        <v>39235.569537037038</v>
      </c>
      <c r="B924">
        <v>37.700000000000003</v>
      </c>
      <c r="C924" s="6">
        <f t="shared" si="126"/>
        <v>1808.0000001937151</v>
      </c>
      <c r="D924" t="str">
        <f t="shared" si="127"/>
        <v/>
      </c>
      <c r="E924">
        <f t="shared" si="128"/>
        <v>39235.569537037038</v>
      </c>
      <c r="F924" s="4">
        <f t="shared" si="129"/>
        <v>0.10000000000000142</v>
      </c>
      <c r="G924" s="4">
        <f t="shared" si="130"/>
        <v>5.0000000000000711E-2</v>
      </c>
      <c r="H924" s="5">
        <f t="shared" si="131"/>
        <v>4.9999995972030573E-2</v>
      </c>
      <c r="I924" s="14">
        <f t="shared" si="132"/>
        <v>9.1256838067180777</v>
      </c>
      <c r="J924" s="19">
        <f t="shared" si="133"/>
        <v>1008598.0325885701</v>
      </c>
      <c r="K924" s="16">
        <f t="shared" si="134"/>
        <v>0.9987800249433767</v>
      </c>
    </row>
    <row r="925" spans="1:11" x14ac:dyDescent="0.15">
      <c r="A925" s="7">
        <v>39235.569560185184</v>
      </c>
      <c r="B925">
        <v>37.700000000000003</v>
      </c>
      <c r="C925" s="6">
        <f t="shared" si="126"/>
        <v>1810.0000000325963</v>
      </c>
      <c r="D925" t="str">
        <f t="shared" si="127"/>
        <v/>
      </c>
      <c r="E925">
        <f t="shared" si="128"/>
        <v>39235.569560185184</v>
      </c>
      <c r="F925" s="4">
        <f t="shared" si="129"/>
        <v>0.10000000000000142</v>
      </c>
      <c r="G925" s="4">
        <f t="shared" si="130"/>
        <v>5.0000000000000711E-2</v>
      </c>
      <c r="H925" s="5">
        <f t="shared" si="131"/>
        <v>9.9999991944061145E-2</v>
      </c>
      <c r="I925" s="14">
        <f t="shared" si="132"/>
        <v>18.251367613436155</v>
      </c>
      <c r="J925" s="19">
        <f t="shared" si="133"/>
        <v>1008616.2839561836</v>
      </c>
      <c r="K925" s="16">
        <f t="shared" si="134"/>
        <v>0.99879809864648861</v>
      </c>
    </row>
    <row r="926" spans="1:11" x14ac:dyDescent="0.15">
      <c r="A926" s="7">
        <v>39235.56958333333</v>
      </c>
      <c r="B926">
        <v>37.700000000000003</v>
      </c>
      <c r="C926" s="6">
        <f t="shared" si="126"/>
        <v>1811.9999998714775</v>
      </c>
      <c r="D926" t="str">
        <f t="shared" si="127"/>
        <v/>
      </c>
      <c r="E926">
        <f t="shared" si="128"/>
        <v>39235.56958333333</v>
      </c>
      <c r="F926" s="4">
        <f t="shared" si="129"/>
        <v>0.10000000000000142</v>
      </c>
      <c r="G926" s="4">
        <f t="shared" si="130"/>
        <v>5.0000000000000711E-2</v>
      </c>
      <c r="H926" s="5">
        <f t="shared" si="131"/>
        <v>9.9999991944061145E-2</v>
      </c>
      <c r="I926" s="14">
        <f t="shared" si="132"/>
        <v>18.251367613436155</v>
      </c>
      <c r="J926" s="19">
        <f t="shared" si="133"/>
        <v>1008634.535323797</v>
      </c>
      <c r="K926" s="16">
        <f t="shared" si="134"/>
        <v>0.99881617234960041</v>
      </c>
    </row>
    <row r="927" spans="1:11" x14ac:dyDescent="0.15">
      <c r="A927" s="7">
        <v>39235.569606481484</v>
      </c>
      <c r="B927">
        <v>37.700000000000003</v>
      </c>
      <c r="C927" s="6">
        <f t="shared" si="126"/>
        <v>1814.0000003390014</v>
      </c>
      <c r="D927" t="str">
        <f t="shared" si="127"/>
        <v/>
      </c>
      <c r="E927">
        <f t="shared" si="128"/>
        <v>39235.569606481484</v>
      </c>
      <c r="F927" s="4">
        <f t="shared" si="129"/>
        <v>0.10000000000000142</v>
      </c>
      <c r="G927" s="4">
        <f t="shared" si="130"/>
        <v>5.0000000000000711E-2</v>
      </c>
      <c r="H927" s="5">
        <f t="shared" si="131"/>
        <v>0.10000002337619804</v>
      </c>
      <c r="I927" s="14">
        <f t="shared" si="132"/>
        <v>18.251373350231471</v>
      </c>
      <c r="J927" s="19">
        <f t="shared" si="133"/>
        <v>1008652.7866971473</v>
      </c>
      <c r="K927" s="16">
        <f t="shared" si="134"/>
        <v>0.99883424605839333</v>
      </c>
    </row>
    <row r="928" spans="1:11" x14ac:dyDescent="0.15">
      <c r="A928" s="7">
        <v>39235.56962962963</v>
      </c>
      <c r="B928">
        <v>37.700000000000003</v>
      </c>
      <c r="C928" s="6">
        <f t="shared" si="126"/>
        <v>1816.0000001778826</v>
      </c>
      <c r="D928" t="str">
        <f t="shared" si="127"/>
        <v/>
      </c>
      <c r="E928">
        <f t="shared" si="128"/>
        <v>39235.56962962963</v>
      </c>
      <c r="F928" s="4">
        <f t="shared" si="129"/>
        <v>0.10000000000000142</v>
      </c>
      <c r="G928" s="4">
        <f t="shared" si="130"/>
        <v>5.0000000000000711E-2</v>
      </c>
      <c r="H928" s="5">
        <f t="shared" si="131"/>
        <v>9.9999991944061145E-2</v>
      </c>
      <c r="I928" s="14">
        <f t="shared" si="132"/>
        <v>18.251367613436155</v>
      </c>
      <c r="J928" s="19">
        <f t="shared" si="133"/>
        <v>1008671.0380647607</v>
      </c>
      <c r="K928" s="16">
        <f t="shared" si="134"/>
        <v>0.99885231976150513</v>
      </c>
    </row>
    <row r="929" spans="1:11" x14ac:dyDescent="0.15">
      <c r="A929" s="7">
        <v>39235.569652777776</v>
      </c>
      <c r="B929">
        <v>37.700000000000003</v>
      </c>
      <c r="C929" s="6">
        <f t="shared" si="126"/>
        <v>1818.0000000167638</v>
      </c>
      <c r="D929" t="str">
        <f t="shared" si="127"/>
        <v/>
      </c>
      <c r="E929">
        <f t="shared" si="128"/>
        <v>39235.569652777776</v>
      </c>
      <c r="F929" s="4">
        <f t="shared" si="129"/>
        <v>0.10000000000000142</v>
      </c>
      <c r="G929" s="4">
        <f t="shared" si="130"/>
        <v>5.0000000000000711E-2</v>
      </c>
      <c r="H929" s="5">
        <f t="shared" si="131"/>
        <v>9.9999991944061145E-2</v>
      </c>
      <c r="I929" s="14">
        <f t="shared" si="132"/>
        <v>18.251367613436155</v>
      </c>
      <c r="J929" s="19">
        <f t="shared" si="133"/>
        <v>1008689.2894323742</v>
      </c>
      <c r="K929" s="16">
        <f t="shared" si="134"/>
        <v>0.99887039346461703</v>
      </c>
    </row>
    <row r="930" spans="1:11" x14ac:dyDescent="0.15">
      <c r="A930" s="7">
        <v>39235.569675925923</v>
      </c>
      <c r="B930">
        <v>37.700000000000003</v>
      </c>
      <c r="C930" s="6">
        <f t="shared" si="126"/>
        <v>1819.999999855645</v>
      </c>
      <c r="D930" t="str">
        <f t="shared" si="127"/>
        <v/>
      </c>
      <c r="E930">
        <f t="shared" si="128"/>
        <v>39235.569675925923</v>
      </c>
      <c r="F930" s="4">
        <f t="shared" si="129"/>
        <v>0.10000000000000142</v>
      </c>
      <c r="G930" s="4">
        <f t="shared" si="130"/>
        <v>5.0000000000000711E-2</v>
      </c>
      <c r="H930" s="5">
        <f t="shared" si="131"/>
        <v>9.9999991944061145E-2</v>
      </c>
      <c r="I930" s="14">
        <f t="shared" si="132"/>
        <v>18.251367613436155</v>
      </c>
      <c r="J930" s="19">
        <f t="shared" si="133"/>
        <v>1008707.5407999876</v>
      </c>
      <c r="K930" s="16">
        <f t="shared" si="134"/>
        <v>0.99888846716772883</v>
      </c>
    </row>
    <row r="931" spans="1:11" x14ac:dyDescent="0.15">
      <c r="A931" s="7">
        <v>39235.569699074076</v>
      </c>
      <c r="B931">
        <v>37.700000000000003</v>
      </c>
      <c r="C931" s="6">
        <f t="shared" si="126"/>
        <v>1822.0000003231689</v>
      </c>
      <c r="D931" t="str">
        <f t="shared" si="127"/>
        <v/>
      </c>
      <c r="E931">
        <f t="shared" si="128"/>
        <v>39235.569699074076</v>
      </c>
      <c r="F931" s="4">
        <f t="shared" si="129"/>
        <v>0.10000000000000142</v>
      </c>
      <c r="G931" s="4">
        <f t="shared" si="130"/>
        <v>5.0000000000000711E-2</v>
      </c>
      <c r="H931" s="5">
        <f t="shared" si="131"/>
        <v>0.10000002337619804</v>
      </c>
      <c r="I931" s="14">
        <f t="shared" si="132"/>
        <v>18.251373350231471</v>
      </c>
      <c r="J931" s="19">
        <f t="shared" si="133"/>
        <v>1008725.7921733379</v>
      </c>
      <c r="K931" s="16">
        <f t="shared" si="134"/>
        <v>0.99890654087652164</v>
      </c>
    </row>
    <row r="932" spans="1:11" x14ac:dyDescent="0.15">
      <c r="A932" s="7">
        <v>39235.569722222222</v>
      </c>
      <c r="B932">
        <v>37.700000000000003</v>
      </c>
      <c r="C932" s="6">
        <f t="shared" ref="C932:C995" si="135">(A932-$B$4)*24*60*60</f>
        <v>1824.0000001620501</v>
      </c>
      <c r="D932" t="str">
        <f t="shared" ref="D932:D995" si="136">IF(F932=$B$8,A932,"")</f>
        <v/>
      </c>
      <c r="E932">
        <f t="shared" ref="E932:E995" si="137">IF(B932-$B$6&gt;0,A932," ")</f>
        <v>39235.569722222222</v>
      </c>
      <c r="F932" s="4">
        <f t="shared" ref="F932:F995" si="138">IF((B932-$B$6)&gt;0,B932-$B$6,0)</f>
        <v>0.10000000000000142</v>
      </c>
      <c r="G932" s="4">
        <f t="shared" ref="G932:G995" si="139">F932/2</f>
        <v>5.0000000000000711E-2</v>
      </c>
      <c r="H932" s="5">
        <f t="shared" ref="H932:H995" si="140">AVERAGE(G931:G932)*(C932-C931)</f>
        <v>9.9999991944061145E-2</v>
      </c>
      <c r="I932" s="14">
        <f t="shared" ref="I932:I995" si="141">H932*$B$14</f>
        <v>18.251367613436155</v>
      </c>
      <c r="J932" s="19">
        <f t="shared" ref="J932:J995" si="142">J931+I932</f>
        <v>1008744.0435409513</v>
      </c>
      <c r="K932" s="16">
        <f t="shared" ref="K932:K995" si="143">J932/($B$12*1000)</f>
        <v>0.99892461457963355</v>
      </c>
    </row>
    <row r="933" spans="1:11" x14ac:dyDescent="0.15">
      <c r="A933" s="7">
        <v>39235.569745370369</v>
      </c>
      <c r="B933">
        <v>37.6</v>
      </c>
      <c r="C933" s="6">
        <f t="shared" si="135"/>
        <v>1826.0000000009313</v>
      </c>
      <c r="D933" t="str">
        <f t="shared" si="136"/>
        <v/>
      </c>
      <c r="E933" t="str">
        <f t="shared" si="137"/>
        <v xml:space="preserve"> </v>
      </c>
      <c r="F933" s="4">
        <f t="shared" si="138"/>
        <v>0</v>
      </c>
      <c r="G933" s="4">
        <f t="shared" si="139"/>
        <v>0</v>
      </c>
      <c r="H933" s="5">
        <f t="shared" si="140"/>
        <v>4.9999995972030573E-2</v>
      </c>
      <c r="I933" s="14">
        <f t="shared" si="141"/>
        <v>9.1256838067180777</v>
      </c>
      <c r="J933" s="19">
        <f t="shared" si="142"/>
        <v>1008753.1692247581</v>
      </c>
      <c r="K933" s="16">
        <f t="shared" si="143"/>
        <v>0.99893365143118951</v>
      </c>
    </row>
    <row r="934" spans="1:11" x14ac:dyDescent="0.15">
      <c r="A934" s="7">
        <v>39235.569768518515</v>
      </c>
      <c r="B934">
        <v>37.700000000000003</v>
      </c>
      <c r="C934" s="6">
        <f t="shared" si="135"/>
        <v>1827.9999998398125</v>
      </c>
      <c r="D934" t="str">
        <f t="shared" si="136"/>
        <v/>
      </c>
      <c r="E934">
        <f t="shared" si="137"/>
        <v>39235.569768518515</v>
      </c>
      <c r="F934" s="4">
        <f t="shared" si="138"/>
        <v>0.10000000000000142</v>
      </c>
      <c r="G934" s="4">
        <f t="shared" si="139"/>
        <v>5.0000000000000711E-2</v>
      </c>
      <c r="H934" s="5">
        <f t="shared" si="140"/>
        <v>4.9999995972030573E-2</v>
      </c>
      <c r="I934" s="14">
        <f t="shared" si="141"/>
        <v>9.1256838067180777</v>
      </c>
      <c r="J934" s="19">
        <f t="shared" si="142"/>
        <v>1008762.2949085648</v>
      </c>
      <c r="K934" s="16">
        <f t="shared" si="143"/>
        <v>0.99894268828274535</v>
      </c>
    </row>
    <row r="935" spans="1:11" x14ac:dyDescent="0.15">
      <c r="A935" s="7">
        <v>39235.569791666669</v>
      </c>
      <c r="B935">
        <v>37.700000000000003</v>
      </c>
      <c r="C935" s="6">
        <f t="shared" si="135"/>
        <v>1830.0000003073364</v>
      </c>
      <c r="D935" t="str">
        <f t="shared" si="136"/>
        <v/>
      </c>
      <c r="E935">
        <f t="shared" si="137"/>
        <v>39235.569791666669</v>
      </c>
      <c r="F935" s="4">
        <f t="shared" si="138"/>
        <v>0.10000000000000142</v>
      </c>
      <c r="G935" s="4">
        <f t="shared" si="139"/>
        <v>5.0000000000000711E-2</v>
      </c>
      <c r="H935" s="5">
        <f t="shared" si="140"/>
        <v>0.10000002337619804</v>
      </c>
      <c r="I935" s="14">
        <f t="shared" si="141"/>
        <v>18.251373350231471</v>
      </c>
      <c r="J935" s="19">
        <f t="shared" si="142"/>
        <v>1008780.546281915</v>
      </c>
      <c r="K935" s="16">
        <f t="shared" si="143"/>
        <v>0.99896076199153827</v>
      </c>
    </row>
    <row r="936" spans="1:11" x14ac:dyDescent="0.15">
      <c r="A936" s="7">
        <v>39235.569814814815</v>
      </c>
      <c r="B936">
        <v>37.700000000000003</v>
      </c>
      <c r="C936" s="6">
        <f t="shared" si="135"/>
        <v>1832.0000001462176</v>
      </c>
      <c r="D936" t="str">
        <f t="shared" si="136"/>
        <v/>
      </c>
      <c r="E936">
        <f t="shared" si="137"/>
        <v>39235.569814814815</v>
      </c>
      <c r="F936" s="4">
        <f t="shared" si="138"/>
        <v>0.10000000000000142</v>
      </c>
      <c r="G936" s="4">
        <f t="shared" si="139"/>
        <v>5.0000000000000711E-2</v>
      </c>
      <c r="H936" s="5">
        <f t="shared" si="140"/>
        <v>9.9999991944061145E-2</v>
      </c>
      <c r="I936" s="14">
        <f t="shared" si="141"/>
        <v>18.251367613436155</v>
      </c>
      <c r="J936" s="19">
        <f t="shared" si="142"/>
        <v>1008798.7976495285</v>
      </c>
      <c r="K936" s="16">
        <f t="shared" si="143"/>
        <v>0.99897883569465007</v>
      </c>
    </row>
    <row r="937" spans="1:11" x14ac:dyDescent="0.15">
      <c r="A937" s="7">
        <v>39235.569837962961</v>
      </c>
      <c r="B937">
        <v>37.700000000000003</v>
      </c>
      <c r="C937" s="6">
        <f t="shared" si="135"/>
        <v>1833.9999999850988</v>
      </c>
      <c r="D937" t="str">
        <f t="shared" si="136"/>
        <v/>
      </c>
      <c r="E937">
        <f t="shared" si="137"/>
        <v>39235.569837962961</v>
      </c>
      <c r="F937" s="4">
        <f t="shared" si="138"/>
        <v>0.10000000000000142</v>
      </c>
      <c r="G937" s="4">
        <f t="shared" si="139"/>
        <v>5.0000000000000711E-2</v>
      </c>
      <c r="H937" s="5">
        <f t="shared" si="140"/>
        <v>9.9999991944061145E-2</v>
      </c>
      <c r="I937" s="14">
        <f t="shared" si="141"/>
        <v>18.251367613436155</v>
      </c>
      <c r="J937" s="19">
        <f t="shared" si="142"/>
        <v>1008817.0490171419</v>
      </c>
      <c r="K937" s="16">
        <f t="shared" si="143"/>
        <v>0.99899690939776187</v>
      </c>
    </row>
    <row r="938" spans="1:11" x14ac:dyDescent="0.15">
      <c r="A938" s="7">
        <v>39235.569861111115</v>
      </c>
      <c r="B938">
        <v>37.700000000000003</v>
      </c>
      <c r="C938" s="6">
        <f t="shared" si="135"/>
        <v>1836.0000004526228</v>
      </c>
      <c r="D938" t="str">
        <f t="shared" si="136"/>
        <v/>
      </c>
      <c r="E938">
        <f t="shared" si="137"/>
        <v>39235.569861111115</v>
      </c>
      <c r="F938" s="4">
        <f t="shared" si="138"/>
        <v>0.10000000000000142</v>
      </c>
      <c r="G938" s="4">
        <f t="shared" si="139"/>
        <v>5.0000000000000711E-2</v>
      </c>
      <c r="H938" s="5">
        <f t="shared" si="140"/>
        <v>0.10000002337619804</v>
      </c>
      <c r="I938" s="14">
        <f t="shared" si="141"/>
        <v>18.251373350231471</v>
      </c>
      <c r="J938" s="19">
        <f t="shared" si="142"/>
        <v>1008835.3003904922</v>
      </c>
      <c r="K938" s="16">
        <f t="shared" si="143"/>
        <v>0.99901498310655479</v>
      </c>
    </row>
    <row r="939" spans="1:11" x14ac:dyDescent="0.15">
      <c r="A939" s="7">
        <v>39235.569884259261</v>
      </c>
      <c r="B939">
        <v>37.700000000000003</v>
      </c>
      <c r="C939" s="6">
        <f t="shared" si="135"/>
        <v>1838.000000291504</v>
      </c>
      <c r="D939" t="str">
        <f t="shared" si="136"/>
        <v/>
      </c>
      <c r="E939">
        <f t="shared" si="137"/>
        <v>39235.569884259261</v>
      </c>
      <c r="F939" s="4">
        <f t="shared" si="138"/>
        <v>0.10000000000000142</v>
      </c>
      <c r="G939" s="4">
        <f t="shared" si="139"/>
        <v>5.0000000000000711E-2</v>
      </c>
      <c r="H939" s="5">
        <f t="shared" si="140"/>
        <v>9.9999991944061145E-2</v>
      </c>
      <c r="I939" s="14">
        <f t="shared" si="141"/>
        <v>18.251367613436155</v>
      </c>
      <c r="J939" s="19">
        <f t="shared" si="142"/>
        <v>1008853.5517581056</v>
      </c>
      <c r="K939" s="16">
        <f t="shared" si="143"/>
        <v>0.99903305680966659</v>
      </c>
    </row>
    <row r="940" spans="1:11" x14ac:dyDescent="0.15">
      <c r="A940" s="7">
        <v>39235.569907407407</v>
      </c>
      <c r="B940">
        <v>37.700000000000003</v>
      </c>
      <c r="C940" s="6">
        <f t="shared" si="135"/>
        <v>1840.0000001303852</v>
      </c>
      <c r="D940" t="str">
        <f t="shared" si="136"/>
        <v/>
      </c>
      <c r="E940">
        <f t="shared" si="137"/>
        <v>39235.569907407407</v>
      </c>
      <c r="F940" s="4">
        <f t="shared" si="138"/>
        <v>0.10000000000000142</v>
      </c>
      <c r="G940" s="4">
        <f t="shared" si="139"/>
        <v>5.0000000000000711E-2</v>
      </c>
      <c r="H940" s="5">
        <f t="shared" si="140"/>
        <v>9.9999991944061145E-2</v>
      </c>
      <c r="I940" s="14">
        <f t="shared" si="141"/>
        <v>18.251367613436155</v>
      </c>
      <c r="J940" s="19">
        <f t="shared" si="142"/>
        <v>1008871.8031257191</v>
      </c>
      <c r="K940" s="16">
        <f t="shared" si="143"/>
        <v>0.9990511305127785</v>
      </c>
    </row>
    <row r="941" spans="1:11" x14ac:dyDescent="0.15">
      <c r="A941" s="7">
        <v>39235.569930555554</v>
      </c>
      <c r="B941">
        <v>37.700000000000003</v>
      </c>
      <c r="C941" s="6">
        <f t="shared" si="135"/>
        <v>1841.9999999692664</v>
      </c>
      <c r="D941" t="str">
        <f t="shared" si="136"/>
        <v/>
      </c>
      <c r="E941">
        <f t="shared" si="137"/>
        <v>39235.569930555554</v>
      </c>
      <c r="F941" s="4">
        <f t="shared" si="138"/>
        <v>0.10000000000000142</v>
      </c>
      <c r="G941" s="4">
        <f t="shared" si="139"/>
        <v>5.0000000000000711E-2</v>
      </c>
      <c r="H941" s="5">
        <f t="shared" si="140"/>
        <v>9.9999991944061145E-2</v>
      </c>
      <c r="I941" s="14">
        <f t="shared" si="141"/>
        <v>18.251367613436155</v>
      </c>
      <c r="J941" s="19">
        <f t="shared" si="142"/>
        <v>1008890.0544933325</v>
      </c>
      <c r="K941" s="16">
        <f t="shared" si="143"/>
        <v>0.99906920421589029</v>
      </c>
    </row>
    <row r="942" spans="1:11" x14ac:dyDescent="0.15">
      <c r="A942" s="7">
        <v>39235.569953703707</v>
      </c>
      <c r="B942">
        <v>37.700000000000003</v>
      </c>
      <c r="C942" s="6">
        <f t="shared" si="135"/>
        <v>1844.0000004367903</v>
      </c>
      <c r="D942" t="str">
        <f t="shared" si="136"/>
        <v/>
      </c>
      <c r="E942">
        <f t="shared" si="137"/>
        <v>39235.569953703707</v>
      </c>
      <c r="F942" s="4">
        <f t="shared" si="138"/>
        <v>0.10000000000000142</v>
      </c>
      <c r="G942" s="4">
        <f t="shared" si="139"/>
        <v>5.0000000000000711E-2</v>
      </c>
      <c r="H942" s="5">
        <f t="shared" si="140"/>
        <v>0.10000002337619804</v>
      </c>
      <c r="I942" s="14">
        <f t="shared" si="141"/>
        <v>18.251373350231471</v>
      </c>
      <c r="J942" s="19">
        <f t="shared" si="142"/>
        <v>1008908.3058666828</v>
      </c>
      <c r="K942" s="16">
        <f t="shared" si="143"/>
        <v>0.9990872779246831</v>
      </c>
    </row>
    <row r="943" spans="1:11" x14ac:dyDescent="0.15">
      <c r="A943" s="7">
        <v>39235.569976851853</v>
      </c>
      <c r="B943">
        <v>37.700000000000003</v>
      </c>
      <c r="C943" s="6">
        <f t="shared" si="135"/>
        <v>1846.0000002756715</v>
      </c>
      <c r="D943" t="str">
        <f t="shared" si="136"/>
        <v/>
      </c>
      <c r="E943">
        <f t="shared" si="137"/>
        <v>39235.569976851853</v>
      </c>
      <c r="F943" s="4">
        <f t="shared" si="138"/>
        <v>0.10000000000000142</v>
      </c>
      <c r="G943" s="4">
        <f t="shared" si="139"/>
        <v>5.0000000000000711E-2</v>
      </c>
      <c r="H943" s="5">
        <f t="shared" si="140"/>
        <v>9.9999991944061145E-2</v>
      </c>
      <c r="I943" s="14">
        <f t="shared" si="141"/>
        <v>18.251367613436155</v>
      </c>
      <c r="J943" s="19">
        <f t="shared" si="142"/>
        <v>1008926.5572342962</v>
      </c>
      <c r="K943" s="16">
        <f t="shared" si="143"/>
        <v>0.99910535162779501</v>
      </c>
    </row>
    <row r="944" spans="1:11" x14ac:dyDescent="0.15">
      <c r="A944" s="7">
        <v>39235.57</v>
      </c>
      <c r="B944">
        <v>37.700000000000003</v>
      </c>
      <c r="C944" s="6">
        <f t="shared" si="135"/>
        <v>1848.0000001145527</v>
      </c>
      <c r="D944" t="str">
        <f t="shared" si="136"/>
        <v/>
      </c>
      <c r="E944">
        <f t="shared" si="137"/>
        <v>39235.57</v>
      </c>
      <c r="F944" s="4">
        <f t="shared" si="138"/>
        <v>0.10000000000000142</v>
      </c>
      <c r="G944" s="4">
        <f t="shared" si="139"/>
        <v>5.0000000000000711E-2</v>
      </c>
      <c r="H944" s="5">
        <f t="shared" si="140"/>
        <v>9.9999991944061145E-2</v>
      </c>
      <c r="I944" s="14">
        <f t="shared" si="141"/>
        <v>18.251367613436155</v>
      </c>
      <c r="J944" s="19">
        <f t="shared" si="142"/>
        <v>1008944.8086019097</v>
      </c>
      <c r="K944" s="16">
        <f t="shared" si="143"/>
        <v>0.99912342533090681</v>
      </c>
    </row>
    <row r="945" spans="1:11" x14ac:dyDescent="0.15">
      <c r="A945" s="7">
        <v>39235.570023148146</v>
      </c>
      <c r="B945">
        <v>37.700000000000003</v>
      </c>
      <c r="C945" s="6">
        <f t="shared" si="135"/>
        <v>1849.9999999534339</v>
      </c>
      <c r="D945" t="str">
        <f t="shared" si="136"/>
        <v/>
      </c>
      <c r="E945">
        <f t="shared" si="137"/>
        <v>39235.570023148146</v>
      </c>
      <c r="F945" s="4">
        <f t="shared" si="138"/>
        <v>0.10000000000000142</v>
      </c>
      <c r="G945" s="4">
        <f t="shared" si="139"/>
        <v>5.0000000000000711E-2</v>
      </c>
      <c r="H945" s="5">
        <f t="shared" si="140"/>
        <v>9.9999991944061145E-2</v>
      </c>
      <c r="I945" s="14">
        <f t="shared" si="141"/>
        <v>18.251367613436155</v>
      </c>
      <c r="J945" s="19">
        <f t="shared" si="142"/>
        <v>1008963.0599695231</v>
      </c>
      <c r="K945" s="16">
        <f t="shared" si="143"/>
        <v>0.99914149903401872</v>
      </c>
    </row>
    <row r="946" spans="1:11" x14ac:dyDescent="0.15">
      <c r="A946" s="7">
        <v>39235.5700462963</v>
      </c>
      <c r="B946">
        <v>37.700000000000003</v>
      </c>
      <c r="C946" s="6">
        <f t="shared" si="135"/>
        <v>1852.0000004209578</v>
      </c>
      <c r="D946" t="str">
        <f t="shared" si="136"/>
        <v/>
      </c>
      <c r="E946">
        <f t="shared" si="137"/>
        <v>39235.5700462963</v>
      </c>
      <c r="F946" s="4">
        <f t="shared" si="138"/>
        <v>0.10000000000000142</v>
      </c>
      <c r="G946" s="4">
        <f t="shared" si="139"/>
        <v>5.0000000000000711E-2</v>
      </c>
      <c r="H946" s="5">
        <f t="shared" si="140"/>
        <v>0.10000002337619804</v>
      </c>
      <c r="I946" s="14">
        <f t="shared" si="141"/>
        <v>18.251373350231471</v>
      </c>
      <c r="J946" s="19">
        <f t="shared" si="142"/>
        <v>1008981.3113428734</v>
      </c>
      <c r="K946" s="16">
        <f t="shared" si="143"/>
        <v>0.99915957274281153</v>
      </c>
    </row>
    <row r="947" spans="1:11" x14ac:dyDescent="0.15">
      <c r="A947" s="7">
        <v>39235.570069444446</v>
      </c>
      <c r="B947">
        <v>37.700000000000003</v>
      </c>
      <c r="C947" s="6">
        <f t="shared" si="135"/>
        <v>1854.000000259839</v>
      </c>
      <c r="D947" t="str">
        <f t="shared" si="136"/>
        <v/>
      </c>
      <c r="E947">
        <f t="shared" si="137"/>
        <v>39235.570069444446</v>
      </c>
      <c r="F947" s="4">
        <f t="shared" si="138"/>
        <v>0.10000000000000142</v>
      </c>
      <c r="G947" s="4">
        <f t="shared" si="139"/>
        <v>5.0000000000000711E-2</v>
      </c>
      <c r="H947" s="5">
        <f t="shared" si="140"/>
        <v>9.9999991944061145E-2</v>
      </c>
      <c r="I947" s="14">
        <f t="shared" si="141"/>
        <v>18.251367613436155</v>
      </c>
      <c r="J947" s="19">
        <f t="shared" si="142"/>
        <v>1008999.5627104868</v>
      </c>
      <c r="K947" s="16">
        <f t="shared" si="143"/>
        <v>0.99917764644592344</v>
      </c>
    </row>
    <row r="948" spans="1:11" x14ac:dyDescent="0.15">
      <c r="A948" s="7">
        <v>39235.570092592592</v>
      </c>
      <c r="B948">
        <v>37.700000000000003</v>
      </c>
      <c r="C948" s="6">
        <f t="shared" si="135"/>
        <v>1856.0000000987202</v>
      </c>
      <c r="D948" t="str">
        <f t="shared" si="136"/>
        <v/>
      </c>
      <c r="E948">
        <f t="shared" si="137"/>
        <v>39235.570092592592</v>
      </c>
      <c r="F948" s="4">
        <f t="shared" si="138"/>
        <v>0.10000000000000142</v>
      </c>
      <c r="G948" s="4">
        <f t="shared" si="139"/>
        <v>5.0000000000000711E-2</v>
      </c>
      <c r="H948" s="5">
        <f t="shared" si="140"/>
        <v>9.9999991944061145E-2</v>
      </c>
      <c r="I948" s="14">
        <f t="shared" si="141"/>
        <v>18.251367613436155</v>
      </c>
      <c r="J948" s="19">
        <f t="shared" si="142"/>
        <v>1009017.8140781003</v>
      </c>
      <c r="K948" s="16">
        <f t="shared" si="143"/>
        <v>0.99919572014903524</v>
      </c>
    </row>
    <row r="949" spans="1:11" x14ac:dyDescent="0.15">
      <c r="A949" s="7">
        <v>39235.570115740738</v>
      </c>
      <c r="B949">
        <v>37.700000000000003</v>
      </c>
      <c r="C949" s="6">
        <f t="shared" si="135"/>
        <v>1857.9999999376014</v>
      </c>
      <c r="D949" t="str">
        <f t="shared" si="136"/>
        <v/>
      </c>
      <c r="E949">
        <f t="shared" si="137"/>
        <v>39235.570115740738</v>
      </c>
      <c r="F949" s="4">
        <f t="shared" si="138"/>
        <v>0.10000000000000142</v>
      </c>
      <c r="G949" s="4">
        <f t="shared" si="139"/>
        <v>5.0000000000000711E-2</v>
      </c>
      <c r="H949" s="5">
        <f t="shared" si="140"/>
        <v>9.9999991944061145E-2</v>
      </c>
      <c r="I949" s="14">
        <f t="shared" si="141"/>
        <v>18.251367613436155</v>
      </c>
      <c r="J949" s="19">
        <f t="shared" si="142"/>
        <v>1009036.0654457137</v>
      </c>
      <c r="K949" s="16">
        <f t="shared" si="143"/>
        <v>0.99921379385214715</v>
      </c>
    </row>
    <row r="950" spans="1:11" x14ac:dyDescent="0.15">
      <c r="A950" s="7">
        <v>39235.570138888892</v>
      </c>
      <c r="B950">
        <v>37.700000000000003</v>
      </c>
      <c r="C950" s="6">
        <f t="shared" si="135"/>
        <v>1860.0000004051253</v>
      </c>
      <c r="D950" t="str">
        <f t="shared" si="136"/>
        <v/>
      </c>
      <c r="E950">
        <f t="shared" si="137"/>
        <v>39235.570138888892</v>
      </c>
      <c r="F950" s="4">
        <f t="shared" si="138"/>
        <v>0.10000000000000142</v>
      </c>
      <c r="G950" s="4">
        <f t="shared" si="139"/>
        <v>5.0000000000000711E-2</v>
      </c>
      <c r="H950" s="5">
        <f t="shared" si="140"/>
        <v>0.10000002337619804</v>
      </c>
      <c r="I950" s="14">
        <f t="shared" si="141"/>
        <v>18.251373350231471</v>
      </c>
      <c r="J950" s="19">
        <f t="shared" si="142"/>
        <v>1009054.316819064</v>
      </c>
      <c r="K950" s="16">
        <f t="shared" si="143"/>
        <v>0.99923186756093996</v>
      </c>
    </row>
    <row r="951" spans="1:11" x14ac:dyDescent="0.15">
      <c r="A951" s="7">
        <v>39235.570162037038</v>
      </c>
      <c r="B951">
        <v>37.700000000000003</v>
      </c>
      <c r="C951" s="6">
        <f t="shared" si="135"/>
        <v>1862.0000002440065</v>
      </c>
      <c r="D951" t="str">
        <f t="shared" si="136"/>
        <v/>
      </c>
      <c r="E951">
        <f t="shared" si="137"/>
        <v>39235.570162037038</v>
      </c>
      <c r="F951" s="4">
        <f t="shared" si="138"/>
        <v>0.10000000000000142</v>
      </c>
      <c r="G951" s="4">
        <f t="shared" si="139"/>
        <v>5.0000000000000711E-2</v>
      </c>
      <c r="H951" s="5">
        <f t="shared" si="140"/>
        <v>9.9999991944061145E-2</v>
      </c>
      <c r="I951" s="14">
        <f t="shared" si="141"/>
        <v>18.251367613436155</v>
      </c>
      <c r="J951" s="19">
        <f t="shared" si="142"/>
        <v>1009072.5681866774</v>
      </c>
      <c r="K951" s="16">
        <f t="shared" si="143"/>
        <v>0.99924994126405176</v>
      </c>
    </row>
    <row r="952" spans="1:11" x14ac:dyDescent="0.15">
      <c r="A952" s="7">
        <v>39235.570185185185</v>
      </c>
      <c r="B952">
        <v>37.700000000000003</v>
      </c>
      <c r="C952" s="6">
        <f t="shared" si="135"/>
        <v>1864.0000000828877</v>
      </c>
      <c r="D952" t="str">
        <f t="shared" si="136"/>
        <v/>
      </c>
      <c r="E952">
        <f t="shared" si="137"/>
        <v>39235.570185185185</v>
      </c>
      <c r="F952" s="4">
        <f t="shared" si="138"/>
        <v>0.10000000000000142</v>
      </c>
      <c r="G952" s="4">
        <f t="shared" si="139"/>
        <v>5.0000000000000711E-2</v>
      </c>
      <c r="H952" s="5">
        <f t="shared" si="140"/>
        <v>9.9999991944061145E-2</v>
      </c>
      <c r="I952" s="14">
        <f t="shared" si="141"/>
        <v>18.251367613436155</v>
      </c>
      <c r="J952" s="19">
        <f t="shared" si="142"/>
        <v>1009090.8195542909</v>
      </c>
      <c r="K952" s="16">
        <f t="shared" si="143"/>
        <v>0.99926801496716366</v>
      </c>
    </row>
    <row r="953" spans="1:11" x14ac:dyDescent="0.15">
      <c r="A953" s="7">
        <v>39235.570208333331</v>
      </c>
      <c r="B953">
        <v>37.700000000000003</v>
      </c>
      <c r="C953" s="6">
        <f t="shared" si="135"/>
        <v>1865.9999999217689</v>
      </c>
      <c r="D953" t="str">
        <f t="shared" si="136"/>
        <v/>
      </c>
      <c r="E953">
        <f t="shared" si="137"/>
        <v>39235.570208333331</v>
      </c>
      <c r="F953" s="4">
        <f t="shared" si="138"/>
        <v>0.10000000000000142</v>
      </c>
      <c r="G953" s="4">
        <f t="shared" si="139"/>
        <v>5.0000000000000711E-2</v>
      </c>
      <c r="H953" s="5">
        <f t="shared" si="140"/>
        <v>9.9999991944061145E-2</v>
      </c>
      <c r="I953" s="14">
        <f t="shared" si="141"/>
        <v>18.251367613436155</v>
      </c>
      <c r="J953" s="19">
        <f t="shared" si="142"/>
        <v>1009109.0709219043</v>
      </c>
      <c r="K953" s="16">
        <f t="shared" si="143"/>
        <v>0.99928608867027546</v>
      </c>
    </row>
    <row r="954" spans="1:11" x14ac:dyDescent="0.15">
      <c r="A954" s="7">
        <v>39235.570231481484</v>
      </c>
      <c r="B954">
        <v>37.700000000000003</v>
      </c>
      <c r="C954" s="6">
        <f t="shared" si="135"/>
        <v>1868.0000003892928</v>
      </c>
      <c r="D954" t="str">
        <f t="shared" si="136"/>
        <v/>
      </c>
      <c r="E954">
        <f t="shared" si="137"/>
        <v>39235.570231481484</v>
      </c>
      <c r="F954" s="4">
        <f t="shared" si="138"/>
        <v>0.10000000000000142</v>
      </c>
      <c r="G954" s="4">
        <f t="shared" si="139"/>
        <v>5.0000000000000711E-2</v>
      </c>
      <c r="H954" s="5">
        <f t="shared" si="140"/>
        <v>0.10000002337619804</v>
      </c>
      <c r="I954" s="14">
        <f t="shared" si="141"/>
        <v>18.251373350231471</v>
      </c>
      <c r="J954" s="19">
        <f t="shared" si="142"/>
        <v>1009127.3222952546</v>
      </c>
      <c r="K954" s="16">
        <f t="shared" si="143"/>
        <v>0.99930416237906827</v>
      </c>
    </row>
    <row r="955" spans="1:11" x14ac:dyDescent="0.15">
      <c r="A955" s="7">
        <v>39235.570254629631</v>
      </c>
      <c r="B955">
        <v>37.700000000000003</v>
      </c>
      <c r="C955" s="6">
        <f t="shared" si="135"/>
        <v>1870.000000228174</v>
      </c>
      <c r="D955" t="str">
        <f t="shared" si="136"/>
        <v/>
      </c>
      <c r="E955">
        <f t="shared" si="137"/>
        <v>39235.570254629631</v>
      </c>
      <c r="F955" s="4">
        <f t="shared" si="138"/>
        <v>0.10000000000000142</v>
      </c>
      <c r="G955" s="4">
        <f t="shared" si="139"/>
        <v>5.0000000000000711E-2</v>
      </c>
      <c r="H955" s="5">
        <f t="shared" si="140"/>
        <v>9.9999991944061145E-2</v>
      </c>
      <c r="I955" s="14">
        <f t="shared" si="141"/>
        <v>18.251367613436155</v>
      </c>
      <c r="J955" s="19">
        <f t="shared" si="142"/>
        <v>1009145.573662868</v>
      </c>
      <c r="K955" s="16">
        <f t="shared" si="143"/>
        <v>0.99932223608218018</v>
      </c>
    </row>
    <row r="956" spans="1:11" x14ac:dyDescent="0.15">
      <c r="A956" s="7">
        <v>39235.570277777777</v>
      </c>
      <c r="B956">
        <v>37.700000000000003</v>
      </c>
      <c r="C956" s="6">
        <f t="shared" si="135"/>
        <v>1872.0000000670552</v>
      </c>
      <c r="D956" t="str">
        <f t="shared" si="136"/>
        <v/>
      </c>
      <c r="E956">
        <f t="shared" si="137"/>
        <v>39235.570277777777</v>
      </c>
      <c r="F956" s="4">
        <f t="shared" si="138"/>
        <v>0.10000000000000142</v>
      </c>
      <c r="G956" s="4">
        <f t="shared" si="139"/>
        <v>5.0000000000000711E-2</v>
      </c>
      <c r="H956" s="5">
        <f t="shared" si="140"/>
        <v>9.9999991944061145E-2</v>
      </c>
      <c r="I956" s="14">
        <f t="shared" si="141"/>
        <v>18.251367613436155</v>
      </c>
      <c r="J956" s="19">
        <f t="shared" si="142"/>
        <v>1009163.8250304814</v>
      </c>
      <c r="K956" s="16">
        <f t="shared" si="143"/>
        <v>0.99934030978529198</v>
      </c>
    </row>
    <row r="957" spans="1:11" x14ac:dyDescent="0.15">
      <c r="A957" s="7">
        <v>39235.570300925923</v>
      </c>
      <c r="B957">
        <v>37.700000000000003</v>
      </c>
      <c r="C957" s="6">
        <f t="shared" si="135"/>
        <v>1873.9999999059364</v>
      </c>
      <c r="D957" t="str">
        <f t="shared" si="136"/>
        <v/>
      </c>
      <c r="E957">
        <f t="shared" si="137"/>
        <v>39235.570300925923</v>
      </c>
      <c r="F957" s="4">
        <f t="shared" si="138"/>
        <v>0.10000000000000142</v>
      </c>
      <c r="G957" s="4">
        <f t="shared" si="139"/>
        <v>5.0000000000000711E-2</v>
      </c>
      <c r="H957" s="5">
        <f t="shared" si="140"/>
        <v>9.9999991944061145E-2</v>
      </c>
      <c r="I957" s="14">
        <f t="shared" si="141"/>
        <v>18.251367613436155</v>
      </c>
      <c r="J957" s="19">
        <f t="shared" si="142"/>
        <v>1009182.0763980949</v>
      </c>
      <c r="K957" s="16">
        <f t="shared" si="143"/>
        <v>0.99935838348840389</v>
      </c>
    </row>
    <row r="958" spans="1:11" x14ac:dyDescent="0.15">
      <c r="A958" s="7">
        <v>39235.570324074077</v>
      </c>
      <c r="B958">
        <v>37.700000000000003</v>
      </c>
      <c r="C958" s="6">
        <f t="shared" si="135"/>
        <v>1876.0000003734604</v>
      </c>
      <c r="D958" t="str">
        <f t="shared" si="136"/>
        <v/>
      </c>
      <c r="E958">
        <f t="shared" si="137"/>
        <v>39235.570324074077</v>
      </c>
      <c r="F958" s="4">
        <f t="shared" si="138"/>
        <v>0.10000000000000142</v>
      </c>
      <c r="G958" s="4">
        <f t="shared" si="139"/>
        <v>5.0000000000000711E-2</v>
      </c>
      <c r="H958" s="5">
        <f t="shared" si="140"/>
        <v>0.10000002337619804</v>
      </c>
      <c r="I958" s="14">
        <f t="shared" si="141"/>
        <v>18.251373350231471</v>
      </c>
      <c r="J958" s="19">
        <f t="shared" si="142"/>
        <v>1009200.3277714452</v>
      </c>
      <c r="K958" s="16">
        <f t="shared" si="143"/>
        <v>0.9993764571971967</v>
      </c>
    </row>
    <row r="959" spans="1:11" x14ac:dyDescent="0.15">
      <c r="A959" s="7">
        <v>39235.570347222223</v>
      </c>
      <c r="B959">
        <v>37.700000000000003</v>
      </c>
      <c r="C959" s="6">
        <f t="shared" si="135"/>
        <v>1878.0000002123415</v>
      </c>
      <c r="D959" t="str">
        <f t="shared" si="136"/>
        <v/>
      </c>
      <c r="E959">
        <f t="shared" si="137"/>
        <v>39235.570347222223</v>
      </c>
      <c r="F959" s="4">
        <f t="shared" si="138"/>
        <v>0.10000000000000142</v>
      </c>
      <c r="G959" s="4">
        <f t="shared" si="139"/>
        <v>5.0000000000000711E-2</v>
      </c>
      <c r="H959" s="5">
        <f t="shared" si="140"/>
        <v>9.9999991944061145E-2</v>
      </c>
      <c r="I959" s="14">
        <f t="shared" si="141"/>
        <v>18.251367613436155</v>
      </c>
      <c r="J959" s="19">
        <f t="shared" si="142"/>
        <v>1009218.5791390586</v>
      </c>
      <c r="K959" s="16">
        <f t="shared" si="143"/>
        <v>0.99939453090030861</v>
      </c>
    </row>
    <row r="960" spans="1:11" x14ac:dyDescent="0.15">
      <c r="A960" s="7">
        <v>39235.570370370369</v>
      </c>
      <c r="B960">
        <v>37.6</v>
      </c>
      <c r="C960" s="6">
        <f t="shared" si="135"/>
        <v>1880.0000000512227</v>
      </c>
      <c r="D960" t="str">
        <f t="shared" si="136"/>
        <v/>
      </c>
      <c r="E960" t="str">
        <f t="shared" si="137"/>
        <v xml:space="preserve"> </v>
      </c>
      <c r="F960" s="4">
        <f t="shared" si="138"/>
        <v>0</v>
      </c>
      <c r="G960" s="4">
        <f t="shared" si="139"/>
        <v>0</v>
      </c>
      <c r="H960" s="5">
        <f t="shared" si="140"/>
        <v>4.9999995972030573E-2</v>
      </c>
      <c r="I960" s="14">
        <f t="shared" si="141"/>
        <v>9.1256838067180777</v>
      </c>
      <c r="J960" s="19">
        <f t="shared" si="142"/>
        <v>1009227.7048228653</v>
      </c>
      <c r="K960" s="16">
        <f t="shared" si="143"/>
        <v>0.99940356775186445</v>
      </c>
    </row>
    <row r="961" spans="1:11" x14ac:dyDescent="0.15">
      <c r="A961" s="7">
        <v>39235.570393518516</v>
      </c>
      <c r="B961">
        <v>37.700000000000003</v>
      </c>
      <c r="C961" s="6">
        <f t="shared" si="135"/>
        <v>1881.9999998901039</v>
      </c>
      <c r="D961" t="str">
        <f t="shared" si="136"/>
        <v/>
      </c>
      <c r="E961">
        <f t="shared" si="137"/>
        <v>39235.570393518516</v>
      </c>
      <c r="F961" s="4">
        <f t="shared" si="138"/>
        <v>0.10000000000000142</v>
      </c>
      <c r="G961" s="4">
        <f t="shared" si="139"/>
        <v>5.0000000000000711E-2</v>
      </c>
      <c r="H961" s="5">
        <f t="shared" si="140"/>
        <v>4.9999995972030573E-2</v>
      </c>
      <c r="I961" s="14">
        <f t="shared" si="141"/>
        <v>9.1256838067180777</v>
      </c>
      <c r="J961" s="19">
        <f t="shared" si="142"/>
        <v>1009236.830506672</v>
      </c>
      <c r="K961" s="16">
        <f t="shared" si="143"/>
        <v>0.99941260460342041</v>
      </c>
    </row>
    <row r="962" spans="1:11" x14ac:dyDescent="0.15">
      <c r="A962" s="7">
        <v>39235.570416666669</v>
      </c>
      <c r="B962">
        <v>37.700000000000003</v>
      </c>
      <c r="C962" s="6">
        <f t="shared" si="135"/>
        <v>1884.0000003576279</v>
      </c>
      <c r="D962" t="str">
        <f t="shared" si="136"/>
        <v/>
      </c>
      <c r="E962">
        <f t="shared" si="137"/>
        <v>39235.570416666669</v>
      </c>
      <c r="F962" s="4">
        <f t="shared" si="138"/>
        <v>0.10000000000000142</v>
      </c>
      <c r="G962" s="4">
        <f t="shared" si="139"/>
        <v>5.0000000000000711E-2</v>
      </c>
      <c r="H962" s="5">
        <f t="shared" si="140"/>
        <v>0.10000002337619804</v>
      </c>
      <c r="I962" s="14">
        <f t="shared" si="141"/>
        <v>18.251373350231471</v>
      </c>
      <c r="J962" s="19">
        <f t="shared" si="142"/>
        <v>1009255.0818800223</v>
      </c>
      <c r="K962" s="16">
        <f t="shared" si="143"/>
        <v>0.99943067831221322</v>
      </c>
    </row>
    <row r="963" spans="1:11" x14ac:dyDescent="0.15">
      <c r="A963" s="7">
        <v>39235.570439814815</v>
      </c>
      <c r="B963">
        <v>37.700000000000003</v>
      </c>
      <c r="C963" s="6">
        <f t="shared" si="135"/>
        <v>1886.0000001965091</v>
      </c>
      <c r="D963" t="str">
        <f t="shared" si="136"/>
        <v/>
      </c>
      <c r="E963">
        <f t="shared" si="137"/>
        <v>39235.570439814815</v>
      </c>
      <c r="F963" s="4">
        <f t="shared" si="138"/>
        <v>0.10000000000000142</v>
      </c>
      <c r="G963" s="4">
        <f t="shared" si="139"/>
        <v>5.0000000000000711E-2</v>
      </c>
      <c r="H963" s="5">
        <f t="shared" si="140"/>
        <v>9.9999991944061145E-2</v>
      </c>
      <c r="I963" s="14">
        <f t="shared" si="141"/>
        <v>18.251367613436155</v>
      </c>
      <c r="J963" s="19">
        <f t="shared" si="142"/>
        <v>1009273.3332476357</v>
      </c>
      <c r="K963" s="16">
        <f t="shared" si="143"/>
        <v>0.99944875201532513</v>
      </c>
    </row>
    <row r="964" spans="1:11" x14ac:dyDescent="0.15">
      <c r="A964" s="7">
        <v>39235.570462962962</v>
      </c>
      <c r="B964">
        <v>37.700000000000003</v>
      </c>
      <c r="C964" s="6">
        <f t="shared" si="135"/>
        <v>1888.0000000353903</v>
      </c>
      <c r="D964" t="str">
        <f t="shared" si="136"/>
        <v/>
      </c>
      <c r="E964">
        <f t="shared" si="137"/>
        <v>39235.570462962962</v>
      </c>
      <c r="F964" s="4">
        <f t="shared" si="138"/>
        <v>0.10000000000000142</v>
      </c>
      <c r="G964" s="4">
        <f t="shared" si="139"/>
        <v>5.0000000000000711E-2</v>
      </c>
      <c r="H964" s="5">
        <f t="shared" si="140"/>
        <v>9.9999991944061145E-2</v>
      </c>
      <c r="I964" s="14">
        <f t="shared" si="141"/>
        <v>18.251367613436155</v>
      </c>
      <c r="J964" s="19">
        <f t="shared" si="142"/>
        <v>1009291.5846152492</v>
      </c>
      <c r="K964" s="16">
        <f t="shared" si="143"/>
        <v>0.99946682571843692</v>
      </c>
    </row>
    <row r="965" spans="1:11" x14ac:dyDescent="0.15">
      <c r="A965" s="7">
        <v>39235.570486111108</v>
      </c>
      <c r="B965">
        <v>37.700000000000003</v>
      </c>
      <c r="C965" s="6">
        <f t="shared" si="135"/>
        <v>1889.9999998742715</v>
      </c>
      <c r="D965" t="str">
        <f t="shared" si="136"/>
        <v/>
      </c>
      <c r="E965">
        <f t="shared" si="137"/>
        <v>39235.570486111108</v>
      </c>
      <c r="F965" s="4">
        <f t="shared" si="138"/>
        <v>0.10000000000000142</v>
      </c>
      <c r="G965" s="4">
        <f t="shared" si="139"/>
        <v>5.0000000000000711E-2</v>
      </c>
      <c r="H965" s="5">
        <f t="shared" si="140"/>
        <v>9.9999991944061145E-2</v>
      </c>
      <c r="I965" s="14">
        <f t="shared" si="141"/>
        <v>18.251367613436155</v>
      </c>
      <c r="J965" s="19">
        <f t="shared" si="142"/>
        <v>1009309.8359828626</v>
      </c>
      <c r="K965" s="16">
        <f t="shared" si="143"/>
        <v>0.99948489942154883</v>
      </c>
    </row>
    <row r="966" spans="1:11" x14ac:dyDescent="0.15">
      <c r="A966" s="7">
        <v>39235.570509259262</v>
      </c>
      <c r="B966">
        <v>37.700000000000003</v>
      </c>
      <c r="C966" s="6">
        <f t="shared" si="135"/>
        <v>1892.0000003417954</v>
      </c>
      <c r="D966" t="str">
        <f t="shared" si="136"/>
        <v/>
      </c>
      <c r="E966">
        <f t="shared" si="137"/>
        <v>39235.570509259262</v>
      </c>
      <c r="F966" s="4">
        <f t="shared" si="138"/>
        <v>0.10000000000000142</v>
      </c>
      <c r="G966" s="4">
        <f t="shared" si="139"/>
        <v>5.0000000000000711E-2</v>
      </c>
      <c r="H966" s="5">
        <f t="shared" si="140"/>
        <v>0.10000002337619804</v>
      </c>
      <c r="I966" s="14">
        <f t="shared" si="141"/>
        <v>18.251373350231471</v>
      </c>
      <c r="J966" s="19">
        <f t="shared" si="142"/>
        <v>1009328.0873562129</v>
      </c>
      <c r="K966" s="16">
        <f t="shared" si="143"/>
        <v>0.99950297313034164</v>
      </c>
    </row>
    <row r="967" spans="1:11" x14ac:dyDescent="0.15">
      <c r="A967" s="7">
        <v>39235.570532407408</v>
      </c>
      <c r="B967">
        <v>37.700000000000003</v>
      </c>
      <c r="C967" s="6">
        <f t="shared" si="135"/>
        <v>1894.0000001806766</v>
      </c>
      <c r="D967" t="str">
        <f t="shared" si="136"/>
        <v/>
      </c>
      <c r="E967">
        <f t="shared" si="137"/>
        <v>39235.570532407408</v>
      </c>
      <c r="F967" s="4">
        <f t="shared" si="138"/>
        <v>0.10000000000000142</v>
      </c>
      <c r="G967" s="4">
        <f t="shared" si="139"/>
        <v>5.0000000000000711E-2</v>
      </c>
      <c r="H967" s="5">
        <f t="shared" si="140"/>
        <v>9.9999991944061145E-2</v>
      </c>
      <c r="I967" s="14">
        <f t="shared" si="141"/>
        <v>18.251367613436155</v>
      </c>
      <c r="J967" s="19">
        <f t="shared" si="142"/>
        <v>1009346.3387238263</v>
      </c>
      <c r="K967" s="16">
        <f t="shared" si="143"/>
        <v>0.99952104683345344</v>
      </c>
    </row>
    <row r="968" spans="1:11" x14ac:dyDescent="0.15">
      <c r="A968" s="7">
        <v>39235.570555555554</v>
      </c>
      <c r="B968">
        <v>37.700000000000003</v>
      </c>
      <c r="C968" s="6">
        <f t="shared" si="135"/>
        <v>1896.0000000195578</v>
      </c>
      <c r="D968" t="str">
        <f t="shared" si="136"/>
        <v/>
      </c>
      <c r="E968">
        <f t="shared" si="137"/>
        <v>39235.570555555554</v>
      </c>
      <c r="F968" s="4">
        <f t="shared" si="138"/>
        <v>0.10000000000000142</v>
      </c>
      <c r="G968" s="4">
        <f t="shared" si="139"/>
        <v>5.0000000000000711E-2</v>
      </c>
      <c r="H968" s="5">
        <f t="shared" si="140"/>
        <v>9.9999991944061145E-2</v>
      </c>
      <c r="I968" s="14">
        <f t="shared" si="141"/>
        <v>18.251367613436155</v>
      </c>
      <c r="J968" s="19">
        <f t="shared" si="142"/>
        <v>1009364.5900914398</v>
      </c>
      <c r="K968" s="16">
        <f t="shared" si="143"/>
        <v>0.99953912053656535</v>
      </c>
    </row>
    <row r="969" spans="1:11" x14ac:dyDescent="0.15">
      <c r="A969" s="7">
        <v>39235.5705787037</v>
      </c>
      <c r="B969">
        <v>37.700000000000003</v>
      </c>
      <c r="C969" s="6">
        <f t="shared" si="135"/>
        <v>1897.999999858439</v>
      </c>
      <c r="D969" t="str">
        <f t="shared" si="136"/>
        <v/>
      </c>
      <c r="E969">
        <f t="shared" si="137"/>
        <v>39235.5705787037</v>
      </c>
      <c r="F969" s="4">
        <f t="shared" si="138"/>
        <v>0.10000000000000142</v>
      </c>
      <c r="G969" s="4">
        <f t="shared" si="139"/>
        <v>5.0000000000000711E-2</v>
      </c>
      <c r="H969" s="5">
        <f t="shared" si="140"/>
        <v>9.9999991944061145E-2</v>
      </c>
      <c r="I969" s="14">
        <f t="shared" si="141"/>
        <v>18.251367613436155</v>
      </c>
      <c r="J969" s="19">
        <f t="shared" si="142"/>
        <v>1009382.8414590532</v>
      </c>
      <c r="K969" s="16">
        <f t="shared" si="143"/>
        <v>0.99955719423967715</v>
      </c>
    </row>
    <row r="970" spans="1:11" x14ac:dyDescent="0.15">
      <c r="A970" s="7">
        <v>39235.570601851854</v>
      </c>
      <c r="B970">
        <v>37.700000000000003</v>
      </c>
      <c r="C970" s="6">
        <f t="shared" si="135"/>
        <v>1900.0000003259629</v>
      </c>
      <c r="D970" t="str">
        <f t="shared" si="136"/>
        <v/>
      </c>
      <c r="E970">
        <f t="shared" si="137"/>
        <v>39235.570601851854</v>
      </c>
      <c r="F970" s="4">
        <f t="shared" si="138"/>
        <v>0.10000000000000142</v>
      </c>
      <c r="G970" s="4">
        <f t="shared" si="139"/>
        <v>5.0000000000000711E-2</v>
      </c>
      <c r="H970" s="5">
        <f t="shared" si="140"/>
        <v>0.10000002337619804</v>
      </c>
      <c r="I970" s="14">
        <f t="shared" si="141"/>
        <v>18.251373350231471</v>
      </c>
      <c r="J970" s="19">
        <f t="shared" si="142"/>
        <v>1009401.0928324035</v>
      </c>
      <c r="K970" s="16">
        <f t="shared" si="143"/>
        <v>0.99957526794847007</v>
      </c>
    </row>
    <row r="971" spans="1:11" x14ac:dyDescent="0.15">
      <c r="A971" s="7">
        <v>39235.570625</v>
      </c>
      <c r="B971">
        <v>37.700000000000003</v>
      </c>
      <c r="C971" s="6">
        <f t="shared" si="135"/>
        <v>1902.0000001648441</v>
      </c>
      <c r="D971" t="str">
        <f t="shared" si="136"/>
        <v/>
      </c>
      <c r="E971">
        <f t="shared" si="137"/>
        <v>39235.570625</v>
      </c>
      <c r="F971" s="4">
        <f t="shared" si="138"/>
        <v>0.10000000000000142</v>
      </c>
      <c r="G971" s="4">
        <f t="shared" si="139"/>
        <v>5.0000000000000711E-2</v>
      </c>
      <c r="H971" s="5">
        <f t="shared" si="140"/>
        <v>9.9999991944061145E-2</v>
      </c>
      <c r="I971" s="14">
        <f t="shared" si="141"/>
        <v>18.251367613436155</v>
      </c>
      <c r="J971" s="19">
        <f t="shared" si="142"/>
        <v>1009419.3442000169</v>
      </c>
      <c r="K971" s="16">
        <f t="shared" si="143"/>
        <v>0.99959334165158187</v>
      </c>
    </row>
    <row r="972" spans="1:11" x14ac:dyDescent="0.15">
      <c r="A972" s="7">
        <v>39235.570648148147</v>
      </c>
      <c r="B972">
        <v>37.700000000000003</v>
      </c>
      <c r="C972" s="6">
        <f t="shared" si="135"/>
        <v>1904.0000000037253</v>
      </c>
      <c r="D972" t="str">
        <f t="shared" si="136"/>
        <v/>
      </c>
      <c r="E972">
        <f t="shared" si="137"/>
        <v>39235.570648148147</v>
      </c>
      <c r="F972" s="4">
        <f t="shared" si="138"/>
        <v>0.10000000000000142</v>
      </c>
      <c r="G972" s="4">
        <f t="shared" si="139"/>
        <v>5.0000000000000711E-2</v>
      </c>
      <c r="H972" s="5">
        <f t="shared" si="140"/>
        <v>9.9999991944061145E-2</v>
      </c>
      <c r="I972" s="14">
        <f t="shared" si="141"/>
        <v>18.251367613436155</v>
      </c>
      <c r="J972" s="19">
        <f t="shared" si="142"/>
        <v>1009437.5955676304</v>
      </c>
      <c r="K972" s="16">
        <f t="shared" si="143"/>
        <v>0.99961141535469378</v>
      </c>
    </row>
    <row r="973" spans="1:11" x14ac:dyDescent="0.15">
      <c r="A973" s="7">
        <v>39235.570671296293</v>
      </c>
      <c r="B973">
        <v>37.700000000000003</v>
      </c>
      <c r="C973" s="6">
        <f t="shared" si="135"/>
        <v>1905.9999998426065</v>
      </c>
      <c r="D973" t="str">
        <f t="shared" si="136"/>
        <v/>
      </c>
      <c r="E973">
        <f t="shared" si="137"/>
        <v>39235.570671296293</v>
      </c>
      <c r="F973" s="4">
        <f t="shared" si="138"/>
        <v>0.10000000000000142</v>
      </c>
      <c r="G973" s="4">
        <f t="shared" si="139"/>
        <v>5.0000000000000711E-2</v>
      </c>
      <c r="H973" s="5">
        <f t="shared" si="140"/>
        <v>9.9999991944061145E-2</v>
      </c>
      <c r="I973" s="14">
        <f t="shared" si="141"/>
        <v>18.251367613436155</v>
      </c>
      <c r="J973" s="19">
        <f t="shared" si="142"/>
        <v>1009455.8469352438</v>
      </c>
      <c r="K973" s="16">
        <f t="shared" si="143"/>
        <v>0.99962948905780558</v>
      </c>
    </row>
    <row r="974" spans="1:11" x14ac:dyDescent="0.15">
      <c r="A974" s="7">
        <v>39235.570694444446</v>
      </c>
      <c r="B974">
        <v>37.700000000000003</v>
      </c>
      <c r="C974" s="6">
        <f t="shared" si="135"/>
        <v>1908.0000003101304</v>
      </c>
      <c r="D974" t="str">
        <f t="shared" si="136"/>
        <v/>
      </c>
      <c r="E974">
        <f t="shared" si="137"/>
        <v>39235.570694444446</v>
      </c>
      <c r="F974" s="4">
        <f t="shared" si="138"/>
        <v>0.10000000000000142</v>
      </c>
      <c r="G974" s="4">
        <f t="shared" si="139"/>
        <v>5.0000000000000711E-2</v>
      </c>
      <c r="H974" s="5">
        <f t="shared" si="140"/>
        <v>0.10000002337619804</v>
      </c>
      <c r="I974" s="14">
        <f t="shared" si="141"/>
        <v>18.251373350231471</v>
      </c>
      <c r="J974" s="19">
        <f t="shared" si="142"/>
        <v>1009474.0983085941</v>
      </c>
      <c r="K974" s="16">
        <f t="shared" si="143"/>
        <v>0.99964756276659839</v>
      </c>
    </row>
    <row r="975" spans="1:11" x14ac:dyDescent="0.15">
      <c r="A975" s="7">
        <v>39235.570717592593</v>
      </c>
      <c r="B975">
        <v>37.700000000000003</v>
      </c>
      <c r="C975" s="6">
        <f t="shared" si="135"/>
        <v>1910.0000001490116</v>
      </c>
      <c r="D975" t="str">
        <f t="shared" si="136"/>
        <v/>
      </c>
      <c r="E975">
        <f t="shared" si="137"/>
        <v>39235.570717592593</v>
      </c>
      <c r="F975" s="4">
        <f t="shared" si="138"/>
        <v>0.10000000000000142</v>
      </c>
      <c r="G975" s="4">
        <f t="shared" si="139"/>
        <v>5.0000000000000711E-2</v>
      </c>
      <c r="H975" s="5">
        <f t="shared" si="140"/>
        <v>9.9999991944061145E-2</v>
      </c>
      <c r="I975" s="14">
        <f t="shared" si="141"/>
        <v>18.251367613436155</v>
      </c>
      <c r="J975" s="19">
        <f t="shared" si="142"/>
        <v>1009492.3496762075</v>
      </c>
      <c r="K975" s="16">
        <f t="shared" si="143"/>
        <v>0.99966563646971029</v>
      </c>
    </row>
    <row r="976" spans="1:11" x14ac:dyDescent="0.15">
      <c r="A976" s="7">
        <v>39235.570740740739</v>
      </c>
      <c r="B976">
        <v>37.700000000000003</v>
      </c>
      <c r="C976" s="6">
        <f t="shared" si="135"/>
        <v>1911.9999999878928</v>
      </c>
      <c r="D976" t="str">
        <f t="shared" si="136"/>
        <v/>
      </c>
      <c r="E976">
        <f t="shared" si="137"/>
        <v>39235.570740740739</v>
      </c>
      <c r="F976" s="4">
        <f t="shared" si="138"/>
        <v>0.10000000000000142</v>
      </c>
      <c r="G976" s="4">
        <f t="shared" si="139"/>
        <v>5.0000000000000711E-2</v>
      </c>
      <c r="H976" s="5">
        <f t="shared" si="140"/>
        <v>9.9999991944061145E-2</v>
      </c>
      <c r="I976" s="14">
        <f t="shared" si="141"/>
        <v>18.251367613436155</v>
      </c>
      <c r="J976" s="19">
        <f t="shared" si="142"/>
        <v>1009510.601043821</v>
      </c>
      <c r="K976" s="16">
        <f t="shared" si="143"/>
        <v>0.99968371017282209</v>
      </c>
    </row>
    <row r="977" spans="1:11" x14ac:dyDescent="0.15">
      <c r="A977" s="7">
        <v>39235.570763888885</v>
      </c>
      <c r="B977">
        <v>37.700000000000003</v>
      </c>
      <c r="C977" s="6">
        <f t="shared" si="135"/>
        <v>1913.999999826774</v>
      </c>
      <c r="D977" t="str">
        <f t="shared" si="136"/>
        <v/>
      </c>
      <c r="E977">
        <f t="shared" si="137"/>
        <v>39235.570763888885</v>
      </c>
      <c r="F977" s="4">
        <f t="shared" si="138"/>
        <v>0.10000000000000142</v>
      </c>
      <c r="G977" s="4">
        <f t="shared" si="139"/>
        <v>5.0000000000000711E-2</v>
      </c>
      <c r="H977" s="5">
        <f t="shared" si="140"/>
        <v>9.9999991944061145E-2</v>
      </c>
      <c r="I977" s="14">
        <f t="shared" si="141"/>
        <v>18.251367613436155</v>
      </c>
      <c r="J977" s="19">
        <f t="shared" si="142"/>
        <v>1009528.8524114344</v>
      </c>
      <c r="K977" s="16">
        <f t="shared" si="143"/>
        <v>0.999701783875934</v>
      </c>
    </row>
    <row r="978" spans="1:11" x14ac:dyDescent="0.15">
      <c r="A978" s="7">
        <v>39235.570787037039</v>
      </c>
      <c r="B978">
        <v>37.700000000000003</v>
      </c>
      <c r="C978" s="6">
        <f t="shared" si="135"/>
        <v>1916.0000002942979</v>
      </c>
      <c r="D978" t="str">
        <f t="shared" si="136"/>
        <v/>
      </c>
      <c r="E978">
        <f t="shared" si="137"/>
        <v>39235.570787037039</v>
      </c>
      <c r="F978" s="4">
        <f t="shared" si="138"/>
        <v>0.10000000000000142</v>
      </c>
      <c r="G978" s="4">
        <f t="shared" si="139"/>
        <v>5.0000000000000711E-2</v>
      </c>
      <c r="H978" s="5">
        <f t="shared" si="140"/>
        <v>0.10000002337619804</v>
      </c>
      <c r="I978" s="14">
        <f t="shared" si="141"/>
        <v>18.251373350231471</v>
      </c>
      <c r="J978" s="19">
        <f t="shared" si="142"/>
        <v>1009547.1037847847</v>
      </c>
      <c r="K978" s="16">
        <f t="shared" si="143"/>
        <v>0.99971985758472681</v>
      </c>
    </row>
    <row r="979" spans="1:11" x14ac:dyDescent="0.15">
      <c r="A979" s="7">
        <v>39235.570810185185</v>
      </c>
      <c r="B979">
        <v>37.700000000000003</v>
      </c>
      <c r="C979" s="6">
        <f t="shared" si="135"/>
        <v>1918.0000001331791</v>
      </c>
      <c r="D979" t="str">
        <f t="shared" si="136"/>
        <v/>
      </c>
      <c r="E979">
        <f t="shared" si="137"/>
        <v>39235.570810185185</v>
      </c>
      <c r="F979" s="4">
        <f t="shared" si="138"/>
        <v>0.10000000000000142</v>
      </c>
      <c r="G979" s="4">
        <f t="shared" si="139"/>
        <v>5.0000000000000711E-2</v>
      </c>
      <c r="H979" s="5">
        <f t="shared" si="140"/>
        <v>9.9999991944061145E-2</v>
      </c>
      <c r="I979" s="14">
        <f t="shared" si="141"/>
        <v>18.251367613436155</v>
      </c>
      <c r="J979" s="19">
        <f t="shared" si="142"/>
        <v>1009565.3551523981</v>
      </c>
      <c r="K979" s="16">
        <f t="shared" si="143"/>
        <v>0.99973793128783861</v>
      </c>
    </row>
    <row r="980" spans="1:11" x14ac:dyDescent="0.15">
      <c r="A980" s="7">
        <v>39235.570833333331</v>
      </c>
      <c r="B980">
        <v>37.700000000000003</v>
      </c>
      <c r="C980" s="6">
        <f t="shared" si="135"/>
        <v>1919.9999999720603</v>
      </c>
      <c r="D980" t="str">
        <f t="shared" si="136"/>
        <v/>
      </c>
      <c r="E980">
        <f t="shared" si="137"/>
        <v>39235.570833333331</v>
      </c>
      <c r="F980" s="4">
        <f t="shared" si="138"/>
        <v>0.10000000000000142</v>
      </c>
      <c r="G980" s="4">
        <f t="shared" si="139"/>
        <v>5.0000000000000711E-2</v>
      </c>
      <c r="H980" s="5">
        <f t="shared" si="140"/>
        <v>9.9999991944061145E-2</v>
      </c>
      <c r="I980" s="14">
        <f t="shared" si="141"/>
        <v>18.251367613436155</v>
      </c>
      <c r="J980" s="19">
        <f t="shared" si="142"/>
        <v>1009583.6065200116</v>
      </c>
      <c r="K980" s="16">
        <f t="shared" si="143"/>
        <v>0.99975600499095052</v>
      </c>
    </row>
    <row r="981" spans="1:11" x14ac:dyDescent="0.15">
      <c r="A981" s="7">
        <v>39235.570856481485</v>
      </c>
      <c r="B981">
        <v>37.700000000000003</v>
      </c>
      <c r="C981" s="6">
        <f t="shared" si="135"/>
        <v>1922.0000004395843</v>
      </c>
      <c r="D981" t="str">
        <f t="shared" si="136"/>
        <v/>
      </c>
      <c r="E981">
        <f t="shared" si="137"/>
        <v>39235.570856481485</v>
      </c>
      <c r="F981" s="4">
        <f t="shared" si="138"/>
        <v>0.10000000000000142</v>
      </c>
      <c r="G981" s="4">
        <f t="shared" si="139"/>
        <v>5.0000000000000711E-2</v>
      </c>
      <c r="H981" s="5">
        <f t="shared" si="140"/>
        <v>0.10000002337619804</v>
      </c>
      <c r="I981" s="14">
        <f t="shared" si="141"/>
        <v>18.251373350231471</v>
      </c>
      <c r="J981" s="19">
        <f t="shared" si="142"/>
        <v>1009601.8578933618</v>
      </c>
      <c r="K981" s="16">
        <f t="shared" si="143"/>
        <v>0.99977407869974333</v>
      </c>
    </row>
    <row r="982" spans="1:11" x14ac:dyDescent="0.15">
      <c r="A982" s="7">
        <v>39235.570879629631</v>
      </c>
      <c r="B982">
        <v>37.700000000000003</v>
      </c>
      <c r="C982" s="6">
        <f t="shared" si="135"/>
        <v>1924.0000002784654</v>
      </c>
      <c r="D982" t="str">
        <f t="shared" si="136"/>
        <v/>
      </c>
      <c r="E982">
        <f t="shared" si="137"/>
        <v>39235.570879629631</v>
      </c>
      <c r="F982" s="4">
        <f t="shared" si="138"/>
        <v>0.10000000000000142</v>
      </c>
      <c r="G982" s="4">
        <f t="shared" si="139"/>
        <v>5.0000000000000711E-2</v>
      </c>
      <c r="H982" s="5">
        <f t="shared" si="140"/>
        <v>9.9999991944061145E-2</v>
      </c>
      <c r="I982" s="14">
        <f t="shared" si="141"/>
        <v>18.251367613436155</v>
      </c>
      <c r="J982" s="19">
        <f t="shared" si="142"/>
        <v>1009620.1092609753</v>
      </c>
      <c r="K982" s="16">
        <f t="shared" si="143"/>
        <v>0.99979215240285524</v>
      </c>
    </row>
    <row r="983" spans="1:11" x14ac:dyDescent="0.15">
      <c r="A983" s="7">
        <v>39235.570902777778</v>
      </c>
      <c r="B983">
        <v>37.700000000000003</v>
      </c>
      <c r="C983" s="6">
        <f t="shared" si="135"/>
        <v>1926.0000001173466</v>
      </c>
      <c r="D983" t="str">
        <f t="shared" si="136"/>
        <v/>
      </c>
      <c r="E983">
        <f t="shared" si="137"/>
        <v>39235.570902777778</v>
      </c>
      <c r="F983" s="4">
        <f t="shared" si="138"/>
        <v>0.10000000000000142</v>
      </c>
      <c r="G983" s="4">
        <f t="shared" si="139"/>
        <v>5.0000000000000711E-2</v>
      </c>
      <c r="H983" s="5">
        <f t="shared" si="140"/>
        <v>9.9999991944061145E-2</v>
      </c>
      <c r="I983" s="14">
        <f t="shared" si="141"/>
        <v>18.251367613436155</v>
      </c>
      <c r="J983" s="19">
        <f t="shared" si="142"/>
        <v>1009638.3606285887</v>
      </c>
      <c r="K983" s="16">
        <f t="shared" si="143"/>
        <v>0.99981022610596704</v>
      </c>
    </row>
    <row r="984" spans="1:11" x14ac:dyDescent="0.15">
      <c r="A984" s="7">
        <v>39235.570925925924</v>
      </c>
      <c r="B984">
        <v>37.700000000000003</v>
      </c>
      <c r="C984" s="6">
        <f t="shared" si="135"/>
        <v>1927.9999999562278</v>
      </c>
      <c r="D984" t="str">
        <f t="shared" si="136"/>
        <v/>
      </c>
      <c r="E984">
        <f t="shared" si="137"/>
        <v>39235.570925925924</v>
      </c>
      <c r="F984" s="4">
        <f t="shared" si="138"/>
        <v>0.10000000000000142</v>
      </c>
      <c r="G984" s="4">
        <f t="shared" si="139"/>
        <v>5.0000000000000711E-2</v>
      </c>
      <c r="H984" s="5">
        <f t="shared" si="140"/>
        <v>9.9999991944061145E-2</v>
      </c>
      <c r="I984" s="14">
        <f t="shared" si="141"/>
        <v>18.251367613436155</v>
      </c>
      <c r="J984" s="19">
        <f t="shared" si="142"/>
        <v>1009656.6119962021</v>
      </c>
      <c r="K984" s="16">
        <f t="shared" si="143"/>
        <v>0.99982829980907895</v>
      </c>
    </row>
    <row r="985" spans="1:11" x14ac:dyDescent="0.15">
      <c r="A985" s="7">
        <v>39235.570949074077</v>
      </c>
      <c r="B985">
        <v>37.6</v>
      </c>
      <c r="C985" s="6">
        <f t="shared" si="135"/>
        <v>1930.0000004237518</v>
      </c>
      <c r="D985" t="str">
        <f t="shared" si="136"/>
        <v/>
      </c>
      <c r="E985" t="str">
        <f t="shared" si="137"/>
        <v xml:space="preserve"> </v>
      </c>
      <c r="F985" s="4">
        <f t="shared" si="138"/>
        <v>0</v>
      </c>
      <c r="G985" s="4">
        <f t="shared" si="139"/>
        <v>0</v>
      </c>
      <c r="H985" s="5">
        <f t="shared" si="140"/>
        <v>5.0000011688099019E-2</v>
      </c>
      <c r="I985" s="14">
        <f t="shared" si="141"/>
        <v>9.1256866751157357</v>
      </c>
      <c r="J985" s="19">
        <f t="shared" si="142"/>
        <v>1009665.7376828772</v>
      </c>
      <c r="K985" s="16">
        <f t="shared" si="143"/>
        <v>0.9998373366634753</v>
      </c>
    </row>
    <row r="986" spans="1:11" x14ac:dyDescent="0.15">
      <c r="A986" s="7">
        <v>39235.570972222224</v>
      </c>
      <c r="B986">
        <v>37.700000000000003</v>
      </c>
      <c r="C986" s="6">
        <f t="shared" si="135"/>
        <v>1932.000000262633</v>
      </c>
      <c r="D986" t="str">
        <f t="shared" si="136"/>
        <v/>
      </c>
      <c r="E986">
        <f t="shared" si="137"/>
        <v>39235.570972222224</v>
      </c>
      <c r="F986" s="4">
        <f t="shared" si="138"/>
        <v>0.10000000000000142</v>
      </c>
      <c r="G986" s="4">
        <f t="shared" si="139"/>
        <v>5.0000000000000711E-2</v>
      </c>
      <c r="H986" s="5">
        <f t="shared" si="140"/>
        <v>4.9999995972030573E-2</v>
      </c>
      <c r="I986" s="14">
        <f t="shared" si="141"/>
        <v>9.1256838067180777</v>
      </c>
      <c r="J986" s="19">
        <f t="shared" si="142"/>
        <v>1009674.8633666839</v>
      </c>
      <c r="K986" s="16">
        <f t="shared" si="143"/>
        <v>0.99984637351503114</v>
      </c>
    </row>
    <row r="987" spans="1:11" x14ac:dyDescent="0.15">
      <c r="A987" s="7">
        <v>39235.57099537037</v>
      </c>
      <c r="B987">
        <v>37.700000000000003</v>
      </c>
      <c r="C987" s="6">
        <f t="shared" si="135"/>
        <v>1934.0000001015142</v>
      </c>
      <c r="D987" t="str">
        <f t="shared" si="136"/>
        <v/>
      </c>
      <c r="E987">
        <f t="shared" si="137"/>
        <v>39235.57099537037</v>
      </c>
      <c r="F987" s="4">
        <f t="shared" si="138"/>
        <v>0.10000000000000142</v>
      </c>
      <c r="G987" s="4">
        <f t="shared" si="139"/>
        <v>5.0000000000000711E-2</v>
      </c>
      <c r="H987" s="5">
        <f t="shared" si="140"/>
        <v>9.9999991944061145E-2</v>
      </c>
      <c r="I987" s="14">
        <f t="shared" si="141"/>
        <v>18.251367613436155</v>
      </c>
      <c r="J987" s="19">
        <f t="shared" si="142"/>
        <v>1009693.1147342974</v>
      </c>
      <c r="K987" s="16">
        <f t="shared" si="143"/>
        <v>0.99986444721814305</v>
      </c>
    </row>
    <row r="988" spans="1:11" x14ac:dyDescent="0.15">
      <c r="A988" s="7">
        <v>39235.571018518516</v>
      </c>
      <c r="B988">
        <v>37.700000000000003</v>
      </c>
      <c r="C988" s="6">
        <f t="shared" si="135"/>
        <v>1935.9999999403954</v>
      </c>
      <c r="D988" t="str">
        <f t="shared" si="136"/>
        <v/>
      </c>
      <c r="E988">
        <f t="shared" si="137"/>
        <v>39235.571018518516</v>
      </c>
      <c r="F988" s="4">
        <f t="shared" si="138"/>
        <v>0.10000000000000142</v>
      </c>
      <c r="G988" s="4">
        <f t="shared" si="139"/>
        <v>5.0000000000000711E-2</v>
      </c>
      <c r="H988" s="5">
        <f t="shared" si="140"/>
        <v>9.9999991944061145E-2</v>
      </c>
      <c r="I988" s="14">
        <f t="shared" si="141"/>
        <v>18.251367613436155</v>
      </c>
      <c r="J988" s="19">
        <f t="shared" si="142"/>
        <v>1009711.3661019108</v>
      </c>
      <c r="K988" s="16">
        <f t="shared" si="143"/>
        <v>0.99988252092125485</v>
      </c>
    </row>
    <row r="989" spans="1:11" x14ac:dyDescent="0.15">
      <c r="A989" s="7">
        <v>39235.57104166667</v>
      </c>
      <c r="B989">
        <v>37.700000000000003</v>
      </c>
      <c r="C989" s="6">
        <f t="shared" si="135"/>
        <v>1938.0000004079193</v>
      </c>
      <c r="D989" t="str">
        <f t="shared" si="136"/>
        <v/>
      </c>
      <c r="E989">
        <f t="shared" si="137"/>
        <v>39235.57104166667</v>
      </c>
      <c r="F989" s="4">
        <f t="shared" si="138"/>
        <v>0.10000000000000142</v>
      </c>
      <c r="G989" s="4">
        <f t="shared" si="139"/>
        <v>5.0000000000000711E-2</v>
      </c>
      <c r="H989" s="5">
        <f t="shared" si="140"/>
        <v>0.10000002337619804</v>
      </c>
      <c r="I989" s="14">
        <f t="shared" si="141"/>
        <v>18.251373350231471</v>
      </c>
      <c r="J989" s="19">
        <f t="shared" si="142"/>
        <v>1009729.6174752611</v>
      </c>
      <c r="K989" s="16">
        <f t="shared" si="143"/>
        <v>0.99990059463004777</v>
      </c>
    </row>
    <row r="990" spans="1:11" x14ac:dyDescent="0.15">
      <c r="A990" s="7">
        <v>39235.571064814816</v>
      </c>
      <c r="B990">
        <v>37.700000000000003</v>
      </c>
      <c r="C990" s="6">
        <f t="shared" si="135"/>
        <v>1940.0000002468005</v>
      </c>
      <c r="D990" t="str">
        <f t="shared" si="136"/>
        <v/>
      </c>
      <c r="E990">
        <f t="shared" si="137"/>
        <v>39235.571064814816</v>
      </c>
      <c r="F990" s="4">
        <f t="shared" si="138"/>
        <v>0.10000000000000142</v>
      </c>
      <c r="G990" s="4">
        <f t="shared" si="139"/>
        <v>5.0000000000000711E-2</v>
      </c>
      <c r="H990" s="5">
        <f t="shared" si="140"/>
        <v>9.9999991944061145E-2</v>
      </c>
      <c r="I990" s="14">
        <f t="shared" si="141"/>
        <v>18.251367613436155</v>
      </c>
      <c r="J990" s="19">
        <f t="shared" si="142"/>
        <v>1009747.8688428745</v>
      </c>
      <c r="K990" s="16">
        <f t="shared" si="143"/>
        <v>0.99991866833315957</v>
      </c>
    </row>
    <row r="991" spans="1:11" x14ac:dyDescent="0.15">
      <c r="A991" s="7">
        <v>39235.571087962962</v>
      </c>
      <c r="B991">
        <v>37.700000000000003</v>
      </c>
      <c r="C991" s="6">
        <f t="shared" si="135"/>
        <v>1942.0000000856817</v>
      </c>
      <c r="D991" t="str">
        <f t="shared" si="136"/>
        <v/>
      </c>
      <c r="E991">
        <f t="shared" si="137"/>
        <v>39235.571087962962</v>
      </c>
      <c r="F991" s="4">
        <f t="shared" si="138"/>
        <v>0.10000000000000142</v>
      </c>
      <c r="G991" s="4">
        <f t="shared" si="139"/>
        <v>5.0000000000000711E-2</v>
      </c>
      <c r="H991" s="5">
        <f t="shared" si="140"/>
        <v>9.9999991944061145E-2</v>
      </c>
      <c r="I991" s="14">
        <f t="shared" si="141"/>
        <v>18.251367613436155</v>
      </c>
      <c r="J991" s="19">
        <f t="shared" si="142"/>
        <v>1009766.120210488</v>
      </c>
      <c r="K991" s="16">
        <f t="shared" si="143"/>
        <v>0.99993674203627148</v>
      </c>
    </row>
    <row r="992" spans="1:11" x14ac:dyDescent="0.15">
      <c r="A992" s="7">
        <v>39235.571111111109</v>
      </c>
      <c r="B992">
        <v>37.6</v>
      </c>
      <c r="C992" s="6">
        <f t="shared" si="135"/>
        <v>1943.9999999245629</v>
      </c>
      <c r="D992" t="str">
        <f t="shared" si="136"/>
        <v/>
      </c>
      <c r="E992" t="str">
        <f t="shared" si="137"/>
        <v xml:space="preserve"> </v>
      </c>
      <c r="F992" s="4">
        <f t="shared" si="138"/>
        <v>0</v>
      </c>
      <c r="G992" s="4">
        <f t="shared" si="139"/>
        <v>0</v>
      </c>
      <c r="H992" s="5">
        <f t="shared" si="140"/>
        <v>4.9999995972030573E-2</v>
      </c>
      <c r="I992" s="14">
        <f t="shared" si="141"/>
        <v>9.1256838067180777</v>
      </c>
      <c r="J992" s="19">
        <f t="shared" si="142"/>
        <v>1009775.2458942947</v>
      </c>
      <c r="K992" s="16">
        <f t="shared" si="143"/>
        <v>0.99994577888782732</v>
      </c>
    </row>
    <row r="993" spans="1:11" x14ac:dyDescent="0.15">
      <c r="A993" s="7">
        <v>39235.571134259262</v>
      </c>
      <c r="B993">
        <v>37.6</v>
      </c>
      <c r="C993" s="6">
        <f t="shared" si="135"/>
        <v>1946.0000003920868</v>
      </c>
      <c r="D993" t="str">
        <f t="shared" si="136"/>
        <v/>
      </c>
      <c r="E993" t="str">
        <f t="shared" si="137"/>
        <v xml:space="preserve"> </v>
      </c>
      <c r="F993" s="4">
        <f t="shared" si="138"/>
        <v>0</v>
      </c>
      <c r="G993" s="4">
        <f t="shared" si="139"/>
        <v>0</v>
      </c>
      <c r="H993" s="5">
        <f t="shared" si="140"/>
        <v>0</v>
      </c>
      <c r="I993" s="14">
        <f t="shared" si="141"/>
        <v>0</v>
      </c>
      <c r="J993" s="19">
        <f t="shared" si="142"/>
        <v>1009775.2458942947</v>
      </c>
      <c r="K993" s="16">
        <f t="shared" si="143"/>
        <v>0.99994577888782732</v>
      </c>
    </row>
    <row r="994" spans="1:11" x14ac:dyDescent="0.15">
      <c r="A994" s="7">
        <v>39235.571157407408</v>
      </c>
      <c r="B994">
        <v>37.6</v>
      </c>
      <c r="C994" s="6">
        <f t="shared" si="135"/>
        <v>1948.000000230968</v>
      </c>
      <c r="D994" t="str">
        <f t="shared" si="136"/>
        <v/>
      </c>
      <c r="E994" t="str">
        <f t="shared" si="137"/>
        <v xml:space="preserve"> </v>
      </c>
      <c r="F994" s="4">
        <f t="shared" si="138"/>
        <v>0</v>
      </c>
      <c r="G994" s="4">
        <f t="shared" si="139"/>
        <v>0</v>
      </c>
      <c r="H994" s="5">
        <f t="shared" si="140"/>
        <v>0</v>
      </c>
      <c r="I994" s="14">
        <f t="shared" si="141"/>
        <v>0</v>
      </c>
      <c r="J994" s="19">
        <f t="shared" si="142"/>
        <v>1009775.2458942947</v>
      </c>
      <c r="K994" s="16">
        <f t="shared" si="143"/>
        <v>0.99994577888782732</v>
      </c>
    </row>
    <row r="995" spans="1:11" x14ac:dyDescent="0.15">
      <c r="A995" s="7">
        <v>39235.571180555555</v>
      </c>
      <c r="B995">
        <v>37.700000000000003</v>
      </c>
      <c r="C995" s="6">
        <f t="shared" si="135"/>
        <v>1950.0000000698492</v>
      </c>
      <c r="D995" t="str">
        <f t="shared" si="136"/>
        <v/>
      </c>
      <c r="E995">
        <f t="shared" si="137"/>
        <v>39235.571180555555</v>
      </c>
      <c r="F995" s="4">
        <f t="shared" si="138"/>
        <v>0.10000000000000142</v>
      </c>
      <c r="G995" s="4">
        <f t="shared" si="139"/>
        <v>5.0000000000000711E-2</v>
      </c>
      <c r="H995" s="5">
        <f t="shared" si="140"/>
        <v>4.9999995972030573E-2</v>
      </c>
      <c r="I995" s="14">
        <f t="shared" si="141"/>
        <v>9.1256838067180777</v>
      </c>
      <c r="J995" s="19">
        <f t="shared" si="142"/>
        <v>1009784.3715781014</v>
      </c>
      <c r="K995" s="16">
        <f t="shared" si="143"/>
        <v>0.99995481573938327</v>
      </c>
    </row>
    <row r="996" spans="1:11" x14ac:dyDescent="0.15">
      <c r="A996" s="7">
        <v>39235.571203703701</v>
      </c>
      <c r="B996">
        <v>37.6</v>
      </c>
      <c r="C996" s="6">
        <f t="shared" ref="C996:C1008" si="144">(A996-$B$4)*24*60*60</f>
        <v>1951.9999999087304</v>
      </c>
      <c r="D996" t="str">
        <f t="shared" ref="D996:D1008" si="145">IF(F996=$B$8,A996,"")</f>
        <v/>
      </c>
      <c r="E996" t="str">
        <f t="shared" ref="E996:E1008" si="146">IF(B996-$B$6&gt;0,A996," ")</f>
        <v xml:space="preserve"> </v>
      </c>
      <c r="F996" s="4">
        <f t="shared" ref="F996:F1008" si="147">IF((B996-$B$6)&gt;0,B996-$B$6,0)</f>
        <v>0</v>
      </c>
      <c r="G996" s="4">
        <f t="shared" ref="G996:G1008" si="148">F996/2</f>
        <v>0</v>
      </c>
      <c r="H996" s="5">
        <f t="shared" ref="H996:H1008" si="149">AVERAGE(G995:G996)*(C996-C995)</f>
        <v>4.9999995972030573E-2</v>
      </c>
      <c r="I996" s="14">
        <f t="shared" ref="I996:I1008" si="150">H996*$B$14</f>
        <v>9.1256838067180777</v>
      </c>
      <c r="J996" s="19">
        <f t="shared" ref="J996:J1008" si="151">J995+I996</f>
        <v>1009793.4972619081</v>
      </c>
      <c r="K996" s="16">
        <f t="shared" ref="K996:K1008" si="152">J996/($B$12*1000)</f>
        <v>0.99996385259093923</v>
      </c>
    </row>
    <row r="997" spans="1:11" x14ac:dyDescent="0.15">
      <c r="A997" s="7">
        <v>39235.571226851855</v>
      </c>
      <c r="B997">
        <v>37.4</v>
      </c>
      <c r="C997" s="6">
        <f t="shared" si="144"/>
        <v>1954.0000003762543</v>
      </c>
      <c r="D997" t="str">
        <f t="shared" si="145"/>
        <v/>
      </c>
      <c r="E997" t="str">
        <f t="shared" si="146"/>
        <v xml:space="preserve"> </v>
      </c>
      <c r="F997" s="4">
        <f t="shared" si="147"/>
        <v>0</v>
      </c>
      <c r="G997" s="4">
        <f t="shared" si="148"/>
        <v>0</v>
      </c>
      <c r="H997" s="5">
        <f t="shared" si="149"/>
        <v>0</v>
      </c>
      <c r="I997" s="14">
        <f t="shared" si="150"/>
        <v>0</v>
      </c>
      <c r="J997" s="19">
        <f t="shared" si="151"/>
        <v>1009793.4972619081</v>
      </c>
      <c r="K997" s="16">
        <f t="shared" si="152"/>
        <v>0.99996385259093923</v>
      </c>
    </row>
    <row r="998" spans="1:11" x14ac:dyDescent="0.15">
      <c r="A998" s="7">
        <v>39235.571250000001</v>
      </c>
      <c r="B998">
        <v>37.700000000000003</v>
      </c>
      <c r="C998" s="6">
        <f t="shared" si="144"/>
        <v>1956.0000002151355</v>
      </c>
      <c r="D998" t="str">
        <f t="shared" si="145"/>
        <v/>
      </c>
      <c r="E998">
        <f t="shared" si="146"/>
        <v>39235.571250000001</v>
      </c>
      <c r="F998" s="4">
        <f t="shared" si="147"/>
        <v>0.10000000000000142</v>
      </c>
      <c r="G998" s="4">
        <f t="shared" si="148"/>
        <v>5.0000000000000711E-2</v>
      </c>
      <c r="H998" s="5">
        <f t="shared" si="149"/>
        <v>4.9999995972030573E-2</v>
      </c>
      <c r="I998" s="14">
        <f t="shared" si="150"/>
        <v>9.1256838067180777</v>
      </c>
      <c r="J998" s="19">
        <f t="shared" si="151"/>
        <v>1009802.6229457149</v>
      </c>
      <c r="K998" s="16">
        <f t="shared" si="152"/>
        <v>0.99997288944249518</v>
      </c>
    </row>
    <row r="999" spans="1:11" x14ac:dyDescent="0.15">
      <c r="A999" s="7">
        <v>39235.571273148147</v>
      </c>
      <c r="B999">
        <v>37.6</v>
      </c>
      <c r="C999" s="6">
        <f t="shared" si="144"/>
        <v>1958.0000000540167</v>
      </c>
      <c r="D999" t="str">
        <f t="shared" si="145"/>
        <v/>
      </c>
      <c r="E999" t="str">
        <f t="shared" si="146"/>
        <v xml:space="preserve"> </v>
      </c>
      <c r="F999" s="4">
        <f t="shared" si="147"/>
        <v>0</v>
      </c>
      <c r="G999" s="4">
        <f t="shared" si="148"/>
        <v>0</v>
      </c>
      <c r="H999" s="5">
        <f t="shared" si="149"/>
        <v>4.9999995972030573E-2</v>
      </c>
      <c r="I999" s="14">
        <f t="shared" si="150"/>
        <v>9.1256838067180777</v>
      </c>
      <c r="J999" s="19">
        <f t="shared" si="151"/>
        <v>1009811.7486295216</v>
      </c>
      <c r="K999" s="16">
        <f t="shared" si="152"/>
        <v>0.99998192629405103</v>
      </c>
    </row>
    <row r="1000" spans="1:11" x14ac:dyDescent="0.15">
      <c r="A1000" s="7">
        <v>39235.571296296293</v>
      </c>
      <c r="B1000">
        <v>37.700000000000003</v>
      </c>
      <c r="C1000" s="6">
        <f t="shared" si="144"/>
        <v>1959.9999998928979</v>
      </c>
      <c r="D1000" t="str">
        <f t="shared" si="145"/>
        <v/>
      </c>
      <c r="E1000">
        <f t="shared" si="146"/>
        <v>39235.571296296293</v>
      </c>
      <c r="F1000" s="4">
        <f t="shared" si="147"/>
        <v>0.10000000000000142</v>
      </c>
      <c r="G1000" s="4">
        <f t="shared" si="148"/>
        <v>5.0000000000000711E-2</v>
      </c>
      <c r="H1000" s="5">
        <f t="shared" si="149"/>
        <v>4.9999995972030573E-2</v>
      </c>
      <c r="I1000" s="14">
        <f t="shared" si="150"/>
        <v>9.1256838067180777</v>
      </c>
      <c r="J1000" s="19">
        <f t="shared" si="151"/>
        <v>1009820.8743133283</v>
      </c>
      <c r="K1000" s="16">
        <f t="shared" si="152"/>
        <v>0.99999096314560698</v>
      </c>
    </row>
    <row r="1001" spans="1:11" x14ac:dyDescent="0.15">
      <c r="A1001" s="7">
        <v>39235.571319444447</v>
      </c>
      <c r="B1001">
        <v>37.4</v>
      </c>
      <c r="C1001" s="6">
        <f t="shared" si="144"/>
        <v>1962.0000003604218</v>
      </c>
      <c r="D1001" t="str">
        <f t="shared" si="145"/>
        <v/>
      </c>
      <c r="E1001" t="str">
        <f t="shared" si="146"/>
        <v xml:space="preserve"> </v>
      </c>
      <c r="F1001" s="4">
        <f t="shared" si="147"/>
        <v>0</v>
      </c>
      <c r="G1001" s="4">
        <f t="shared" si="148"/>
        <v>0</v>
      </c>
      <c r="H1001" s="5">
        <f t="shared" si="149"/>
        <v>5.0000011688099019E-2</v>
      </c>
      <c r="I1001" s="14">
        <f t="shared" si="150"/>
        <v>9.1256866751157357</v>
      </c>
      <c r="J1001" s="19">
        <f t="shared" si="151"/>
        <v>1009830.0000000034</v>
      </c>
      <c r="K1001" s="16">
        <f t="shared" si="152"/>
        <v>1.0000000000000033</v>
      </c>
    </row>
    <row r="1002" spans="1:11" x14ac:dyDescent="0.15">
      <c r="A1002" s="7">
        <v>39235.571342592593</v>
      </c>
      <c r="B1002">
        <v>37.4</v>
      </c>
      <c r="C1002" s="6">
        <f t="shared" si="144"/>
        <v>1964.000000199303</v>
      </c>
      <c r="D1002" t="str">
        <f t="shared" si="145"/>
        <v/>
      </c>
      <c r="E1002" t="str">
        <f t="shared" si="146"/>
        <v xml:space="preserve"> </v>
      </c>
      <c r="F1002" s="4">
        <f t="shared" si="147"/>
        <v>0</v>
      </c>
      <c r="G1002" s="4">
        <f t="shared" si="148"/>
        <v>0</v>
      </c>
      <c r="H1002" s="5">
        <f t="shared" si="149"/>
        <v>0</v>
      </c>
      <c r="I1002" s="14">
        <f t="shared" si="150"/>
        <v>0</v>
      </c>
      <c r="J1002" s="19">
        <f t="shared" si="151"/>
        <v>1009830.0000000034</v>
      </c>
      <c r="K1002" s="16">
        <f t="shared" si="152"/>
        <v>1.0000000000000033</v>
      </c>
    </row>
    <row r="1003" spans="1:11" x14ac:dyDescent="0.15">
      <c r="A1003" s="7">
        <v>39235.57136574074</v>
      </c>
      <c r="B1003">
        <v>37.4</v>
      </c>
      <c r="C1003" s="6">
        <f t="shared" si="144"/>
        <v>1966.0000000381842</v>
      </c>
      <c r="D1003" t="str">
        <f t="shared" si="145"/>
        <v/>
      </c>
      <c r="E1003" t="str">
        <f t="shared" si="146"/>
        <v xml:space="preserve"> </v>
      </c>
      <c r="F1003" s="4">
        <f t="shared" si="147"/>
        <v>0</v>
      </c>
      <c r="G1003" s="4">
        <f t="shared" si="148"/>
        <v>0</v>
      </c>
      <c r="H1003" s="5">
        <f t="shared" si="149"/>
        <v>0</v>
      </c>
      <c r="I1003" s="14">
        <f t="shared" si="150"/>
        <v>0</v>
      </c>
      <c r="J1003" s="19">
        <f t="shared" si="151"/>
        <v>1009830.0000000034</v>
      </c>
      <c r="K1003" s="16">
        <f t="shared" si="152"/>
        <v>1.0000000000000033</v>
      </c>
    </row>
    <row r="1004" spans="1:11" x14ac:dyDescent="0.15">
      <c r="A1004" s="7">
        <v>39235.571388888886</v>
      </c>
      <c r="B1004">
        <v>37.6</v>
      </c>
      <c r="C1004" s="6">
        <f t="shared" si="144"/>
        <v>1967.9999998770654</v>
      </c>
      <c r="D1004" t="str">
        <f t="shared" si="145"/>
        <v/>
      </c>
      <c r="E1004" t="str">
        <f t="shared" si="146"/>
        <v xml:space="preserve"> </v>
      </c>
      <c r="F1004" s="4">
        <f t="shared" si="147"/>
        <v>0</v>
      </c>
      <c r="G1004" s="4">
        <f t="shared" si="148"/>
        <v>0</v>
      </c>
      <c r="H1004" s="5">
        <f t="shared" si="149"/>
        <v>0</v>
      </c>
      <c r="I1004" s="14">
        <f t="shared" si="150"/>
        <v>0</v>
      </c>
      <c r="J1004" s="19">
        <f t="shared" si="151"/>
        <v>1009830.0000000034</v>
      </c>
      <c r="K1004" s="16">
        <f t="shared" si="152"/>
        <v>1.0000000000000033</v>
      </c>
    </row>
    <row r="1005" spans="1:11" x14ac:dyDescent="0.15">
      <c r="A1005" s="7">
        <v>39235.571412037039</v>
      </c>
      <c r="B1005">
        <v>37.4</v>
      </c>
      <c r="C1005" s="6">
        <f t="shared" si="144"/>
        <v>1970.0000003445894</v>
      </c>
      <c r="D1005" t="str">
        <f t="shared" si="145"/>
        <v/>
      </c>
      <c r="E1005" t="str">
        <f t="shared" si="146"/>
        <v xml:space="preserve"> </v>
      </c>
      <c r="F1005" s="4">
        <f t="shared" si="147"/>
        <v>0</v>
      </c>
      <c r="G1005" s="4">
        <f t="shared" si="148"/>
        <v>0</v>
      </c>
      <c r="H1005" s="5">
        <f t="shared" si="149"/>
        <v>0</v>
      </c>
      <c r="I1005" s="14">
        <f t="shared" si="150"/>
        <v>0</v>
      </c>
      <c r="J1005" s="19">
        <f t="shared" si="151"/>
        <v>1009830.0000000034</v>
      </c>
      <c r="K1005" s="16">
        <f t="shared" si="152"/>
        <v>1.0000000000000033</v>
      </c>
    </row>
    <row r="1006" spans="1:11" x14ac:dyDescent="0.15">
      <c r="A1006" s="7">
        <v>39235.571435185186</v>
      </c>
      <c r="B1006">
        <v>37.4</v>
      </c>
      <c r="C1006" s="6">
        <f t="shared" si="144"/>
        <v>1972.0000001834705</v>
      </c>
      <c r="D1006" t="str">
        <f t="shared" si="145"/>
        <v/>
      </c>
      <c r="E1006" t="str">
        <f t="shared" si="146"/>
        <v xml:space="preserve"> </v>
      </c>
      <c r="F1006" s="4">
        <f t="shared" si="147"/>
        <v>0</v>
      </c>
      <c r="G1006" s="4">
        <f t="shared" si="148"/>
        <v>0</v>
      </c>
      <c r="H1006" s="5">
        <f t="shared" si="149"/>
        <v>0</v>
      </c>
      <c r="I1006" s="14">
        <f t="shared" si="150"/>
        <v>0</v>
      </c>
      <c r="J1006" s="19">
        <f t="shared" si="151"/>
        <v>1009830.0000000034</v>
      </c>
      <c r="K1006" s="16">
        <f t="shared" si="152"/>
        <v>1.0000000000000033</v>
      </c>
    </row>
    <row r="1007" spans="1:11" x14ac:dyDescent="0.15">
      <c r="A1007" s="7">
        <v>39235.571458333332</v>
      </c>
      <c r="B1007">
        <v>37.4</v>
      </c>
      <c r="C1007" s="6">
        <f t="shared" si="144"/>
        <v>1974.0000000223517</v>
      </c>
      <c r="D1007" t="str">
        <f t="shared" si="145"/>
        <v/>
      </c>
      <c r="E1007" t="str">
        <f t="shared" si="146"/>
        <v xml:space="preserve"> </v>
      </c>
      <c r="F1007" s="4">
        <f t="shared" si="147"/>
        <v>0</v>
      </c>
      <c r="G1007" s="4">
        <f t="shared" si="148"/>
        <v>0</v>
      </c>
      <c r="H1007" s="5">
        <f t="shared" si="149"/>
        <v>0</v>
      </c>
      <c r="I1007" s="14">
        <f t="shared" si="150"/>
        <v>0</v>
      </c>
      <c r="J1007" s="19">
        <f t="shared" si="151"/>
        <v>1009830.0000000034</v>
      </c>
      <c r="K1007" s="16">
        <f t="shared" si="152"/>
        <v>1.0000000000000033</v>
      </c>
    </row>
    <row r="1008" spans="1:11" x14ac:dyDescent="0.15">
      <c r="A1008" s="7">
        <v>39235.571481481478</v>
      </c>
      <c r="B1008">
        <v>37.6</v>
      </c>
      <c r="C1008" s="6">
        <f t="shared" si="144"/>
        <v>1975.9999998612329</v>
      </c>
      <c r="D1008" t="str">
        <f t="shared" si="145"/>
        <v/>
      </c>
      <c r="E1008" t="str">
        <f t="shared" si="146"/>
        <v xml:space="preserve"> </v>
      </c>
      <c r="F1008" s="4">
        <f t="shared" si="147"/>
        <v>0</v>
      </c>
      <c r="G1008" s="4">
        <f t="shared" si="148"/>
        <v>0</v>
      </c>
      <c r="H1008" s="5">
        <f t="shared" si="149"/>
        <v>0</v>
      </c>
      <c r="I1008" s="14">
        <f t="shared" si="150"/>
        <v>0</v>
      </c>
      <c r="J1008" s="19">
        <f t="shared" si="151"/>
        <v>1009830.0000000034</v>
      </c>
      <c r="K1008" s="16">
        <f t="shared" si="152"/>
        <v>1.0000000000000033</v>
      </c>
    </row>
  </sheetData>
  <sheetCalcPr fullCalcOnLoad="1"/>
  <phoneticPr fontId="5" type="noConversion"/>
  <pageMargins left="0.75" right="0.75" top="1" bottom="1" header="0.5" footer="0.5"/>
  <pageSetup orientation="portrait" horizontalDpi="4294967292" verticalDpi="4294967292"/>
  <headerFooter alignWithMargin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6AD35-2B3D-4349-B63C-EB39B5CBA3A9}">
  <dimension ref="A1:K619"/>
  <sheetViews>
    <sheetView workbookViewId="0">
      <selection activeCell="A20" sqref="A20:B619"/>
    </sheetView>
  </sheetViews>
  <sheetFormatPr baseColWidth="10" defaultRowHeight="13" x14ac:dyDescent="0.15"/>
  <cols>
    <col min="1" max="1" width="13.83203125" customWidth="1"/>
    <col min="2" max="2" width="13.1640625" customWidth="1"/>
  </cols>
  <sheetData>
    <row r="1" spans="1:4" x14ac:dyDescent="0.15">
      <c r="A1" s="31" t="s">
        <v>0</v>
      </c>
      <c r="B1" s="42">
        <v>230</v>
      </c>
      <c r="C1" s="1" t="s">
        <v>1</v>
      </c>
      <c r="D1" s="1"/>
    </row>
    <row r="2" spans="1:4" ht="14" x14ac:dyDescent="0.15">
      <c r="A2" s="43" t="s">
        <v>2</v>
      </c>
      <c r="B2" s="44">
        <v>265</v>
      </c>
      <c r="C2" s="2" t="s">
        <v>1</v>
      </c>
      <c r="D2" s="2"/>
    </row>
    <row r="3" spans="1:4" x14ac:dyDescent="0.15">
      <c r="A3" s="29" t="s">
        <v>3</v>
      </c>
      <c r="B3" s="30" t="s">
        <v>46</v>
      </c>
      <c r="C3" s="1"/>
      <c r="D3" s="1"/>
    </row>
    <row r="4" spans="1:4" x14ac:dyDescent="0.15">
      <c r="A4" s="29" t="s">
        <v>4</v>
      </c>
      <c r="B4" s="22">
        <f>A20</f>
        <v>39235.493055555555</v>
      </c>
      <c r="C4" s="10" t="s">
        <v>34</v>
      </c>
      <c r="D4" s="10"/>
    </row>
    <row r="5" spans="1:4" x14ac:dyDescent="0.15">
      <c r="A5" s="29" t="s">
        <v>5</v>
      </c>
      <c r="B5" s="22">
        <f>MIN(E:E)</f>
        <v>39235.49386574074</v>
      </c>
      <c r="C5" s="10" t="s">
        <v>34</v>
      </c>
      <c r="D5" s="1"/>
    </row>
    <row r="6" spans="1:4" ht="15" x14ac:dyDescent="0.15">
      <c r="A6" s="31" t="s">
        <v>6</v>
      </c>
      <c r="B6" s="32">
        <v>39.6</v>
      </c>
      <c r="C6" s="3" t="s">
        <v>24</v>
      </c>
      <c r="D6" s="3"/>
    </row>
    <row r="7" spans="1:4" x14ac:dyDescent="0.15">
      <c r="A7" s="29" t="s">
        <v>7</v>
      </c>
      <c r="B7" s="22">
        <f>MAX(D:D)</f>
        <v>39235.494444444441</v>
      </c>
      <c r="C7" s="10" t="s">
        <v>34</v>
      </c>
      <c r="D7" s="1"/>
    </row>
    <row r="8" spans="1:4" ht="15" x14ac:dyDescent="0.15">
      <c r="A8" s="29" t="s">
        <v>8</v>
      </c>
      <c r="B8" s="33">
        <f>MAX(F20:F295)</f>
        <v>118</v>
      </c>
      <c r="C8" s="3" t="s">
        <v>24</v>
      </c>
      <c r="D8" s="3"/>
    </row>
    <row r="9" spans="1:4" ht="15" x14ac:dyDescent="0.15">
      <c r="A9" s="29" t="s">
        <v>9</v>
      </c>
      <c r="B9" s="33">
        <f>MAX(G20:G295)</f>
        <v>59</v>
      </c>
      <c r="C9" s="1" t="s">
        <v>25</v>
      </c>
      <c r="D9" s="1"/>
    </row>
    <row r="10" spans="1:4" x14ac:dyDescent="0.15">
      <c r="A10" s="29" t="s">
        <v>10</v>
      </c>
      <c r="B10" s="22">
        <f>MAX(A:A)</f>
        <v>39235.506921296299</v>
      </c>
      <c r="C10" s="10" t="s">
        <v>34</v>
      </c>
      <c r="D10" s="1"/>
    </row>
    <row r="11" spans="1:4" ht="15" x14ac:dyDescent="0.15">
      <c r="A11" s="29" t="s">
        <v>11</v>
      </c>
      <c r="B11" s="34">
        <f>(B1-B2)/((B7-B4)*24*60*60)</f>
        <v>-0.29166666724389262</v>
      </c>
      <c r="C11" s="1" t="s">
        <v>22</v>
      </c>
      <c r="D11" s="1"/>
    </row>
    <row r="12" spans="1:4" x14ac:dyDescent="0.15">
      <c r="A12" s="31" t="s">
        <v>12</v>
      </c>
      <c r="B12" s="35">
        <v>999.3</v>
      </c>
      <c r="C12" s="1" t="s">
        <v>13</v>
      </c>
      <c r="D12" s="1"/>
    </row>
    <row r="13" spans="1:4" ht="15" x14ac:dyDescent="0.15">
      <c r="A13" s="36" t="s">
        <v>14</v>
      </c>
      <c r="B13" s="37">
        <f>SUM(H:H)</f>
        <v>5382.1000014891615</v>
      </c>
      <c r="C13" s="1" t="s">
        <v>26</v>
      </c>
      <c r="D13" s="1"/>
    </row>
    <row r="14" spans="1:4" ht="15" x14ac:dyDescent="0.15">
      <c r="A14" s="40" t="s">
        <v>15</v>
      </c>
      <c r="B14" s="41">
        <f>(B12/(B13/1000))</f>
        <v>185.67102055396703</v>
      </c>
      <c r="C14" s="1" t="s">
        <v>16</v>
      </c>
      <c r="D14" s="1"/>
    </row>
    <row r="15" spans="1:4" x14ac:dyDescent="0.15">
      <c r="A15" s="38" t="s">
        <v>33</v>
      </c>
      <c r="B15" s="39">
        <f>B7-B4</f>
        <v>1.3888888861401938E-3</v>
      </c>
      <c r="C15" s="1" t="s">
        <v>35</v>
      </c>
    </row>
    <row r="17" spans="1:11" s="11" customFormat="1" x14ac:dyDescent="0.15"/>
    <row r="18" spans="1:11" ht="42" x14ac:dyDescent="0.15">
      <c r="A18" s="26" t="s">
        <v>23</v>
      </c>
      <c r="B18" s="26" t="s">
        <v>18</v>
      </c>
      <c r="C18" s="9" t="s">
        <v>17</v>
      </c>
      <c r="D18" s="9" t="s">
        <v>30</v>
      </c>
      <c r="E18" s="9" t="s">
        <v>43</v>
      </c>
      <c r="F18" s="8" t="s">
        <v>19</v>
      </c>
      <c r="G18" s="8" t="s">
        <v>20</v>
      </c>
      <c r="H18" s="12" t="s">
        <v>21</v>
      </c>
      <c r="I18" s="8" t="s">
        <v>37</v>
      </c>
      <c r="J18" s="8" t="s">
        <v>38</v>
      </c>
      <c r="K18" s="17" t="s">
        <v>40</v>
      </c>
    </row>
    <row r="19" spans="1:11" ht="28" x14ac:dyDescent="0.15">
      <c r="A19" s="26" t="s">
        <v>31</v>
      </c>
      <c r="B19" s="27" t="s">
        <v>24</v>
      </c>
      <c r="C19" s="18" t="s">
        <v>29</v>
      </c>
      <c r="D19" s="18" t="s">
        <v>32</v>
      </c>
      <c r="E19" s="18" t="s">
        <v>44</v>
      </c>
      <c r="F19" s="3" t="s">
        <v>24</v>
      </c>
      <c r="G19" s="1" t="s">
        <v>27</v>
      </c>
      <c r="H19" s="13" t="s">
        <v>28</v>
      </c>
      <c r="I19" s="8" t="s">
        <v>36</v>
      </c>
      <c r="J19" t="s">
        <v>39</v>
      </c>
      <c r="K19" s="16" t="s">
        <v>41</v>
      </c>
    </row>
    <row r="20" spans="1:11" x14ac:dyDescent="0.15">
      <c r="A20" s="7">
        <v>39235.493055555555</v>
      </c>
      <c r="B20">
        <v>39.6</v>
      </c>
      <c r="C20" s="6">
        <f t="shared" ref="C20:C83" si="0">(A20-$B$4)*24*60*60</f>
        <v>0</v>
      </c>
      <c r="D20" t="str">
        <f t="shared" ref="D20:D83" si="1">IF(F20=$B$8,A20,"")</f>
        <v/>
      </c>
      <c r="E20" t="str">
        <f>IF(B20-$B$6&gt;0,A20," ")</f>
        <v xml:space="preserve"> </v>
      </c>
      <c r="F20" s="4">
        <f t="shared" ref="F20:F83" si="2">IF((B20-$B$6)&gt;0,B20-$B$6,0)</f>
        <v>0</v>
      </c>
      <c r="G20" s="4">
        <f>F20/2</f>
        <v>0</v>
      </c>
      <c r="H20" s="5"/>
      <c r="J20" s="15">
        <v>0</v>
      </c>
      <c r="K20" s="16">
        <f>J20/($B$12*1000)</f>
        <v>0</v>
      </c>
    </row>
    <row r="21" spans="1:11" x14ac:dyDescent="0.15">
      <c r="A21" s="7">
        <v>39235.493078703701</v>
      </c>
      <c r="B21">
        <v>39.4</v>
      </c>
      <c r="C21" s="6">
        <f t="shared" si="0"/>
        <v>1.9999998388811946</v>
      </c>
      <c r="D21" t="str">
        <f t="shared" si="1"/>
        <v/>
      </c>
      <c r="E21" t="str">
        <f t="shared" ref="E21:E84" si="3">IF(B21-$B$6&gt;0,A21," ")</f>
        <v xml:space="preserve"> </v>
      </c>
      <c r="F21" s="4">
        <f t="shared" si="2"/>
        <v>0</v>
      </c>
      <c r="G21" s="4">
        <f t="shared" ref="G21:G84" si="4">F21/2</f>
        <v>0</v>
      </c>
      <c r="H21" s="5">
        <f t="shared" ref="H21:H84" si="5">AVERAGE(G20:G21)*(C21-C20)</f>
        <v>0</v>
      </c>
      <c r="I21" s="14">
        <f>H21*$B$14</f>
        <v>0</v>
      </c>
      <c r="J21" s="19">
        <f>J20+I21</f>
        <v>0</v>
      </c>
      <c r="K21" s="16">
        <f t="shared" ref="K21:K84" si="6">J21/($B$12*1000)</f>
        <v>0</v>
      </c>
    </row>
    <row r="22" spans="1:11" x14ac:dyDescent="0.15">
      <c r="A22" s="7">
        <v>39235.493101851855</v>
      </c>
      <c r="B22">
        <v>39.4</v>
      </c>
      <c r="C22" s="6">
        <f t="shared" si="0"/>
        <v>4.000000306405127</v>
      </c>
      <c r="D22" t="str">
        <f t="shared" si="1"/>
        <v/>
      </c>
      <c r="E22" t="str">
        <f t="shared" si="3"/>
        <v xml:space="preserve"> </v>
      </c>
      <c r="F22" s="4">
        <f t="shared" si="2"/>
        <v>0</v>
      </c>
      <c r="G22" s="4">
        <f t="shared" si="4"/>
        <v>0</v>
      </c>
      <c r="H22" s="5">
        <f t="shared" si="5"/>
        <v>0</v>
      </c>
      <c r="I22" s="14">
        <f t="shared" ref="I22:I85" si="7">H22*$B$14</f>
        <v>0</v>
      </c>
      <c r="J22" s="19">
        <f t="shared" ref="J22:J85" si="8">J21+I22</f>
        <v>0</v>
      </c>
      <c r="K22" s="16">
        <f t="shared" si="6"/>
        <v>0</v>
      </c>
    </row>
    <row r="23" spans="1:11" x14ac:dyDescent="0.15">
      <c r="A23" s="7">
        <v>39235.493125000001</v>
      </c>
      <c r="B23">
        <v>39.4</v>
      </c>
      <c r="C23" s="6">
        <f t="shared" si="0"/>
        <v>6.0000001452863216</v>
      </c>
      <c r="D23" t="str">
        <f t="shared" si="1"/>
        <v/>
      </c>
      <c r="E23" t="str">
        <f t="shared" si="3"/>
        <v xml:space="preserve"> </v>
      </c>
      <c r="F23" s="4">
        <f t="shared" si="2"/>
        <v>0</v>
      </c>
      <c r="G23" s="4">
        <f t="shared" si="4"/>
        <v>0</v>
      </c>
      <c r="H23" s="5">
        <f t="shared" si="5"/>
        <v>0</v>
      </c>
      <c r="I23" s="14">
        <f t="shared" si="7"/>
        <v>0</v>
      </c>
      <c r="J23" s="19">
        <f t="shared" si="8"/>
        <v>0</v>
      </c>
      <c r="K23" s="16">
        <f t="shared" si="6"/>
        <v>0</v>
      </c>
    </row>
    <row r="24" spans="1:11" x14ac:dyDescent="0.15">
      <c r="A24" s="7">
        <v>39235.493148148147</v>
      </c>
      <c r="B24">
        <v>39.4</v>
      </c>
      <c r="C24" s="6">
        <f t="shared" si="0"/>
        <v>7.9999999841675162</v>
      </c>
      <c r="D24" t="str">
        <f t="shared" si="1"/>
        <v/>
      </c>
      <c r="E24" t="str">
        <f t="shared" si="3"/>
        <v xml:space="preserve"> </v>
      </c>
      <c r="F24" s="4">
        <f t="shared" si="2"/>
        <v>0</v>
      </c>
      <c r="G24" s="4">
        <f t="shared" si="4"/>
        <v>0</v>
      </c>
      <c r="H24" s="5">
        <f t="shared" si="5"/>
        <v>0</v>
      </c>
      <c r="I24" s="14">
        <f t="shared" si="7"/>
        <v>0</v>
      </c>
      <c r="J24" s="19">
        <f t="shared" si="8"/>
        <v>0</v>
      </c>
      <c r="K24" s="16">
        <f t="shared" si="6"/>
        <v>0</v>
      </c>
    </row>
    <row r="25" spans="1:11" x14ac:dyDescent="0.15">
      <c r="A25" s="7">
        <v>39235.493171296293</v>
      </c>
      <c r="B25">
        <v>39.299999999999997</v>
      </c>
      <c r="C25" s="6">
        <f t="shared" si="0"/>
        <v>9.9999998230487108</v>
      </c>
      <c r="D25" t="str">
        <f t="shared" si="1"/>
        <v/>
      </c>
      <c r="E25" t="str">
        <f t="shared" si="3"/>
        <v xml:space="preserve"> </v>
      </c>
      <c r="F25" s="4">
        <f t="shared" si="2"/>
        <v>0</v>
      </c>
      <c r="G25" s="4">
        <f t="shared" si="4"/>
        <v>0</v>
      </c>
      <c r="H25" s="5">
        <f t="shared" si="5"/>
        <v>0</v>
      </c>
      <c r="I25" s="14">
        <f t="shared" si="7"/>
        <v>0</v>
      </c>
      <c r="J25" s="19">
        <f t="shared" si="8"/>
        <v>0</v>
      </c>
      <c r="K25" s="16">
        <f t="shared" si="6"/>
        <v>0</v>
      </c>
    </row>
    <row r="26" spans="1:11" x14ac:dyDescent="0.15">
      <c r="A26" s="7">
        <v>39235.493194444447</v>
      </c>
      <c r="B26">
        <v>39.4</v>
      </c>
      <c r="C26" s="6">
        <f t="shared" si="0"/>
        <v>12.000000290572643</v>
      </c>
      <c r="D26" t="str">
        <f t="shared" si="1"/>
        <v/>
      </c>
      <c r="E26" t="str">
        <f t="shared" si="3"/>
        <v xml:space="preserve"> </v>
      </c>
      <c r="F26" s="4">
        <f t="shared" si="2"/>
        <v>0</v>
      </c>
      <c r="G26" s="4">
        <f t="shared" si="4"/>
        <v>0</v>
      </c>
      <c r="H26" s="5">
        <f t="shared" si="5"/>
        <v>0</v>
      </c>
      <c r="I26" s="14">
        <f t="shared" si="7"/>
        <v>0</v>
      </c>
      <c r="J26" s="19">
        <f t="shared" si="8"/>
        <v>0</v>
      </c>
      <c r="K26" s="16">
        <f t="shared" si="6"/>
        <v>0</v>
      </c>
    </row>
    <row r="27" spans="1:11" x14ac:dyDescent="0.15">
      <c r="A27" s="7">
        <v>39235.493217592593</v>
      </c>
      <c r="B27">
        <v>39.4</v>
      </c>
      <c r="C27" s="6">
        <f t="shared" si="0"/>
        <v>14.000000129453838</v>
      </c>
      <c r="D27" t="str">
        <f t="shared" si="1"/>
        <v/>
      </c>
      <c r="E27" t="str">
        <f t="shared" si="3"/>
        <v xml:space="preserve"> </v>
      </c>
      <c r="F27" s="4">
        <f t="shared" si="2"/>
        <v>0</v>
      </c>
      <c r="G27" s="4">
        <f t="shared" si="4"/>
        <v>0</v>
      </c>
      <c r="H27" s="5">
        <f t="shared" si="5"/>
        <v>0</v>
      </c>
      <c r="I27" s="14">
        <f t="shared" si="7"/>
        <v>0</v>
      </c>
      <c r="J27" s="19">
        <f t="shared" si="8"/>
        <v>0</v>
      </c>
      <c r="K27" s="16">
        <f t="shared" si="6"/>
        <v>0</v>
      </c>
    </row>
    <row r="28" spans="1:11" x14ac:dyDescent="0.15">
      <c r="A28" s="7">
        <v>39235.49324074074</v>
      </c>
      <c r="B28">
        <v>39.6</v>
      </c>
      <c r="C28" s="6">
        <f t="shared" si="0"/>
        <v>15.999999968335032</v>
      </c>
      <c r="D28" t="str">
        <f t="shared" si="1"/>
        <v/>
      </c>
      <c r="E28" t="str">
        <f t="shared" si="3"/>
        <v xml:space="preserve"> </v>
      </c>
      <c r="F28" s="4">
        <f t="shared" si="2"/>
        <v>0</v>
      </c>
      <c r="G28" s="4">
        <f t="shared" si="4"/>
        <v>0</v>
      </c>
      <c r="H28" s="5">
        <f t="shared" si="5"/>
        <v>0</v>
      </c>
      <c r="I28" s="14">
        <f t="shared" si="7"/>
        <v>0</v>
      </c>
      <c r="J28" s="19">
        <f t="shared" si="8"/>
        <v>0</v>
      </c>
      <c r="K28" s="16">
        <f t="shared" si="6"/>
        <v>0</v>
      </c>
    </row>
    <row r="29" spans="1:11" x14ac:dyDescent="0.15">
      <c r="A29" s="7">
        <v>39235.493263888886</v>
      </c>
      <c r="B29">
        <v>39.4</v>
      </c>
      <c r="C29" s="6">
        <f t="shared" si="0"/>
        <v>17.999999807216227</v>
      </c>
      <c r="D29" t="str">
        <f t="shared" si="1"/>
        <v/>
      </c>
      <c r="E29" t="str">
        <f t="shared" si="3"/>
        <v xml:space="preserve"> </v>
      </c>
      <c r="F29" s="4">
        <f t="shared" si="2"/>
        <v>0</v>
      </c>
      <c r="G29" s="4">
        <f t="shared" si="4"/>
        <v>0</v>
      </c>
      <c r="H29" s="5">
        <f t="shared" si="5"/>
        <v>0</v>
      </c>
      <c r="I29" s="14">
        <f t="shared" si="7"/>
        <v>0</v>
      </c>
      <c r="J29" s="19">
        <f t="shared" si="8"/>
        <v>0</v>
      </c>
      <c r="K29" s="16">
        <f t="shared" si="6"/>
        <v>0</v>
      </c>
    </row>
    <row r="30" spans="1:11" x14ac:dyDescent="0.15">
      <c r="A30" s="7">
        <v>39235.493287037039</v>
      </c>
      <c r="B30">
        <v>39.4</v>
      </c>
      <c r="C30" s="6">
        <f t="shared" si="0"/>
        <v>20.00000027474016</v>
      </c>
      <c r="D30" t="str">
        <f t="shared" si="1"/>
        <v/>
      </c>
      <c r="E30" t="str">
        <f t="shared" si="3"/>
        <v xml:space="preserve"> </v>
      </c>
      <c r="F30" s="4">
        <f t="shared" si="2"/>
        <v>0</v>
      </c>
      <c r="G30" s="4">
        <f t="shared" si="4"/>
        <v>0</v>
      </c>
      <c r="H30" s="5">
        <f t="shared" si="5"/>
        <v>0</v>
      </c>
      <c r="I30" s="14">
        <f t="shared" si="7"/>
        <v>0</v>
      </c>
      <c r="J30" s="19">
        <f t="shared" si="8"/>
        <v>0</v>
      </c>
      <c r="K30" s="16">
        <f t="shared" si="6"/>
        <v>0</v>
      </c>
    </row>
    <row r="31" spans="1:11" x14ac:dyDescent="0.15">
      <c r="A31" s="7">
        <v>39235.493310185186</v>
      </c>
      <c r="B31">
        <v>39.6</v>
      </c>
      <c r="C31" s="6">
        <f t="shared" si="0"/>
        <v>22.000000113621354</v>
      </c>
      <c r="D31" t="str">
        <f t="shared" si="1"/>
        <v/>
      </c>
      <c r="E31" t="str">
        <f t="shared" si="3"/>
        <v xml:space="preserve"> </v>
      </c>
      <c r="F31" s="4">
        <f t="shared" si="2"/>
        <v>0</v>
      </c>
      <c r="G31" s="4">
        <f t="shared" si="4"/>
        <v>0</v>
      </c>
      <c r="H31" s="5">
        <f t="shared" si="5"/>
        <v>0</v>
      </c>
      <c r="I31" s="14">
        <f t="shared" si="7"/>
        <v>0</v>
      </c>
      <c r="J31" s="19">
        <f t="shared" si="8"/>
        <v>0</v>
      </c>
      <c r="K31" s="16">
        <f t="shared" si="6"/>
        <v>0</v>
      </c>
    </row>
    <row r="32" spans="1:11" x14ac:dyDescent="0.15">
      <c r="A32" s="7">
        <v>39235.493333333332</v>
      </c>
      <c r="B32">
        <v>39.4</v>
      </c>
      <c r="C32" s="6">
        <f t="shared" si="0"/>
        <v>23.999999952502549</v>
      </c>
      <c r="D32" t="str">
        <f t="shared" si="1"/>
        <v/>
      </c>
      <c r="E32" t="str">
        <f t="shared" si="3"/>
        <v xml:space="preserve"> </v>
      </c>
      <c r="F32" s="4">
        <f t="shared" si="2"/>
        <v>0</v>
      </c>
      <c r="G32" s="4">
        <f t="shared" si="4"/>
        <v>0</v>
      </c>
      <c r="H32" s="5">
        <f t="shared" si="5"/>
        <v>0</v>
      </c>
      <c r="I32" s="14">
        <f t="shared" si="7"/>
        <v>0</v>
      </c>
      <c r="J32" s="19">
        <f t="shared" si="8"/>
        <v>0</v>
      </c>
      <c r="K32" s="16">
        <f t="shared" si="6"/>
        <v>0</v>
      </c>
    </row>
    <row r="33" spans="1:11" x14ac:dyDescent="0.15">
      <c r="A33" s="7">
        <v>39235.493356481478</v>
      </c>
      <c r="B33">
        <v>39.4</v>
      </c>
      <c r="C33" s="6">
        <f t="shared" si="0"/>
        <v>25.999999791383743</v>
      </c>
      <c r="D33" t="str">
        <f t="shared" si="1"/>
        <v/>
      </c>
      <c r="E33" t="str">
        <f t="shared" si="3"/>
        <v xml:space="preserve"> </v>
      </c>
      <c r="F33" s="4">
        <f t="shared" si="2"/>
        <v>0</v>
      </c>
      <c r="G33" s="4">
        <f t="shared" si="4"/>
        <v>0</v>
      </c>
      <c r="H33" s="5">
        <f t="shared" si="5"/>
        <v>0</v>
      </c>
      <c r="I33" s="14">
        <f t="shared" si="7"/>
        <v>0</v>
      </c>
      <c r="J33" s="19">
        <f t="shared" si="8"/>
        <v>0</v>
      </c>
      <c r="K33" s="16">
        <f t="shared" si="6"/>
        <v>0</v>
      </c>
    </row>
    <row r="34" spans="1:11" x14ac:dyDescent="0.15">
      <c r="A34" s="7">
        <v>39235.493379629632</v>
      </c>
      <c r="B34">
        <v>39.6</v>
      </c>
      <c r="C34" s="6">
        <f t="shared" si="0"/>
        <v>28.000000258907676</v>
      </c>
      <c r="D34" t="str">
        <f t="shared" si="1"/>
        <v/>
      </c>
      <c r="E34" t="str">
        <f t="shared" si="3"/>
        <v xml:space="preserve"> </v>
      </c>
      <c r="F34" s="4">
        <f t="shared" si="2"/>
        <v>0</v>
      </c>
      <c r="G34" s="4">
        <f t="shared" si="4"/>
        <v>0</v>
      </c>
      <c r="H34" s="5">
        <f t="shared" si="5"/>
        <v>0</v>
      </c>
      <c r="I34" s="14">
        <f t="shared" si="7"/>
        <v>0</v>
      </c>
      <c r="J34" s="19">
        <f t="shared" si="8"/>
        <v>0</v>
      </c>
      <c r="K34" s="16">
        <f t="shared" si="6"/>
        <v>0</v>
      </c>
    </row>
    <row r="35" spans="1:11" x14ac:dyDescent="0.15">
      <c r="A35" s="7">
        <v>39235.493402777778</v>
      </c>
      <c r="B35">
        <v>39.4</v>
      </c>
      <c r="C35" s="6">
        <f t="shared" si="0"/>
        <v>30.00000009778887</v>
      </c>
      <c r="D35" t="str">
        <f t="shared" si="1"/>
        <v/>
      </c>
      <c r="E35" t="str">
        <f t="shared" si="3"/>
        <v xml:space="preserve"> </v>
      </c>
      <c r="F35" s="4">
        <f t="shared" si="2"/>
        <v>0</v>
      </c>
      <c r="G35" s="4">
        <f t="shared" si="4"/>
        <v>0</v>
      </c>
      <c r="H35" s="5">
        <f t="shared" si="5"/>
        <v>0</v>
      </c>
      <c r="I35" s="14">
        <f t="shared" si="7"/>
        <v>0</v>
      </c>
      <c r="J35" s="19">
        <f t="shared" si="8"/>
        <v>0</v>
      </c>
      <c r="K35" s="16">
        <f t="shared" si="6"/>
        <v>0</v>
      </c>
    </row>
    <row r="36" spans="1:11" x14ac:dyDescent="0.15">
      <c r="A36" s="7">
        <v>39235.493425925924</v>
      </c>
      <c r="B36">
        <v>39.6</v>
      </c>
      <c r="C36" s="6">
        <f t="shared" si="0"/>
        <v>31.999999936670065</v>
      </c>
      <c r="D36" t="str">
        <f t="shared" si="1"/>
        <v/>
      </c>
      <c r="E36" t="str">
        <f t="shared" si="3"/>
        <v xml:space="preserve"> </v>
      </c>
      <c r="F36" s="4">
        <f t="shared" si="2"/>
        <v>0</v>
      </c>
      <c r="G36" s="4">
        <f t="shared" si="4"/>
        <v>0</v>
      </c>
      <c r="H36" s="5">
        <f t="shared" si="5"/>
        <v>0</v>
      </c>
      <c r="I36" s="14">
        <f t="shared" si="7"/>
        <v>0</v>
      </c>
      <c r="J36" s="19">
        <f t="shared" si="8"/>
        <v>0</v>
      </c>
      <c r="K36" s="16">
        <f t="shared" si="6"/>
        <v>0</v>
      </c>
    </row>
    <row r="37" spans="1:11" x14ac:dyDescent="0.15">
      <c r="A37" s="7">
        <v>39235.493449074071</v>
      </c>
      <c r="B37">
        <v>39.6</v>
      </c>
      <c r="C37" s="6">
        <f t="shared" si="0"/>
        <v>33.99999977555126</v>
      </c>
      <c r="D37" t="str">
        <f t="shared" si="1"/>
        <v/>
      </c>
      <c r="E37" t="str">
        <f t="shared" si="3"/>
        <v xml:space="preserve"> </v>
      </c>
      <c r="F37" s="4">
        <f t="shared" si="2"/>
        <v>0</v>
      </c>
      <c r="G37" s="4">
        <f t="shared" si="4"/>
        <v>0</v>
      </c>
      <c r="H37" s="5">
        <f t="shared" si="5"/>
        <v>0</v>
      </c>
      <c r="I37" s="14">
        <f t="shared" si="7"/>
        <v>0</v>
      </c>
      <c r="J37" s="19">
        <f t="shared" si="8"/>
        <v>0</v>
      </c>
      <c r="K37" s="16">
        <f t="shared" si="6"/>
        <v>0</v>
      </c>
    </row>
    <row r="38" spans="1:11" x14ac:dyDescent="0.15">
      <c r="A38" s="7">
        <v>39235.493472222224</v>
      </c>
      <c r="B38">
        <v>39.6</v>
      </c>
      <c r="C38" s="6">
        <f t="shared" si="0"/>
        <v>36.000000243075192</v>
      </c>
      <c r="D38" t="str">
        <f t="shared" si="1"/>
        <v/>
      </c>
      <c r="E38" t="str">
        <f t="shared" si="3"/>
        <v xml:space="preserve"> </v>
      </c>
      <c r="F38" s="4">
        <f t="shared" si="2"/>
        <v>0</v>
      </c>
      <c r="G38" s="4">
        <f t="shared" si="4"/>
        <v>0</v>
      </c>
      <c r="H38" s="5">
        <f t="shared" si="5"/>
        <v>0</v>
      </c>
      <c r="I38" s="14">
        <f t="shared" si="7"/>
        <v>0</v>
      </c>
      <c r="J38" s="19">
        <f t="shared" si="8"/>
        <v>0</v>
      </c>
      <c r="K38" s="16">
        <f t="shared" si="6"/>
        <v>0</v>
      </c>
    </row>
    <row r="39" spans="1:11" x14ac:dyDescent="0.15">
      <c r="A39" s="7">
        <v>39235.493495370371</v>
      </c>
      <c r="B39">
        <v>39.6</v>
      </c>
      <c r="C39" s="6">
        <f t="shared" si="0"/>
        <v>38.000000081956387</v>
      </c>
      <c r="D39" t="str">
        <f t="shared" si="1"/>
        <v/>
      </c>
      <c r="E39" t="str">
        <f t="shared" si="3"/>
        <v xml:space="preserve"> </v>
      </c>
      <c r="F39" s="4">
        <f t="shared" si="2"/>
        <v>0</v>
      </c>
      <c r="G39" s="4">
        <f t="shared" si="4"/>
        <v>0</v>
      </c>
      <c r="H39" s="5">
        <f t="shared" si="5"/>
        <v>0</v>
      </c>
      <c r="I39" s="14">
        <f t="shared" si="7"/>
        <v>0</v>
      </c>
      <c r="J39" s="19">
        <f t="shared" si="8"/>
        <v>0</v>
      </c>
      <c r="K39" s="16">
        <f t="shared" si="6"/>
        <v>0</v>
      </c>
    </row>
    <row r="40" spans="1:11" x14ac:dyDescent="0.15">
      <c r="A40" s="7">
        <v>39235.493518518517</v>
      </c>
      <c r="B40">
        <v>39.4</v>
      </c>
      <c r="C40" s="6">
        <f t="shared" si="0"/>
        <v>39.999999920837581</v>
      </c>
      <c r="D40" t="str">
        <f t="shared" si="1"/>
        <v/>
      </c>
      <c r="E40" t="str">
        <f t="shared" si="3"/>
        <v xml:space="preserve"> </v>
      </c>
      <c r="F40" s="4">
        <f t="shared" si="2"/>
        <v>0</v>
      </c>
      <c r="G40" s="4">
        <f t="shared" si="4"/>
        <v>0</v>
      </c>
      <c r="H40" s="5">
        <f t="shared" si="5"/>
        <v>0</v>
      </c>
      <c r="I40" s="14">
        <f t="shared" si="7"/>
        <v>0</v>
      </c>
      <c r="J40" s="19">
        <f t="shared" si="8"/>
        <v>0</v>
      </c>
      <c r="K40" s="16">
        <f t="shared" si="6"/>
        <v>0</v>
      </c>
    </row>
    <row r="41" spans="1:11" x14ac:dyDescent="0.15">
      <c r="A41" s="7">
        <v>39235.493541666663</v>
      </c>
      <c r="B41">
        <v>39.6</v>
      </c>
      <c r="C41" s="6">
        <f t="shared" si="0"/>
        <v>41.999999759718776</v>
      </c>
      <c r="D41" t="str">
        <f t="shared" si="1"/>
        <v/>
      </c>
      <c r="E41" t="str">
        <f t="shared" si="3"/>
        <v xml:space="preserve"> </v>
      </c>
      <c r="F41" s="4">
        <f t="shared" si="2"/>
        <v>0</v>
      </c>
      <c r="G41" s="4">
        <f t="shared" si="4"/>
        <v>0</v>
      </c>
      <c r="H41" s="5">
        <f t="shared" si="5"/>
        <v>0</v>
      </c>
      <c r="I41" s="14">
        <f t="shared" si="7"/>
        <v>0</v>
      </c>
      <c r="J41" s="19">
        <f t="shared" si="8"/>
        <v>0</v>
      </c>
      <c r="K41" s="16">
        <f t="shared" si="6"/>
        <v>0</v>
      </c>
    </row>
    <row r="42" spans="1:11" x14ac:dyDescent="0.15">
      <c r="A42" s="7">
        <v>39235.493564814817</v>
      </c>
      <c r="B42">
        <v>39.4</v>
      </c>
      <c r="C42" s="6">
        <f t="shared" si="0"/>
        <v>44.000000227242708</v>
      </c>
      <c r="D42" t="str">
        <f t="shared" si="1"/>
        <v/>
      </c>
      <c r="E42" t="str">
        <f t="shared" si="3"/>
        <v xml:space="preserve"> </v>
      </c>
      <c r="F42" s="4">
        <f t="shared" si="2"/>
        <v>0</v>
      </c>
      <c r="G42" s="4">
        <f t="shared" si="4"/>
        <v>0</v>
      </c>
      <c r="H42" s="5">
        <f t="shared" si="5"/>
        <v>0</v>
      </c>
      <c r="I42" s="14">
        <f t="shared" si="7"/>
        <v>0</v>
      </c>
      <c r="J42" s="19">
        <f t="shared" si="8"/>
        <v>0</v>
      </c>
      <c r="K42" s="16">
        <f t="shared" si="6"/>
        <v>0</v>
      </c>
    </row>
    <row r="43" spans="1:11" x14ac:dyDescent="0.15">
      <c r="A43" s="7">
        <v>39235.493587962963</v>
      </c>
      <c r="B43">
        <v>39.4</v>
      </c>
      <c r="C43" s="6">
        <f t="shared" si="0"/>
        <v>46.000000066123903</v>
      </c>
      <c r="D43" t="str">
        <f t="shared" si="1"/>
        <v/>
      </c>
      <c r="E43" t="str">
        <f t="shared" si="3"/>
        <v xml:space="preserve"> </v>
      </c>
      <c r="F43" s="4">
        <f t="shared" si="2"/>
        <v>0</v>
      </c>
      <c r="G43" s="4">
        <f t="shared" si="4"/>
        <v>0</v>
      </c>
      <c r="H43" s="5">
        <f t="shared" si="5"/>
        <v>0</v>
      </c>
      <c r="I43" s="14">
        <f t="shared" si="7"/>
        <v>0</v>
      </c>
      <c r="J43" s="19">
        <f t="shared" si="8"/>
        <v>0</v>
      </c>
      <c r="K43" s="16">
        <f t="shared" si="6"/>
        <v>0</v>
      </c>
    </row>
    <row r="44" spans="1:11" x14ac:dyDescent="0.15">
      <c r="A44" s="7">
        <v>39235.493611111109</v>
      </c>
      <c r="B44">
        <v>39.4</v>
      </c>
      <c r="C44" s="6">
        <f t="shared" si="0"/>
        <v>47.999999905005097</v>
      </c>
      <c r="D44" t="str">
        <f t="shared" si="1"/>
        <v/>
      </c>
      <c r="E44" t="str">
        <f t="shared" si="3"/>
        <v xml:space="preserve"> </v>
      </c>
      <c r="F44" s="4">
        <f t="shared" si="2"/>
        <v>0</v>
      </c>
      <c r="G44" s="4">
        <f t="shared" si="4"/>
        <v>0</v>
      </c>
      <c r="H44" s="5">
        <f t="shared" si="5"/>
        <v>0</v>
      </c>
      <c r="I44" s="14">
        <f t="shared" si="7"/>
        <v>0</v>
      </c>
      <c r="J44" s="19">
        <f t="shared" si="8"/>
        <v>0</v>
      </c>
      <c r="K44" s="16">
        <f t="shared" si="6"/>
        <v>0</v>
      </c>
    </row>
    <row r="45" spans="1:11" x14ac:dyDescent="0.15">
      <c r="A45" s="7">
        <v>39235.493634259263</v>
      </c>
      <c r="B45">
        <v>39.6</v>
      </c>
      <c r="C45" s="6">
        <f t="shared" si="0"/>
        <v>50.00000037252903</v>
      </c>
      <c r="D45" t="str">
        <f t="shared" si="1"/>
        <v/>
      </c>
      <c r="E45" t="str">
        <f t="shared" si="3"/>
        <v xml:space="preserve"> </v>
      </c>
      <c r="F45" s="4">
        <f t="shared" si="2"/>
        <v>0</v>
      </c>
      <c r="G45" s="4">
        <f t="shared" si="4"/>
        <v>0</v>
      </c>
      <c r="H45" s="5">
        <f t="shared" si="5"/>
        <v>0</v>
      </c>
      <c r="I45" s="14">
        <f t="shared" si="7"/>
        <v>0</v>
      </c>
      <c r="J45" s="19">
        <f t="shared" si="8"/>
        <v>0</v>
      </c>
      <c r="K45" s="16">
        <f t="shared" si="6"/>
        <v>0</v>
      </c>
    </row>
    <row r="46" spans="1:11" x14ac:dyDescent="0.15">
      <c r="A46" s="7">
        <v>39235.493657407409</v>
      </c>
      <c r="B46">
        <v>39.6</v>
      </c>
      <c r="C46" s="6">
        <f t="shared" si="0"/>
        <v>52.000000211410224</v>
      </c>
      <c r="D46" t="str">
        <f t="shared" si="1"/>
        <v/>
      </c>
      <c r="E46" t="str">
        <f t="shared" si="3"/>
        <v xml:space="preserve"> </v>
      </c>
      <c r="F46" s="4">
        <f t="shared" si="2"/>
        <v>0</v>
      </c>
      <c r="G46" s="4">
        <f t="shared" si="4"/>
        <v>0</v>
      </c>
      <c r="H46" s="5">
        <f t="shared" si="5"/>
        <v>0</v>
      </c>
      <c r="I46" s="14">
        <f t="shared" si="7"/>
        <v>0</v>
      </c>
      <c r="J46" s="19">
        <f t="shared" si="8"/>
        <v>0</v>
      </c>
      <c r="K46" s="16">
        <f t="shared" si="6"/>
        <v>0</v>
      </c>
    </row>
    <row r="47" spans="1:11" x14ac:dyDescent="0.15">
      <c r="A47" s="7">
        <v>39235.493680555555</v>
      </c>
      <c r="B47">
        <v>39.6</v>
      </c>
      <c r="C47" s="6">
        <f t="shared" si="0"/>
        <v>54.000000050291419</v>
      </c>
      <c r="D47" t="str">
        <f t="shared" si="1"/>
        <v/>
      </c>
      <c r="E47" t="str">
        <f t="shared" si="3"/>
        <v xml:space="preserve"> </v>
      </c>
      <c r="F47" s="4">
        <f t="shared" si="2"/>
        <v>0</v>
      </c>
      <c r="G47" s="4">
        <f t="shared" si="4"/>
        <v>0</v>
      </c>
      <c r="H47" s="5">
        <f t="shared" si="5"/>
        <v>0</v>
      </c>
      <c r="I47" s="14">
        <f t="shared" si="7"/>
        <v>0</v>
      </c>
      <c r="J47" s="19">
        <f t="shared" si="8"/>
        <v>0</v>
      </c>
      <c r="K47" s="16">
        <f t="shared" si="6"/>
        <v>0</v>
      </c>
    </row>
    <row r="48" spans="1:11" x14ac:dyDescent="0.15">
      <c r="A48" s="7">
        <v>39235.493703703702</v>
      </c>
      <c r="B48">
        <v>39.299999999999997</v>
      </c>
      <c r="C48" s="6">
        <f t="shared" si="0"/>
        <v>55.999999889172614</v>
      </c>
      <c r="D48" t="str">
        <f t="shared" si="1"/>
        <v/>
      </c>
      <c r="E48" t="str">
        <f t="shared" si="3"/>
        <v xml:space="preserve"> </v>
      </c>
      <c r="F48" s="4">
        <f t="shared" si="2"/>
        <v>0</v>
      </c>
      <c r="G48" s="4">
        <f t="shared" si="4"/>
        <v>0</v>
      </c>
      <c r="H48" s="5">
        <f t="shared" si="5"/>
        <v>0</v>
      </c>
      <c r="I48" s="14">
        <f t="shared" si="7"/>
        <v>0</v>
      </c>
      <c r="J48" s="19">
        <f t="shared" si="8"/>
        <v>0</v>
      </c>
      <c r="K48" s="16">
        <f t="shared" si="6"/>
        <v>0</v>
      </c>
    </row>
    <row r="49" spans="1:11" x14ac:dyDescent="0.15">
      <c r="A49" s="7">
        <v>39235.493726851855</v>
      </c>
      <c r="B49">
        <v>39.6</v>
      </c>
      <c r="C49" s="6">
        <f t="shared" si="0"/>
        <v>58.000000356696546</v>
      </c>
      <c r="D49" t="str">
        <f t="shared" si="1"/>
        <v/>
      </c>
      <c r="E49" t="str">
        <f t="shared" si="3"/>
        <v xml:space="preserve"> </v>
      </c>
      <c r="F49" s="4">
        <f t="shared" si="2"/>
        <v>0</v>
      </c>
      <c r="G49" s="4">
        <f t="shared" si="4"/>
        <v>0</v>
      </c>
      <c r="H49" s="5">
        <f t="shared" si="5"/>
        <v>0</v>
      </c>
      <c r="I49" s="14">
        <f t="shared" si="7"/>
        <v>0</v>
      </c>
      <c r="J49" s="19">
        <f t="shared" si="8"/>
        <v>0</v>
      </c>
      <c r="K49" s="16">
        <f t="shared" si="6"/>
        <v>0</v>
      </c>
    </row>
    <row r="50" spans="1:11" x14ac:dyDescent="0.15">
      <c r="A50" s="7">
        <v>39235.493750000001</v>
      </c>
      <c r="B50">
        <v>39.4</v>
      </c>
      <c r="C50" s="6">
        <f t="shared" si="0"/>
        <v>60.000000195577741</v>
      </c>
      <c r="D50" t="str">
        <f t="shared" si="1"/>
        <v/>
      </c>
      <c r="E50" t="str">
        <f t="shared" si="3"/>
        <v xml:space="preserve"> </v>
      </c>
      <c r="F50" s="4">
        <f t="shared" si="2"/>
        <v>0</v>
      </c>
      <c r="G50" s="4">
        <f t="shared" si="4"/>
        <v>0</v>
      </c>
      <c r="H50" s="5">
        <f t="shared" si="5"/>
        <v>0</v>
      </c>
      <c r="I50" s="14">
        <f t="shared" si="7"/>
        <v>0</v>
      </c>
      <c r="J50" s="19">
        <f t="shared" si="8"/>
        <v>0</v>
      </c>
      <c r="K50" s="16">
        <f t="shared" si="6"/>
        <v>0</v>
      </c>
    </row>
    <row r="51" spans="1:11" x14ac:dyDescent="0.15">
      <c r="A51" s="7">
        <v>39235.493773148148</v>
      </c>
      <c r="B51">
        <v>39.6</v>
      </c>
      <c r="C51" s="6">
        <f t="shared" si="0"/>
        <v>62.000000034458935</v>
      </c>
      <c r="D51" t="str">
        <f t="shared" si="1"/>
        <v/>
      </c>
      <c r="E51" t="str">
        <f t="shared" si="3"/>
        <v xml:space="preserve"> </v>
      </c>
      <c r="F51" s="4">
        <f t="shared" si="2"/>
        <v>0</v>
      </c>
      <c r="G51" s="4">
        <f t="shared" si="4"/>
        <v>0</v>
      </c>
      <c r="H51" s="5">
        <f t="shared" si="5"/>
        <v>0</v>
      </c>
      <c r="I51" s="14">
        <f t="shared" si="7"/>
        <v>0</v>
      </c>
      <c r="J51" s="19">
        <f t="shared" si="8"/>
        <v>0</v>
      </c>
      <c r="K51" s="16">
        <f t="shared" si="6"/>
        <v>0</v>
      </c>
    </row>
    <row r="52" spans="1:11" x14ac:dyDescent="0.15">
      <c r="A52" s="7">
        <v>39235.493796296294</v>
      </c>
      <c r="B52">
        <v>39.6</v>
      </c>
      <c r="C52" s="6">
        <f t="shared" si="0"/>
        <v>63.99999987334013</v>
      </c>
      <c r="D52" t="str">
        <f t="shared" si="1"/>
        <v/>
      </c>
      <c r="E52" t="str">
        <f t="shared" si="3"/>
        <v xml:space="preserve"> </v>
      </c>
      <c r="F52" s="4">
        <f t="shared" si="2"/>
        <v>0</v>
      </c>
      <c r="G52" s="4">
        <f t="shared" si="4"/>
        <v>0</v>
      </c>
      <c r="H52" s="5">
        <f t="shared" si="5"/>
        <v>0</v>
      </c>
      <c r="I52" s="14">
        <f t="shared" si="7"/>
        <v>0</v>
      </c>
      <c r="J52" s="19">
        <f t="shared" si="8"/>
        <v>0</v>
      </c>
      <c r="K52" s="16">
        <f t="shared" si="6"/>
        <v>0</v>
      </c>
    </row>
    <row r="53" spans="1:11" x14ac:dyDescent="0.15">
      <c r="A53" s="7">
        <v>39235.493819444448</v>
      </c>
      <c r="B53">
        <v>39.6</v>
      </c>
      <c r="C53" s="6">
        <f t="shared" si="0"/>
        <v>66.000000340864062</v>
      </c>
      <c r="D53" t="str">
        <f t="shared" si="1"/>
        <v/>
      </c>
      <c r="E53" t="str">
        <f t="shared" si="3"/>
        <v xml:space="preserve"> </v>
      </c>
      <c r="F53" s="4">
        <f t="shared" si="2"/>
        <v>0</v>
      </c>
      <c r="G53" s="4">
        <f t="shared" si="4"/>
        <v>0</v>
      </c>
      <c r="H53" s="5">
        <f t="shared" si="5"/>
        <v>0</v>
      </c>
      <c r="I53" s="14">
        <f t="shared" si="7"/>
        <v>0</v>
      </c>
      <c r="J53" s="19">
        <f t="shared" si="8"/>
        <v>0</v>
      </c>
      <c r="K53" s="16">
        <f t="shared" si="6"/>
        <v>0</v>
      </c>
    </row>
    <row r="54" spans="1:11" x14ac:dyDescent="0.15">
      <c r="A54" s="7">
        <v>39235.493842592594</v>
      </c>
      <c r="B54">
        <v>39.6</v>
      </c>
      <c r="C54" s="6">
        <f t="shared" si="0"/>
        <v>68.000000179745257</v>
      </c>
      <c r="D54" t="str">
        <f t="shared" si="1"/>
        <v/>
      </c>
      <c r="E54" t="str">
        <f t="shared" si="3"/>
        <v xml:space="preserve"> </v>
      </c>
      <c r="F54" s="4">
        <f t="shared" si="2"/>
        <v>0</v>
      </c>
      <c r="G54" s="4">
        <f t="shared" si="4"/>
        <v>0</v>
      </c>
      <c r="H54" s="5">
        <f t="shared" si="5"/>
        <v>0</v>
      </c>
      <c r="I54" s="14">
        <f t="shared" si="7"/>
        <v>0</v>
      </c>
      <c r="J54" s="19">
        <f t="shared" si="8"/>
        <v>0</v>
      </c>
      <c r="K54" s="16">
        <f t="shared" si="6"/>
        <v>0</v>
      </c>
    </row>
    <row r="55" spans="1:11" x14ac:dyDescent="0.15">
      <c r="A55" s="7">
        <v>39235.49386574074</v>
      </c>
      <c r="B55">
        <v>39.9</v>
      </c>
      <c r="C55" s="6">
        <f t="shared" si="0"/>
        <v>70.000000018626451</v>
      </c>
      <c r="D55" t="str">
        <f t="shared" si="1"/>
        <v/>
      </c>
      <c r="E55">
        <f t="shared" si="3"/>
        <v>39235.49386574074</v>
      </c>
      <c r="F55" s="4">
        <f t="shared" si="2"/>
        <v>0.29999999999999716</v>
      </c>
      <c r="G55" s="4">
        <f t="shared" si="4"/>
        <v>0.14999999999999858</v>
      </c>
      <c r="H55" s="5">
        <f t="shared" si="5"/>
        <v>0.14999998791608818</v>
      </c>
      <c r="I55" s="14">
        <f t="shared" si="7"/>
        <v>27.850650839462812</v>
      </c>
      <c r="J55" s="19">
        <f t="shared" si="8"/>
        <v>27.850650839462812</v>
      </c>
      <c r="K55" s="16">
        <f t="shared" si="6"/>
        <v>2.7870159951428813E-5</v>
      </c>
    </row>
    <row r="56" spans="1:11" x14ac:dyDescent="0.15">
      <c r="A56" s="7">
        <v>39235.493888888886</v>
      </c>
      <c r="B56">
        <v>41.6</v>
      </c>
      <c r="C56" s="6">
        <f t="shared" si="0"/>
        <v>71.999999857507646</v>
      </c>
      <c r="D56" t="str">
        <f t="shared" si="1"/>
        <v/>
      </c>
      <c r="E56">
        <f t="shared" si="3"/>
        <v>39235.493888888886</v>
      </c>
      <c r="F56" s="4">
        <f t="shared" si="2"/>
        <v>2</v>
      </c>
      <c r="G56" s="4">
        <f t="shared" si="4"/>
        <v>1</v>
      </c>
      <c r="H56" s="5">
        <f t="shared" si="5"/>
        <v>1.1499999073566856</v>
      </c>
      <c r="I56" s="14">
        <f t="shared" si="7"/>
        <v>213.52165643588333</v>
      </c>
      <c r="J56" s="19">
        <f t="shared" si="8"/>
        <v>241.37230727534615</v>
      </c>
      <c r="K56" s="16">
        <f t="shared" si="6"/>
        <v>2.4154138624571815E-4</v>
      </c>
    </row>
    <row r="57" spans="1:11" x14ac:dyDescent="0.15">
      <c r="A57" s="7">
        <v>39235.49391203704</v>
      </c>
      <c r="B57">
        <v>42</v>
      </c>
      <c r="C57" s="6">
        <f t="shared" si="0"/>
        <v>74.000000325031579</v>
      </c>
      <c r="D57" t="str">
        <f t="shared" si="1"/>
        <v/>
      </c>
      <c r="E57">
        <f t="shared" si="3"/>
        <v>39235.49391203704</v>
      </c>
      <c r="F57" s="4">
        <f t="shared" si="2"/>
        <v>2.3999999999999986</v>
      </c>
      <c r="G57" s="4">
        <f t="shared" si="4"/>
        <v>1.1999999999999993</v>
      </c>
      <c r="H57" s="5">
        <f t="shared" si="5"/>
        <v>2.2000005142763248</v>
      </c>
      <c r="I57" s="14">
        <f t="shared" si="7"/>
        <v>408.47634070493751</v>
      </c>
      <c r="J57" s="19">
        <f t="shared" si="8"/>
        <v>649.84864798028366</v>
      </c>
      <c r="K57" s="16">
        <f t="shared" si="6"/>
        <v>6.5030386068276158E-4</v>
      </c>
    </row>
    <row r="58" spans="1:11" x14ac:dyDescent="0.15">
      <c r="A58" s="7">
        <v>39235.493935185186</v>
      </c>
      <c r="B58">
        <v>45</v>
      </c>
      <c r="C58" s="6">
        <f t="shared" si="0"/>
        <v>76.000000163912773</v>
      </c>
      <c r="D58" t="str">
        <f t="shared" si="1"/>
        <v/>
      </c>
      <c r="E58">
        <f t="shared" si="3"/>
        <v>39235.493935185186</v>
      </c>
      <c r="F58" s="4">
        <f t="shared" si="2"/>
        <v>5.3999999999999986</v>
      </c>
      <c r="G58" s="4">
        <f t="shared" si="4"/>
        <v>2.6999999999999993</v>
      </c>
      <c r="H58" s="5">
        <f t="shared" si="5"/>
        <v>3.8999996858183281</v>
      </c>
      <c r="I58" s="14">
        <f t="shared" si="7"/>
        <v>724.11692182603974</v>
      </c>
      <c r="J58" s="19">
        <f t="shared" si="8"/>
        <v>1373.9655698063234</v>
      </c>
      <c r="K58" s="16">
        <f t="shared" si="6"/>
        <v>1.3749280194199174E-3</v>
      </c>
    </row>
    <row r="59" spans="1:11" x14ac:dyDescent="0.15">
      <c r="A59" s="7">
        <v>39235.493958333333</v>
      </c>
      <c r="B59">
        <v>47.4</v>
      </c>
      <c r="C59" s="6">
        <f t="shared" si="0"/>
        <v>78.000000002793968</v>
      </c>
      <c r="D59" t="str">
        <f t="shared" si="1"/>
        <v/>
      </c>
      <c r="E59">
        <f t="shared" si="3"/>
        <v>39235.493958333333</v>
      </c>
      <c r="F59" s="4">
        <f t="shared" si="2"/>
        <v>7.7999999999999972</v>
      </c>
      <c r="G59" s="4">
        <f t="shared" si="4"/>
        <v>3.8999999999999986</v>
      </c>
      <c r="H59" s="5">
        <f t="shared" si="5"/>
        <v>6.5999994683079404</v>
      </c>
      <c r="I59" s="14">
        <f t="shared" si="7"/>
        <v>1225.4286369363751</v>
      </c>
      <c r="J59" s="19">
        <f t="shared" si="8"/>
        <v>2599.3942067426988</v>
      </c>
      <c r="K59" s="16">
        <f t="shared" si="6"/>
        <v>2.6012150572827966E-3</v>
      </c>
    </row>
    <row r="60" spans="1:11" x14ac:dyDescent="0.15">
      <c r="A60" s="7">
        <v>39235.493981481479</v>
      </c>
      <c r="B60">
        <v>51.7</v>
      </c>
      <c r="C60" s="6">
        <f t="shared" si="0"/>
        <v>79.999999841675162</v>
      </c>
      <c r="D60" t="str">
        <f t="shared" si="1"/>
        <v/>
      </c>
      <c r="E60">
        <f t="shared" si="3"/>
        <v>39235.493981481479</v>
      </c>
      <c r="F60" s="4">
        <f t="shared" si="2"/>
        <v>12.100000000000001</v>
      </c>
      <c r="G60" s="4">
        <f t="shared" si="4"/>
        <v>6.0500000000000007</v>
      </c>
      <c r="H60" s="5">
        <f t="shared" si="5"/>
        <v>9.9499991984339431</v>
      </c>
      <c r="I60" s="14">
        <f t="shared" si="7"/>
        <v>1847.426505684384</v>
      </c>
      <c r="J60" s="19">
        <f t="shared" si="8"/>
        <v>4446.820712427083</v>
      </c>
      <c r="K60" s="16">
        <f t="shared" si="6"/>
        <v>4.4499356673942591E-3</v>
      </c>
    </row>
    <row r="61" spans="1:11" x14ac:dyDescent="0.15">
      <c r="A61" s="7">
        <v>39235.494004629632</v>
      </c>
      <c r="B61">
        <v>59.4</v>
      </c>
      <c r="C61" s="6">
        <f t="shared" si="0"/>
        <v>82.000000309199095</v>
      </c>
      <c r="D61" t="str">
        <f t="shared" si="1"/>
        <v/>
      </c>
      <c r="E61">
        <f t="shared" si="3"/>
        <v>39235.494004629632</v>
      </c>
      <c r="F61" s="4">
        <f t="shared" si="2"/>
        <v>19.799999999999997</v>
      </c>
      <c r="G61" s="4">
        <f t="shared" si="4"/>
        <v>9.8999999999999986</v>
      </c>
      <c r="H61" s="5">
        <f t="shared" si="5"/>
        <v>15.950003728503361</v>
      </c>
      <c r="I61" s="14">
        <f t="shared" si="7"/>
        <v>2961.4534701107982</v>
      </c>
      <c r="J61" s="19">
        <f t="shared" si="8"/>
        <v>7408.2741825378816</v>
      </c>
      <c r="K61" s="16">
        <f t="shared" si="6"/>
        <v>7.4134636070628257E-3</v>
      </c>
    </row>
    <row r="62" spans="1:11" x14ac:dyDescent="0.15">
      <c r="A62" s="7">
        <v>39235.494027777779</v>
      </c>
      <c r="B62">
        <v>65.2</v>
      </c>
      <c r="C62" s="6">
        <f t="shared" si="0"/>
        <v>84.000000148080289</v>
      </c>
      <c r="D62" t="str">
        <f t="shared" si="1"/>
        <v/>
      </c>
      <c r="E62">
        <f t="shared" si="3"/>
        <v>39235.494027777779</v>
      </c>
      <c r="F62" s="4">
        <f t="shared" si="2"/>
        <v>25.6</v>
      </c>
      <c r="G62" s="4">
        <f t="shared" si="4"/>
        <v>12.8</v>
      </c>
      <c r="H62" s="5">
        <f t="shared" si="5"/>
        <v>22.699998171301559</v>
      </c>
      <c r="I62" s="14">
        <f t="shared" si="7"/>
        <v>4214.7318270387459</v>
      </c>
      <c r="J62" s="19">
        <f t="shared" si="8"/>
        <v>11623.006009576628</v>
      </c>
      <c r="K62" s="16">
        <f t="shared" si="6"/>
        <v>1.1631147813045759E-2</v>
      </c>
    </row>
    <row r="63" spans="1:11" x14ac:dyDescent="0.15">
      <c r="A63" s="7">
        <v>39235.494050925925</v>
      </c>
      <c r="B63">
        <v>68.900000000000006</v>
      </c>
      <c r="C63" s="6">
        <f t="shared" si="0"/>
        <v>85.999999986961484</v>
      </c>
      <c r="D63" t="str">
        <f t="shared" si="1"/>
        <v/>
      </c>
      <c r="E63">
        <f t="shared" si="3"/>
        <v>39235.494050925925</v>
      </c>
      <c r="F63" s="4">
        <f t="shared" si="2"/>
        <v>29.300000000000004</v>
      </c>
      <c r="G63" s="4">
        <f t="shared" si="4"/>
        <v>14.650000000000002</v>
      </c>
      <c r="H63" s="5">
        <f t="shared" si="5"/>
        <v>27.449997788644399</v>
      </c>
      <c r="I63" s="14">
        <f t="shared" si="7"/>
        <v>5096.6691036217435</v>
      </c>
      <c r="J63" s="19">
        <f t="shared" si="8"/>
        <v>16719.675113198369</v>
      </c>
      <c r="K63" s="16">
        <f t="shared" si="6"/>
        <v>1.6731387084157279E-2</v>
      </c>
    </row>
    <row r="64" spans="1:11" x14ac:dyDescent="0.15">
      <c r="A64" s="7">
        <v>39235.494074074071</v>
      </c>
      <c r="B64">
        <v>77.7</v>
      </c>
      <c r="C64" s="6">
        <f t="shared" si="0"/>
        <v>87.999999825842679</v>
      </c>
      <c r="D64" t="str">
        <f t="shared" si="1"/>
        <v/>
      </c>
      <c r="E64">
        <f t="shared" si="3"/>
        <v>39235.494074074071</v>
      </c>
      <c r="F64" s="4">
        <f t="shared" si="2"/>
        <v>38.1</v>
      </c>
      <c r="G64" s="4">
        <f t="shared" si="4"/>
        <v>19.05</v>
      </c>
      <c r="H64" s="5">
        <f t="shared" si="5"/>
        <v>33.699997285148129</v>
      </c>
      <c r="I64" s="14">
        <f t="shared" si="7"/>
        <v>6257.1128885993712</v>
      </c>
      <c r="J64" s="19">
        <f t="shared" si="8"/>
        <v>22976.78800179774</v>
      </c>
      <c r="K64" s="16">
        <f t="shared" si="6"/>
        <v>2.2992883019911679E-2</v>
      </c>
    </row>
    <row r="65" spans="1:11" x14ac:dyDescent="0.15">
      <c r="A65" s="7">
        <v>39235.494097222225</v>
      </c>
      <c r="B65">
        <v>81</v>
      </c>
      <c r="C65" s="6">
        <f t="shared" si="0"/>
        <v>90.000000293366611</v>
      </c>
      <c r="D65" t="str">
        <f t="shared" si="1"/>
        <v/>
      </c>
      <c r="E65">
        <f t="shared" si="3"/>
        <v>39235.494097222225</v>
      </c>
      <c r="F65" s="4">
        <f t="shared" si="2"/>
        <v>41.4</v>
      </c>
      <c r="G65" s="4">
        <f t="shared" si="4"/>
        <v>20.7</v>
      </c>
      <c r="H65" s="5">
        <f t="shared" si="5"/>
        <v>39.750009292038158</v>
      </c>
      <c r="I65" s="14">
        <f t="shared" si="7"/>
        <v>7380.424792282397</v>
      </c>
      <c r="J65" s="19">
        <f t="shared" si="8"/>
        <v>30357.212794080137</v>
      </c>
      <c r="K65" s="16">
        <f t="shared" si="6"/>
        <v>3.0378477728490078E-2</v>
      </c>
    </row>
    <row r="66" spans="1:11" x14ac:dyDescent="0.15">
      <c r="A66" s="7">
        <v>39235.494120370371</v>
      </c>
      <c r="B66">
        <v>92.5</v>
      </c>
      <c r="C66" s="6">
        <f t="shared" si="0"/>
        <v>92.000000132247806</v>
      </c>
      <c r="D66" t="str">
        <f t="shared" si="1"/>
        <v/>
      </c>
      <c r="E66">
        <f t="shared" si="3"/>
        <v>39235.494120370371</v>
      </c>
      <c r="F66" s="4">
        <f t="shared" si="2"/>
        <v>52.9</v>
      </c>
      <c r="G66" s="4">
        <f t="shared" si="4"/>
        <v>26.45</v>
      </c>
      <c r="H66" s="5">
        <f t="shared" si="5"/>
        <v>47.149996201624162</v>
      </c>
      <c r="I66" s="14">
        <f t="shared" si="7"/>
        <v>8754.3879138712273</v>
      </c>
      <c r="J66" s="19">
        <f t="shared" si="8"/>
        <v>39111.600707951366</v>
      </c>
      <c r="K66" s="16">
        <f t="shared" si="6"/>
        <v>3.9138998006555951E-2</v>
      </c>
    </row>
    <row r="67" spans="1:11" x14ac:dyDescent="0.15">
      <c r="A67" s="7">
        <v>39235.494143518517</v>
      </c>
      <c r="B67">
        <v>97.5</v>
      </c>
      <c r="C67" s="6">
        <f t="shared" si="0"/>
        <v>93.999999971129</v>
      </c>
      <c r="D67" t="str">
        <f t="shared" si="1"/>
        <v/>
      </c>
      <c r="E67">
        <f t="shared" si="3"/>
        <v>39235.494143518517</v>
      </c>
      <c r="F67" s="4">
        <f t="shared" si="2"/>
        <v>57.9</v>
      </c>
      <c r="G67" s="4">
        <f t="shared" si="4"/>
        <v>28.95</v>
      </c>
      <c r="H67" s="5">
        <f t="shared" si="5"/>
        <v>55.39999553700909</v>
      </c>
      <c r="I67" s="14">
        <f t="shared" si="7"/>
        <v>10286.173710041696</v>
      </c>
      <c r="J67" s="19">
        <f t="shared" si="8"/>
        <v>49397.77441799306</v>
      </c>
      <c r="K67" s="16">
        <f t="shared" si="6"/>
        <v>4.9432377081950425E-2</v>
      </c>
    </row>
    <row r="68" spans="1:11" x14ac:dyDescent="0.15">
      <c r="A68" s="7">
        <v>39235.494166666664</v>
      </c>
      <c r="B68">
        <v>108.2</v>
      </c>
      <c r="C68" s="6">
        <f t="shared" si="0"/>
        <v>95.999999810010195</v>
      </c>
      <c r="D68" t="str">
        <f t="shared" si="1"/>
        <v/>
      </c>
      <c r="E68">
        <f t="shared" si="3"/>
        <v>39235.494166666664</v>
      </c>
      <c r="F68" s="4">
        <f t="shared" si="2"/>
        <v>68.599999999999994</v>
      </c>
      <c r="G68" s="4">
        <f t="shared" si="4"/>
        <v>34.299999999999997</v>
      </c>
      <c r="H68" s="5">
        <f t="shared" si="5"/>
        <v>63.249994904617779</v>
      </c>
      <c r="I68" s="14">
        <f t="shared" si="7"/>
        <v>11743.691103973597</v>
      </c>
      <c r="J68" s="19">
        <f t="shared" si="8"/>
        <v>61141.46552196666</v>
      </c>
      <c r="K68" s="16">
        <f t="shared" si="6"/>
        <v>6.1184294528136354E-2</v>
      </c>
    </row>
    <row r="69" spans="1:11" x14ac:dyDescent="0.15">
      <c r="A69" s="7">
        <v>39235.494189814817</v>
      </c>
      <c r="B69">
        <v>112.9</v>
      </c>
      <c r="C69" s="6">
        <f t="shared" si="0"/>
        <v>98.000000277534127</v>
      </c>
      <c r="D69" t="str">
        <f t="shared" si="1"/>
        <v/>
      </c>
      <c r="E69">
        <f t="shared" si="3"/>
        <v>39235.494189814817</v>
      </c>
      <c r="F69" s="4">
        <f t="shared" si="2"/>
        <v>73.300000000000011</v>
      </c>
      <c r="G69" s="4">
        <f t="shared" si="4"/>
        <v>36.650000000000006</v>
      </c>
      <c r="H69" s="5">
        <f t="shared" si="5"/>
        <v>70.950016585411504</v>
      </c>
      <c r="I69" s="14">
        <f t="shared" si="7"/>
        <v>13173.361987734241</v>
      </c>
      <c r="J69" s="19">
        <f t="shared" si="8"/>
        <v>74314.827509700903</v>
      </c>
      <c r="K69" s="16">
        <f t="shared" si="6"/>
        <v>7.4366884328731009E-2</v>
      </c>
    </row>
    <row r="70" spans="1:11" x14ac:dyDescent="0.15">
      <c r="A70" s="7">
        <v>39235.494212962964</v>
      </c>
      <c r="B70">
        <v>121.7</v>
      </c>
      <c r="C70" s="6">
        <f t="shared" si="0"/>
        <v>100.00000011641532</v>
      </c>
      <c r="D70" t="str">
        <f t="shared" si="1"/>
        <v/>
      </c>
      <c r="E70">
        <f t="shared" si="3"/>
        <v>39235.494212962964</v>
      </c>
      <c r="F70" s="4">
        <f t="shared" si="2"/>
        <v>82.1</v>
      </c>
      <c r="G70" s="4">
        <f t="shared" si="4"/>
        <v>41.05</v>
      </c>
      <c r="H70" s="5">
        <f t="shared" si="5"/>
        <v>77.69999374053441</v>
      </c>
      <c r="I70" s="14">
        <f t="shared" si="7"/>
        <v>14426.637134841874</v>
      </c>
      <c r="J70" s="19">
        <f t="shared" si="8"/>
        <v>88741.464644542779</v>
      </c>
      <c r="K70" s="16">
        <f t="shared" si="6"/>
        <v>8.8803627183571279E-2</v>
      </c>
    </row>
    <row r="71" spans="1:11" x14ac:dyDescent="0.15">
      <c r="A71" s="7">
        <v>39235.49423611111</v>
      </c>
      <c r="B71">
        <v>130.4</v>
      </c>
      <c r="C71" s="6">
        <f t="shared" si="0"/>
        <v>101.99999995529652</v>
      </c>
      <c r="D71" t="str">
        <f t="shared" si="1"/>
        <v/>
      </c>
      <c r="E71">
        <f t="shared" si="3"/>
        <v>39235.49423611111</v>
      </c>
      <c r="F71" s="4">
        <f t="shared" si="2"/>
        <v>90.800000000000011</v>
      </c>
      <c r="G71" s="4">
        <f t="shared" si="4"/>
        <v>45.400000000000006</v>
      </c>
      <c r="H71" s="5">
        <f t="shared" si="5"/>
        <v>86.449993035639636</v>
      </c>
      <c r="I71" s="14">
        <f t="shared" si="7"/>
        <v>16051.258433810553</v>
      </c>
      <c r="J71" s="19">
        <f t="shared" si="8"/>
        <v>104792.72307835333</v>
      </c>
      <c r="K71" s="16">
        <f t="shared" si="6"/>
        <v>0.10486612936891157</v>
      </c>
    </row>
    <row r="72" spans="1:11" x14ac:dyDescent="0.15">
      <c r="A72" s="7">
        <v>39235.494259259256</v>
      </c>
      <c r="B72">
        <v>134.5</v>
      </c>
      <c r="C72" s="6">
        <f t="shared" si="0"/>
        <v>103.99999979417771</v>
      </c>
      <c r="D72" t="str">
        <f t="shared" si="1"/>
        <v/>
      </c>
      <c r="E72">
        <f t="shared" si="3"/>
        <v>39235.494259259256</v>
      </c>
      <c r="F72" s="4">
        <f t="shared" si="2"/>
        <v>94.9</v>
      </c>
      <c r="G72" s="4">
        <f t="shared" si="4"/>
        <v>47.45</v>
      </c>
      <c r="H72" s="5">
        <f t="shared" si="5"/>
        <v>92.849992520059473</v>
      </c>
      <c r="I72" s="14">
        <f t="shared" si="7"/>
        <v>17239.552869627649</v>
      </c>
      <c r="J72" s="19">
        <f t="shared" si="8"/>
        <v>122032.27594798098</v>
      </c>
      <c r="K72" s="16">
        <f t="shared" si="6"/>
        <v>0.12211775837884617</v>
      </c>
    </row>
    <row r="73" spans="1:11" x14ac:dyDescent="0.15">
      <c r="A73" s="7">
        <v>39235.49428240741</v>
      </c>
      <c r="B73">
        <v>141.19999999999999</v>
      </c>
      <c r="C73" s="6">
        <f t="shared" si="0"/>
        <v>106.00000026170164</v>
      </c>
      <c r="D73" t="str">
        <f t="shared" si="1"/>
        <v/>
      </c>
      <c r="E73">
        <f t="shared" si="3"/>
        <v>39235.49428240741</v>
      </c>
      <c r="F73" s="4">
        <f t="shared" si="2"/>
        <v>101.6</v>
      </c>
      <c r="G73" s="4">
        <f t="shared" si="4"/>
        <v>50.8</v>
      </c>
      <c r="H73" s="5">
        <f t="shared" si="5"/>
        <v>98.250022967113182</v>
      </c>
      <c r="I73" s="14">
        <f t="shared" si="7"/>
        <v>18242.182033754605</v>
      </c>
      <c r="J73" s="19">
        <f t="shared" si="8"/>
        <v>140274.45798173558</v>
      </c>
      <c r="K73" s="16">
        <f t="shared" si="6"/>
        <v>0.14037271888495506</v>
      </c>
    </row>
    <row r="74" spans="1:11" x14ac:dyDescent="0.15">
      <c r="A74" s="7">
        <v>39235.494305555556</v>
      </c>
      <c r="B74">
        <v>143.6</v>
      </c>
      <c r="C74" s="6">
        <f t="shared" si="0"/>
        <v>108.00000010058284</v>
      </c>
      <c r="D74" t="str">
        <f t="shared" si="1"/>
        <v/>
      </c>
      <c r="E74">
        <f t="shared" si="3"/>
        <v>39235.494305555556</v>
      </c>
      <c r="F74" s="4">
        <f t="shared" si="2"/>
        <v>104</v>
      </c>
      <c r="G74" s="4">
        <f t="shared" si="4"/>
        <v>52</v>
      </c>
      <c r="H74" s="5">
        <f t="shared" si="5"/>
        <v>102.7999917184934</v>
      </c>
      <c r="I74" s="14">
        <f t="shared" si="7"/>
        <v>19086.979375312028</v>
      </c>
      <c r="J74" s="19">
        <f t="shared" si="8"/>
        <v>159361.4373570476</v>
      </c>
      <c r="K74" s="16">
        <f t="shared" si="6"/>
        <v>0.15947306850500109</v>
      </c>
    </row>
    <row r="75" spans="1:11" x14ac:dyDescent="0.15">
      <c r="A75" s="7">
        <v>39235.494328703702</v>
      </c>
      <c r="B75">
        <v>149.30000000000001</v>
      </c>
      <c r="C75" s="6">
        <f t="shared" si="0"/>
        <v>109.99999993946403</v>
      </c>
      <c r="D75" t="str">
        <f t="shared" si="1"/>
        <v/>
      </c>
      <c r="E75">
        <f t="shared" si="3"/>
        <v>39235.494328703702</v>
      </c>
      <c r="F75" s="4">
        <f t="shared" si="2"/>
        <v>109.70000000000002</v>
      </c>
      <c r="G75" s="4">
        <f t="shared" si="4"/>
        <v>54.850000000000009</v>
      </c>
      <c r="H75" s="5">
        <f t="shared" si="5"/>
        <v>106.84999139222784</v>
      </c>
      <c r="I75" s="14">
        <f t="shared" si="7"/>
        <v>19838.946947977533</v>
      </c>
      <c r="J75" s="19">
        <f t="shared" si="8"/>
        <v>179200.38430502513</v>
      </c>
      <c r="K75" s="16">
        <f t="shared" si="6"/>
        <v>0.17932591244373575</v>
      </c>
    </row>
    <row r="76" spans="1:11" x14ac:dyDescent="0.15">
      <c r="A76" s="7">
        <v>39235.494351851848</v>
      </c>
      <c r="B76">
        <v>151.6</v>
      </c>
      <c r="C76" s="6">
        <f t="shared" si="0"/>
        <v>111.99999977834523</v>
      </c>
      <c r="D76" t="str">
        <f t="shared" si="1"/>
        <v/>
      </c>
      <c r="E76">
        <f t="shared" si="3"/>
        <v>39235.494351851848</v>
      </c>
      <c r="F76" s="4">
        <f t="shared" si="2"/>
        <v>112</v>
      </c>
      <c r="G76" s="4">
        <f t="shared" si="4"/>
        <v>56</v>
      </c>
      <c r="H76" s="5">
        <f t="shared" si="5"/>
        <v>110.84999106999022</v>
      </c>
      <c r="I76" s="14">
        <f t="shared" si="7"/>
        <v>20581.630970363218</v>
      </c>
      <c r="J76" s="19">
        <f t="shared" si="8"/>
        <v>199782.01527538834</v>
      </c>
      <c r="K76" s="16">
        <f t="shared" si="6"/>
        <v>0.19992196064784185</v>
      </c>
    </row>
    <row r="77" spans="1:11" x14ac:dyDescent="0.15">
      <c r="A77" s="7">
        <v>39235.494375000002</v>
      </c>
      <c r="B77">
        <v>153.19999999999999</v>
      </c>
      <c r="C77" s="6">
        <f t="shared" si="0"/>
        <v>114.00000024586916</v>
      </c>
      <c r="D77" t="str">
        <f t="shared" si="1"/>
        <v/>
      </c>
      <c r="E77">
        <f t="shared" si="3"/>
        <v>39235.494375000002</v>
      </c>
      <c r="F77" s="4">
        <f t="shared" si="2"/>
        <v>113.6</v>
      </c>
      <c r="G77" s="4">
        <f t="shared" si="4"/>
        <v>56.8</v>
      </c>
      <c r="H77" s="5">
        <f t="shared" si="5"/>
        <v>112.80002636834979</v>
      </c>
      <c r="I77" s="14">
        <f t="shared" si="7"/>
        <v>20943.696014325895</v>
      </c>
      <c r="J77" s="19">
        <f t="shared" si="8"/>
        <v>220725.71128971424</v>
      </c>
      <c r="K77" s="16">
        <f t="shared" si="6"/>
        <v>0.22088032751897752</v>
      </c>
    </row>
    <row r="78" spans="1:11" x14ac:dyDescent="0.15">
      <c r="A78" s="7">
        <v>39235.494398148148</v>
      </c>
      <c r="B78">
        <v>157.19999999999999</v>
      </c>
      <c r="C78" s="6">
        <f t="shared" si="0"/>
        <v>116.00000008475035</v>
      </c>
      <c r="D78" t="str">
        <f t="shared" si="1"/>
        <v/>
      </c>
      <c r="E78">
        <f t="shared" si="3"/>
        <v>39235.494398148148</v>
      </c>
      <c r="F78" s="4">
        <f t="shared" si="2"/>
        <v>117.6</v>
      </c>
      <c r="G78" s="4">
        <f t="shared" si="4"/>
        <v>58.8</v>
      </c>
      <c r="H78" s="5">
        <f t="shared" si="5"/>
        <v>115.59999068733305</v>
      </c>
      <c r="I78" s="14">
        <f t="shared" si="7"/>
        <v>21463.568246946212</v>
      </c>
      <c r="J78" s="19">
        <f t="shared" si="8"/>
        <v>242189.27953666044</v>
      </c>
      <c r="K78" s="16">
        <f t="shared" si="6"/>
        <v>0.24235893078821219</v>
      </c>
    </row>
    <row r="79" spans="1:11" x14ac:dyDescent="0.15">
      <c r="A79" s="7">
        <v>39235.494421296295</v>
      </c>
      <c r="B79">
        <v>156.1</v>
      </c>
      <c r="C79" s="6">
        <f t="shared" si="0"/>
        <v>117.99999992363155</v>
      </c>
      <c r="D79" t="str">
        <f t="shared" si="1"/>
        <v/>
      </c>
      <c r="E79">
        <f t="shared" si="3"/>
        <v>39235.494421296295</v>
      </c>
      <c r="F79" s="4">
        <f t="shared" si="2"/>
        <v>116.5</v>
      </c>
      <c r="G79" s="4">
        <f t="shared" si="4"/>
        <v>58.25</v>
      </c>
      <c r="H79" s="5">
        <f t="shared" si="5"/>
        <v>117.04999057052191</v>
      </c>
      <c r="I79" s="14">
        <f t="shared" si="7"/>
        <v>21732.791205061021</v>
      </c>
      <c r="J79" s="19">
        <f t="shared" si="8"/>
        <v>263922.07074172149</v>
      </c>
      <c r="K79" s="16">
        <f t="shared" si="6"/>
        <v>0.26410694560364406</v>
      </c>
    </row>
    <row r="80" spans="1:11" x14ac:dyDescent="0.15">
      <c r="A80" s="7">
        <v>39235.494444444441</v>
      </c>
      <c r="B80">
        <v>157.6</v>
      </c>
      <c r="C80" s="6">
        <f t="shared" si="0"/>
        <v>119.99999976251274</v>
      </c>
      <c r="D80">
        <f t="shared" si="1"/>
        <v>39235.494444444441</v>
      </c>
      <c r="E80">
        <f t="shared" si="3"/>
        <v>39235.494444444441</v>
      </c>
      <c r="F80" s="4">
        <f t="shared" si="2"/>
        <v>118</v>
      </c>
      <c r="G80" s="4">
        <f t="shared" si="4"/>
        <v>59</v>
      </c>
      <c r="H80" s="5">
        <f t="shared" si="5"/>
        <v>117.24999055441003</v>
      </c>
      <c r="I80" s="14">
        <f t="shared" si="7"/>
        <v>21769.925406180304</v>
      </c>
      <c r="J80" s="19">
        <f t="shared" si="8"/>
        <v>285691.99614790181</v>
      </c>
      <c r="K80" s="16">
        <f t="shared" si="6"/>
        <v>0.28589212063234443</v>
      </c>
    </row>
    <row r="81" spans="1:11" x14ac:dyDescent="0.15">
      <c r="A81" s="7">
        <v>39235.494467592594</v>
      </c>
      <c r="B81">
        <v>155.9</v>
      </c>
      <c r="C81" s="6">
        <f t="shared" si="0"/>
        <v>122.00000023003668</v>
      </c>
      <c r="D81" t="str">
        <f t="shared" si="1"/>
        <v/>
      </c>
      <c r="E81">
        <f t="shared" si="3"/>
        <v>39235.494467592594</v>
      </c>
      <c r="F81" s="4">
        <f t="shared" si="2"/>
        <v>116.30000000000001</v>
      </c>
      <c r="G81" s="4">
        <f t="shared" si="4"/>
        <v>58.150000000000006</v>
      </c>
      <c r="H81" s="5">
        <f t="shared" si="5"/>
        <v>117.15002738521434</v>
      </c>
      <c r="I81" s="14">
        <f t="shared" si="7"/>
        <v>21751.365142537932</v>
      </c>
      <c r="J81" s="19">
        <f t="shared" si="8"/>
        <v>307443.36129043973</v>
      </c>
      <c r="K81" s="16">
        <f t="shared" si="6"/>
        <v>0.30765872239611702</v>
      </c>
    </row>
    <row r="82" spans="1:11" x14ac:dyDescent="0.15">
      <c r="A82" s="7">
        <v>39235.494490740741</v>
      </c>
      <c r="B82">
        <v>155.9</v>
      </c>
      <c r="C82" s="6">
        <f t="shared" si="0"/>
        <v>124.00000006891787</v>
      </c>
      <c r="D82" t="str">
        <f t="shared" si="1"/>
        <v/>
      </c>
      <c r="E82">
        <f t="shared" si="3"/>
        <v>39235.494490740741</v>
      </c>
      <c r="F82" s="4">
        <f t="shared" si="2"/>
        <v>116.30000000000001</v>
      </c>
      <c r="G82" s="4">
        <f t="shared" si="4"/>
        <v>58.150000000000006</v>
      </c>
      <c r="H82" s="5">
        <f t="shared" si="5"/>
        <v>116.29999063094148</v>
      </c>
      <c r="I82" s="14">
        <f t="shared" si="7"/>
        <v>21593.537950863709</v>
      </c>
      <c r="J82" s="19">
        <f t="shared" si="8"/>
        <v>329036.89924130344</v>
      </c>
      <c r="K82" s="16">
        <f t="shared" si="6"/>
        <v>0.32926738641179171</v>
      </c>
    </row>
    <row r="83" spans="1:11" x14ac:dyDescent="0.15">
      <c r="A83" s="7">
        <v>39235.494513888887</v>
      </c>
      <c r="B83">
        <v>155.5</v>
      </c>
      <c r="C83" s="6">
        <f t="shared" si="0"/>
        <v>125.99999990779907</v>
      </c>
      <c r="D83" t="str">
        <f t="shared" si="1"/>
        <v/>
      </c>
      <c r="E83">
        <f t="shared" si="3"/>
        <v>39235.494513888887</v>
      </c>
      <c r="F83" s="4">
        <f t="shared" si="2"/>
        <v>115.9</v>
      </c>
      <c r="G83" s="4">
        <f t="shared" si="4"/>
        <v>57.95</v>
      </c>
      <c r="H83" s="5">
        <f t="shared" si="5"/>
        <v>116.09999064705336</v>
      </c>
      <c r="I83" s="14">
        <f t="shared" si="7"/>
        <v>21556.403749744422</v>
      </c>
      <c r="J83" s="19">
        <f t="shared" si="8"/>
        <v>350593.30299104785</v>
      </c>
      <c r="K83" s="16">
        <f t="shared" si="6"/>
        <v>0.35083889021419778</v>
      </c>
    </row>
    <row r="84" spans="1:11" x14ac:dyDescent="0.15">
      <c r="A84" s="7">
        <v>39235.494537037041</v>
      </c>
      <c r="B84">
        <v>154.6</v>
      </c>
      <c r="C84" s="6">
        <f t="shared" ref="C84:C147" si="9">(A84-$B$4)*24*60*60</f>
        <v>128.000000375323</v>
      </c>
      <c r="D84" t="str">
        <f t="shared" ref="D84:D147" si="10">IF(F84=$B$8,A84,"")</f>
        <v/>
      </c>
      <c r="E84">
        <f t="shared" si="3"/>
        <v>39235.494537037041</v>
      </c>
      <c r="F84" s="4">
        <f t="shared" ref="F84:F147" si="11">IF((B84-$B$6)&gt;0,B84-$B$6,0)</f>
        <v>115</v>
      </c>
      <c r="G84" s="4">
        <f t="shared" si="4"/>
        <v>57.5</v>
      </c>
      <c r="H84" s="5">
        <f t="shared" si="5"/>
        <v>115.450026987819</v>
      </c>
      <c r="I84" s="14">
        <f t="shared" si="7"/>
        <v>21435.724333811391</v>
      </c>
      <c r="J84" s="19">
        <f t="shared" si="8"/>
        <v>372029.02732485923</v>
      </c>
      <c r="K84" s="16">
        <f t="shared" si="6"/>
        <v>0.37228963006590537</v>
      </c>
    </row>
    <row r="85" spans="1:11" x14ac:dyDescent="0.15">
      <c r="A85" s="7">
        <v>39235.494560185187</v>
      </c>
      <c r="B85">
        <v>153.9</v>
      </c>
      <c r="C85" s="6">
        <f t="shared" si="9"/>
        <v>130.00000021420419</v>
      </c>
      <c r="D85" t="str">
        <f t="shared" si="10"/>
        <v/>
      </c>
      <c r="E85">
        <f t="shared" ref="E85:E148" si="12">IF(B85-$B$6&gt;0,A85," ")</f>
        <v>39235.494560185187</v>
      </c>
      <c r="F85" s="4">
        <f t="shared" si="11"/>
        <v>114.30000000000001</v>
      </c>
      <c r="G85" s="4">
        <f t="shared" ref="G85:G148" si="13">F85/2</f>
        <v>57.150000000000006</v>
      </c>
      <c r="H85" s="5">
        <f t="shared" ref="H85:H148" si="14">AVERAGE(G84:G85)*(C85-C84)</f>
        <v>114.64999076386448</v>
      </c>
      <c r="I85" s="14">
        <f t="shared" si="7"/>
        <v>21287.180791629613</v>
      </c>
      <c r="J85" s="19">
        <f t="shared" si="8"/>
        <v>393316.20811648882</v>
      </c>
      <c r="K85" s="16">
        <f t="shared" ref="K85:K148" si="15">J85/($B$12*1000)</f>
        <v>0.39359172232211431</v>
      </c>
    </row>
    <row r="86" spans="1:11" x14ac:dyDescent="0.15">
      <c r="A86" s="7">
        <v>39235.494583333333</v>
      </c>
      <c r="B86">
        <v>151.80000000000001</v>
      </c>
      <c r="C86" s="6">
        <f t="shared" si="9"/>
        <v>132.00000005308539</v>
      </c>
      <c r="D86" t="str">
        <f t="shared" si="10"/>
        <v/>
      </c>
      <c r="E86">
        <f t="shared" si="12"/>
        <v>39235.494583333333</v>
      </c>
      <c r="F86" s="4">
        <f t="shared" si="11"/>
        <v>112.20000000000002</v>
      </c>
      <c r="G86" s="4">
        <f t="shared" si="13"/>
        <v>56.100000000000009</v>
      </c>
      <c r="H86" s="5">
        <f t="shared" si="14"/>
        <v>113.24999087664766</v>
      </c>
      <c r="I86" s="14">
        <f t="shared" ref="I86:I149" si="16">H86*$B$14</f>
        <v>21027.241383794626</v>
      </c>
      <c r="J86" s="19">
        <f t="shared" ref="J86:J149" si="17">J85+I86</f>
        <v>414343.44950028346</v>
      </c>
      <c r="K86" s="16">
        <f t="shared" si="15"/>
        <v>0.41463369308544329</v>
      </c>
    </row>
    <row r="87" spans="1:11" x14ac:dyDescent="0.15">
      <c r="A87" s="7">
        <v>39235.494606481479</v>
      </c>
      <c r="B87">
        <v>149.6</v>
      </c>
      <c r="C87" s="6">
        <f t="shared" si="9"/>
        <v>133.99999989196658</v>
      </c>
      <c r="D87" t="str">
        <f t="shared" si="10"/>
        <v/>
      </c>
      <c r="E87">
        <f t="shared" si="12"/>
        <v>39235.494606481479</v>
      </c>
      <c r="F87" s="4">
        <f t="shared" si="11"/>
        <v>110</v>
      </c>
      <c r="G87" s="4">
        <f t="shared" si="13"/>
        <v>55</v>
      </c>
      <c r="H87" s="5">
        <f t="shared" si="14"/>
        <v>111.09999104985037</v>
      </c>
      <c r="I87" s="14">
        <f t="shared" si="16"/>
        <v>20628.048721762323</v>
      </c>
      <c r="J87" s="19">
        <f t="shared" si="17"/>
        <v>434971.49822204578</v>
      </c>
      <c r="K87" s="16">
        <f t="shared" si="15"/>
        <v>0.43527619155613506</v>
      </c>
    </row>
    <row r="88" spans="1:11" x14ac:dyDescent="0.15">
      <c r="A88" s="7">
        <v>39235.494629629633</v>
      </c>
      <c r="B88">
        <v>146.9</v>
      </c>
      <c r="C88" s="6">
        <f t="shared" si="9"/>
        <v>136.00000035949051</v>
      </c>
      <c r="D88" t="str">
        <f t="shared" si="10"/>
        <v/>
      </c>
      <c r="E88">
        <f t="shared" si="12"/>
        <v>39235.494629629633</v>
      </c>
      <c r="F88" s="4">
        <f t="shared" si="11"/>
        <v>107.30000000000001</v>
      </c>
      <c r="G88" s="4">
        <f t="shared" si="13"/>
        <v>53.650000000000006</v>
      </c>
      <c r="H88" s="5">
        <f t="shared" si="14"/>
        <v>108.65002539823763</v>
      </c>
      <c r="I88" s="14">
        <f t="shared" si="16"/>
        <v>20173.161098905217</v>
      </c>
      <c r="J88" s="19">
        <f t="shared" si="17"/>
        <v>455144.65932095097</v>
      </c>
      <c r="K88" s="16">
        <f t="shared" si="15"/>
        <v>0.45546348375958268</v>
      </c>
    </row>
    <row r="89" spans="1:11" x14ac:dyDescent="0.15">
      <c r="A89" s="7">
        <v>39235.494652777779</v>
      </c>
      <c r="B89">
        <v>145</v>
      </c>
      <c r="C89" s="6">
        <f t="shared" si="9"/>
        <v>138.00000019837171</v>
      </c>
      <c r="D89" t="str">
        <f t="shared" si="10"/>
        <v/>
      </c>
      <c r="E89">
        <f t="shared" si="12"/>
        <v>39235.494652777779</v>
      </c>
      <c r="F89" s="4">
        <f t="shared" si="11"/>
        <v>105.4</v>
      </c>
      <c r="G89" s="4">
        <f t="shared" si="13"/>
        <v>52.7</v>
      </c>
      <c r="H89" s="5">
        <f t="shared" si="14"/>
        <v>106.34999143250754</v>
      </c>
      <c r="I89" s="14">
        <f t="shared" si="16"/>
        <v>19746.111445179326</v>
      </c>
      <c r="J89" s="19">
        <f t="shared" si="17"/>
        <v>474890.7707661303</v>
      </c>
      <c r="K89" s="16">
        <f t="shared" si="15"/>
        <v>0.47522342716514593</v>
      </c>
    </row>
    <row r="90" spans="1:11" x14ac:dyDescent="0.15">
      <c r="A90" s="7">
        <v>39235.494675925926</v>
      </c>
      <c r="B90">
        <v>140.30000000000001</v>
      </c>
      <c r="C90" s="6">
        <f t="shared" si="9"/>
        <v>140.0000000372529</v>
      </c>
      <c r="D90" t="str">
        <f t="shared" si="10"/>
        <v/>
      </c>
      <c r="E90">
        <f t="shared" si="12"/>
        <v>39235.494675925926</v>
      </c>
      <c r="F90" s="4">
        <f t="shared" si="11"/>
        <v>100.70000000000002</v>
      </c>
      <c r="G90" s="4">
        <f t="shared" si="13"/>
        <v>50.350000000000009</v>
      </c>
      <c r="H90" s="5">
        <f t="shared" si="14"/>
        <v>103.04999169835357</v>
      </c>
      <c r="I90" s="14">
        <f t="shared" si="16"/>
        <v>19133.397126711137</v>
      </c>
      <c r="J90" s="19">
        <f t="shared" si="17"/>
        <v>494024.16789284145</v>
      </c>
      <c r="K90" s="16">
        <f t="shared" si="15"/>
        <v>0.49437022705177769</v>
      </c>
    </row>
    <row r="91" spans="1:11" x14ac:dyDescent="0.15">
      <c r="A91" s="7">
        <v>39235.494699074072</v>
      </c>
      <c r="B91">
        <v>139.30000000000001</v>
      </c>
      <c r="C91" s="6">
        <f t="shared" si="9"/>
        <v>141.9999998761341</v>
      </c>
      <c r="D91" t="str">
        <f t="shared" si="10"/>
        <v/>
      </c>
      <c r="E91">
        <f t="shared" si="12"/>
        <v>39235.494699074072</v>
      </c>
      <c r="F91" s="4">
        <f t="shared" si="11"/>
        <v>99.700000000000017</v>
      </c>
      <c r="G91" s="4">
        <f t="shared" si="13"/>
        <v>49.850000000000009</v>
      </c>
      <c r="H91" s="5">
        <f t="shared" si="14"/>
        <v>100.19999192794786</v>
      </c>
      <c r="I91" s="14">
        <f t="shared" si="16"/>
        <v>18604.234760761337</v>
      </c>
      <c r="J91" s="19">
        <f t="shared" si="17"/>
        <v>512628.40265360277</v>
      </c>
      <c r="K91" s="16">
        <f t="shared" si="15"/>
        <v>0.51298749389933229</v>
      </c>
    </row>
    <row r="92" spans="1:11" x14ac:dyDescent="0.15">
      <c r="A92" s="7">
        <v>39235.494722222225</v>
      </c>
      <c r="B92">
        <v>137.4</v>
      </c>
      <c r="C92" s="6">
        <f t="shared" si="9"/>
        <v>144.00000034365803</v>
      </c>
      <c r="D92" t="str">
        <f t="shared" si="10"/>
        <v/>
      </c>
      <c r="E92">
        <f t="shared" si="12"/>
        <v>39235.494722222225</v>
      </c>
      <c r="F92" s="4">
        <f t="shared" si="11"/>
        <v>97.800000000000011</v>
      </c>
      <c r="G92" s="4">
        <f t="shared" si="13"/>
        <v>48.900000000000006</v>
      </c>
      <c r="H92" s="5">
        <f t="shared" si="14"/>
        <v>98.750023083994179</v>
      </c>
      <c r="I92" s="14">
        <f t="shared" si="16"/>
        <v>18335.017565733</v>
      </c>
      <c r="J92" s="19">
        <f t="shared" si="17"/>
        <v>530963.42021933582</v>
      </c>
      <c r="K92" s="16">
        <f t="shared" si="15"/>
        <v>0.53133535496781326</v>
      </c>
    </row>
    <row r="93" spans="1:11" x14ac:dyDescent="0.15">
      <c r="A93" s="7">
        <v>39235.494745370372</v>
      </c>
      <c r="B93">
        <v>133.5</v>
      </c>
      <c r="C93" s="6">
        <f t="shared" si="9"/>
        <v>146.00000018253922</v>
      </c>
      <c r="D93" t="str">
        <f t="shared" si="10"/>
        <v/>
      </c>
      <c r="E93">
        <f t="shared" si="12"/>
        <v>39235.494745370372</v>
      </c>
      <c r="F93" s="4">
        <f t="shared" si="11"/>
        <v>93.9</v>
      </c>
      <c r="G93" s="4">
        <f t="shared" si="13"/>
        <v>46.95</v>
      </c>
      <c r="H93" s="5">
        <f t="shared" si="14"/>
        <v>95.849992278381265</v>
      </c>
      <c r="I93" s="14">
        <f t="shared" si="16"/>
        <v>17796.565886416909</v>
      </c>
      <c r="J93" s="19">
        <f t="shared" si="17"/>
        <v>548759.98610575276</v>
      </c>
      <c r="K93" s="16">
        <f t="shared" si="15"/>
        <v>0.54914438717677649</v>
      </c>
    </row>
    <row r="94" spans="1:11" x14ac:dyDescent="0.15">
      <c r="A94" s="7">
        <v>39235.494768518518</v>
      </c>
      <c r="B94">
        <v>130.9</v>
      </c>
      <c r="C94" s="6">
        <f t="shared" si="9"/>
        <v>148.00000002142042</v>
      </c>
      <c r="D94" t="str">
        <f t="shared" si="10"/>
        <v/>
      </c>
      <c r="E94">
        <f t="shared" si="12"/>
        <v>39235.494768518518</v>
      </c>
      <c r="F94" s="4">
        <f t="shared" si="11"/>
        <v>91.300000000000011</v>
      </c>
      <c r="G94" s="4">
        <f t="shared" si="13"/>
        <v>45.650000000000006</v>
      </c>
      <c r="H94" s="5">
        <f t="shared" si="14"/>
        <v>92.599992540199324</v>
      </c>
      <c r="I94" s="14">
        <f t="shared" si="16"/>
        <v>17193.135118228543</v>
      </c>
      <c r="J94" s="19">
        <f t="shared" si="17"/>
        <v>565953.12122398126</v>
      </c>
      <c r="K94" s="16">
        <f t="shared" si="15"/>
        <v>0.56634956592012531</v>
      </c>
    </row>
    <row r="95" spans="1:11" x14ac:dyDescent="0.15">
      <c r="A95" s="7">
        <v>39235.494791666664</v>
      </c>
      <c r="B95">
        <v>128.5</v>
      </c>
      <c r="C95" s="6">
        <f t="shared" si="9"/>
        <v>149.99999986030161</v>
      </c>
      <c r="D95" t="str">
        <f t="shared" si="10"/>
        <v/>
      </c>
      <c r="E95">
        <f t="shared" si="12"/>
        <v>39235.494791666664</v>
      </c>
      <c r="F95" s="4">
        <f t="shared" si="11"/>
        <v>88.9</v>
      </c>
      <c r="G95" s="4">
        <f t="shared" si="13"/>
        <v>44.45</v>
      </c>
      <c r="H95" s="5">
        <f t="shared" si="14"/>
        <v>90.099992741597831</v>
      </c>
      <c r="I95" s="14">
        <f t="shared" si="16"/>
        <v>16728.95760423749</v>
      </c>
      <c r="J95" s="19">
        <f t="shared" si="17"/>
        <v>582682.07882821874</v>
      </c>
      <c r="K95" s="16">
        <f t="shared" si="15"/>
        <v>0.58309024199761705</v>
      </c>
    </row>
    <row r="96" spans="1:11" x14ac:dyDescent="0.15">
      <c r="A96" s="7">
        <v>39235.494814814818</v>
      </c>
      <c r="B96">
        <v>124.4</v>
      </c>
      <c r="C96" s="6">
        <f t="shared" si="9"/>
        <v>152.00000032782555</v>
      </c>
      <c r="D96" t="str">
        <f t="shared" si="10"/>
        <v/>
      </c>
      <c r="E96">
        <f t="shared" si="12"/>
        <v>39235.494814814818</v>
      </c>
      <c r="F96" s="4">
        <f t="shared" si="11"/>
        <v>84.800000000000011</v>
      </c>
      <c r="G96" s="4">
        <f t="shared" si="13"/>
        <v>42.400000000000006</v>
      </c>
      <c r="H96" s="5">
        <f t="shared" si="14"/>
        <v>86.850020302226781</v>
      </c>
      <c r="I96" s="14">
        <f t="shared" si="16"/>
        <v>16125.531904647201</v>
      </c>
      <c r="J96" s="19">
        <f t="shared" si="17"/>
        <v>598807.61073286599</v>
      </c>
      <c r="K96" s="16">
        <f t="shared" si="15"/>
        <v>0.59922706968164319</v>
      </c>
    </row>
    <row r="97" spans="1:11" x14ac:dyDescent="0.15">
      <c r="A97" s="7">
        <v>39235.494837962964</v>
      </c>
      <c r="B97">
        <v>122.1</v>
      </c>
      <c r="C97" s="6">
        <f t="shared" si="9"/>
        <v>154.00000016670674</v>
      </c>
      <c r="D97" t="str">
        <f t="shared" si="10"/>
        <v/>
      </c>
      <c r="E97">
        <f t="shared" si="12"/>
        <v>39235.494837962964</v>
      </c>
      <c r="F97" s="4">
        <f t="shared" si="11"/>
        <v>82.5</v>
      </c>
      <c r="G97" s="4">
        <f t="shared" si="13"/>
        <v>41.25</v>
      </c>
      <c r="H97" s="5">
        <f t="shared" si="14"/>
        <v>83.649993261205964</v>
      </c>
      <c r="I97" s="14">
        <f t="shared" si="16"/>
        <v>15531.379618140576</v>
      </c>
      <c r="J97" s="19">
        <f t="shared" si="17"/>
        <v>614338.99035100651</v>
      </c>
      <c r="K97" s="16">
        <f t="shared" si="15"/>
        <v>0.61476932888122338</v>
      </c>
    </row>
    <row r="98" spans="1:11" x14ac:dyDescent="0.15">
      <c r="A98" s="7">
        <v>39235.49486111111</v>
      </c>
      <c r="B98">
        <v>120.6</v>
      </c>
      <c r="C98" s="6">
        <f t="shared" si="9"/>
        <v>156.00000000558794</v>
      </c>
      <c r="D98" t="str">
        <f t="shared" si="10"/>
        <v/>
      </c>
      <c r="E98">
        <f t="shared" si="12"/>
        <v>39235.49486111111</v>
      </c>
      <c r="F98" s="4">
        <f t="shared" si="11"/>
        <v>81</v>
      </c>
      <c r="G98" s="4">
        <f t="shared" si="13"/>
        <v>40.5</v>
      </c>
      <c r="H98" s="5">
        <f t="shared" si="14"/>
        <v>81.749993414268829</v>
      </c>
      <c r="I98" s="14">
        <f t="shared" si="16"/>
        <v>15178.604707507377</v>
      </c>
      <c r="J98" s="19">
        <f t="shared" si="17"/>
        <v>629517.59505851392</v>
      </c>
      <c r="K98" s="16">
        <f t="shared" si="15"/>
        <v>0.6299585660547522</v>
      </c>
    </row>
    <row r="99" spans="1:11" x14ac:dyDescent="0.15">
      <c r="A99" s="7">
        <v>39235.494884259257</v>
      </c>
      <c r="B99">
        <v>115.9</v>
      </c>
      <c r="C99" s="6">
        <f t="shared" si="9"/>
        <v>157.99999984446913</v>
      </c>
      <c r="D99" t="str">
        <f t="shared" si="10"/>
        <v/>
      </c>
      <c r="E99">
        <f t="shared" si="12"/>
        <v>39235.494884259257</v>
      </c>
      <c r="F99" s="4">
        <f t="shared" si="11"/>
        <v>76.300000000000011</v>
      </c>
      <c r="G99" s="4">
        <f t="shared" si="13"/>
        <v>38.150000000000006</v>
      </c>
      <c r="H99" s="5">
        <f t="shared" si="14"/>
        <v>78.649993664002977</v>
      </c>
      <c r="I99" s="14">
        <f t="shared" si="16"/>
        <v>14603.024590158473</v>
      </c>
      <c r="J99" s="19">
        <f t="shared" si="17"/>
        <v>644120.61964867241</v>
      </c>
      <c r="K99" s="16">
        <f t="shared" si="15"/>
        <v>0.64457181992261825</v>
      </c>
    </row>
    <row r="100" spans="1:11" x14ac:dyDescent="0.15">
      <c r="A100" s="7">
        <v>39235.49490740741</v>
      </c>
      <c r="B100">
        <v>113.3</v>
      </c>
      <c r="C100" s="6">
        <f t="shared" si="9"/>
        <v>160.00000031199306</v>
      </c>
      <c r="D100" t="str">
        <f t="shared" si="10"/>
        <v/>
      </c>
      <c r="E100">
        <f t="shared" si="12"/>
        <v>39235.49490740741</v>
      </c>
      <c r="F100" s="4">
        <f t="shared" si="11"/>
        <v>73.699999999999989</v>
      </c>
      <c r="G100" s="4">
        <f t="shared" si="13"/>
        <v>36.849999999999994</v>
      </c>
      <c r="H100" s="5">
        <f t="shared" si="14"/>
        <v>75.000017532147467</v>
      </c>
      <c r="I100" s="14">
        <f t="shared" si="16"/>
        <v>13925.329796759239</v>
      </c>
      <c r="J100" s="19">
        <f t="shared" si="17"/>
        <v>658045.9494454317</v>
      </c>
      <c r="K100" s="16">
        <f t="shared" si="15"/>
        <v>0.65850690427842662</v>
      </c>
    </row>
    <row r="101" spans="1:11" x14ac:dyDescent="0.15">
      <c r="A101" s="7">
        <v>39235.494930555556</v>
      </c>
      <c r="B101">
        <v>110.4</v>
      </c>
      <c r="C101" s="6">
        <f t="shared" si="9"/>
        <v>162.00000015087426</v>
      </c>
      <c r="D101" t="str">
        <f t="shared" si="10"/>
        <v/>
      </c>
      <c r="E101">
        <f t="shared" si="12"/>
        <v>39235.494930555556</v>
      </c>
      <c r="F101" s="4">
        <f t="shared" si="11"/>
        <v>70.800000000000011</v>
      </c>
      <c r="G101" s="4">
        <f t="shared" si="13"/>
        <v>35.400000000000006</v>
      </c>
      <c r="H101" s="5">
        <f t="shared" si="14"/>
        <v>72.249994179583155</v>
      </c>
      <c r="I101" s="14">
        <f t="shared" si="16"/>
        <v>13414.730154341381</v>
      </c>
      <c r="J101" s="19">
        <f t="shared" si="17"/>
        <v>671460.67959977314</v>
      </c>
      <c r="K101" s="16">
        <f t="shared" si="15"/>
        <v>0.67193103132169829</v>
      </c>
    </row>
    <row r="102" spans="1:11" x14ac:dyDescent="0.15">
      <c r="A102" s="7">
        <v>39235.494953703703</v>
      </c>
      <c r="B102">
        <v>106.8</v>
      </c>
      <c r="C102" s="6">
        <f t="shared" si="9"/>
        <v>163.99999998975545</v>
      </c>
      <c r="D102" t="str">
        <f t="shared" si="10"/>
        <v/>
      </c>
      <c r="E102">
        <f t="shared" si="12"/>
        <v>39235.494953703703</v>
      </c>
      <c r="F102" s="4">
        <f t="shared" si="11"/>
        <v>67.199999999999989</v>
      </c>
      <c r="G102" s="4">
        <f t="shared" si="13"/>
        <v>33.599999999999994</v>
      </c>
      <c r="H102" s="5">
        <f t="shared" si="14"/>
        <v>68.999994441401213</v>
      </c>
      <c r="I102" s="14">
        <f t="shared" si="16"/>
        <v>12811.299386153016</v>
      </c>
      <c r="J102" s="19">
        <f t="shared" si="17"/>
        <v>684271.97898592614</v>
      </c>
      <c r="K102" s="16">
        <f t="shared" si="15"/>
        <v>0.68475130489935565</v>
      </c>
    </row>
    <row r="103" spans="1:11" x14ac:dyDescent="0.15">
      <c r="A103" s="7">
        <v>39235.494976851849</v>
      </c>
      <c r="B103">
        <v>104.6</v>
      </c>
      <c r="C103" s="6">
        <f t="shared" si="9"/>
        <v>165.99999982863665</v>
      </c>
      <c r="D103" t="str">
        <f t="shared" si="10"/>
        <v/>
      </c>
      <c r="E103">
        <f t="shared" si="12"/>
        <v>39235.494976851849</v>
      </c>
      <c r="F103" s="4">
        <f t="shared" si="11"/>
        <v>65</v>
      </c>
      <c r="G103" s="4">
        <f t="shared" si="13"/>
        <v>32.5</v>
      </c>
      <c r="H103" s="5">
        <f t="shared" si="14"/>
        <v>66.099994675023481</v>
      </c>
      <c r="I103" s="14">
        <f t="shared" si="16"/>
        <v>12272.853469923395</v>
      </c>
      <c r="J103" s="19">
        <f t="shared" si="17"/>
        <v>696544.83245584951</v>
      </c>
      <c r="K103" s="16">
        <f t="shared" si="15"/>
        <v>0.69703275538461873</v>
      </c>
    </row>
    <row r="104" spans="1:11" x14ac:dyDescent="0.15">
      <c r="A104" s="7">
        <v>39235.495000000003</v>
      </c>
      <c r="B104">
        <v>103.2</v>
      </c>
      <c r="C104" s="6">
        <f t="shared" si="9"/>
        <v>168.00000029616058</v>
      </c>
      <c r="D104" t="str">
        <f t="shared" si="10"/>
        <v/>
      </c>
      <c r="E104">
        <f t="shared" si="12"/>
        <v>39235.495000000003</v>
      </c>
      <c r="F104" s="4">
        <f t="shared" si="11"/>
        <v>63.6</v>
      </c>
      <c r="G104" s="4">
        <f t="shared" si="13"/>
        <v>31.8</v>
      </c>
      <c r="H104" s="5">
        <f t="shared" si="14"/>
        <v>64.300015030894428</v>
      </c>
      <c r="I104" s="14">
        <f t="shared" si="16"/>
        <v>11938.649412421588</v>
      </c>
      <c r="J104" s="19">
        <f t="shared" si="17"/>
        <v>708483.48186827113</v>
      </c>
      <c r="K104" s="16">
        <f t="shared" si="15"/>
        <v>0.70897976770566506</v>
      </c>
    </row>
    <row r="105" spans="1:11" x14ac:dyDescent="0.15">
      <c r="A105" s="7">
        <v>39235.495023148149</v>
      </c>
      <c r="B105">
        <v>99.6</v>
      </c>
      <c r="C105" s="6">
        <f t="shared" si="9"/>
        <v>170.00000013504177</v>
      </c>
      <c r="D105" t="str">
        <f t="shared" si="10"/>
        <v/>
      </c>
      <c r="E105">
        <f t="shared" si="12"/>
        <v>39235.495023148149</v>
      </c>
      <c r="F105" s="4">
        <f t="shared" si="11"/>
        <v>59.999999999999993</v>
      </c>
      <c r="G105" s="4">
        <f t="shared" si="13"/>
        <v>29.999999999999996</v>
      </c>
      <c r="H105" s="5">
        <f t="shared" si="14"/>
        <v>61.799995021428913</v>
      </c>
      <c r="I105" s="14">
        <f t="shared" si="16"/>
        <v>11474.468145858787</v>
      </c>
      <c r="J105" s="19">
        <f t="shared" si="17"/>
        <v>719957.95001412998</v>
      </c>
      <c r="K105" s="16">
        <f t="shared" si="15"/>
        <v>0.72046227360565396</v>
      </c>
    </row>
    <row r="106" spans="1:11" x14ac:dyDescent="0.15">
      <c r="A106" s="7">
        <v>39235.495046296295</v>
      </c>
      <c r="B106">
        <v>97.2</v>
      </c>
      <c r="C106" s="6">
        <f t="shared" si="9"/>
        <v>171.99999997392297</v>
      </c>
      <c r="D106" t="str">
        <f t="shared" si="10"/>
        <v/>
      </c>
      <c r="E106">
        <f t="shared" si="12"/>
        <v>39235.495046296295</v>
      </c>
      <c r="F106" s="4">
        <f t="shared" si="11"/>
        <v>57.6</v>
      </c>
      <c r="G106" s="4">
        <f t="shared" si="13"/>
        <v>28.8</v>
      </c>
      <c r="H106" s="5">
        <f t="shared" si="14"/>
        <v>58.799995263107121</v>
      </c>
      <c r="I106" s="14">
        <f t="shared" si="16"/>
        <v>10917.455129069525</v>
      </c>
      <c r="J106" s="19">
        <f t="shared" si="17"/>
        <v>730875.40514319949</v>
      </c>
      <c r="K106" s="16">
        <f t="shared" si="15"/>
        <v>0.7313873763066141</v>
      </c>
    </row>
    <row r="107" spans="1:11" x14ac:dyDescent="0.15">
      <c r="A107" s="7">
        <v>39235.495069444441</v>
      </c>
      <c r="B107">
        <v>94.9</v>
      </c>
      <c r="C107" s="6">
        <f t="shared" si="9"/>
        <v>173.99999981280416</v>
      </c>
      <c r="D107" t="str">
        <f t="shared" si="10"/>
        <v/>
      </c>
      <c r="E107">
        <f t="shared" si="12"/>
        <v>39235.495069444441</v>
      </c>
      <c r="F107" s="4">
        <f t="shared" si="11"/>
        <v>55.300000000000004</v>
      </c>
      <c r="G107" s="4">
        <f t="shared" si="13"/>
        <v>27.650000000000002</v>
      </c>
      <c r="H107" s="5">
        <f t="shared" si="14"/>
        <v>56.449995452421717</v>
      </c>
      <c r="I107" s="14">
        <f t="shared" si="16"/>
        <v>10481.128265917938</v>
      </c>
      <c r="J107" s="19">
        <f t="shared" si="17"/>
        <v>741356.53340911737</v>
      </c>
      <c r="K107" s="16">
        <f t="shared" si="15"/>
        <v>0.74187584650166849</v>
      </c>
    </row>
    <row r="108" spans="1:11" x14ac:dyDescent="0.15">
      <c r="A108" s="7">
        <v>39235.495092592595</v>
      </c>
      <c r="B108">
        <v>92.5</v>
      </c>
      <c r="C108" s="6">
        <f t="shared" si="9"/>
        <v>176.00000028032809</v>
      </c>
      <c r="D108" t="str">
        <f t="shared" si="10"/>
        <v/>
      </c>
      <c r="E108">
        <f t="shared" si="12"/>
        <v>39235.495092592595</v>
      </c>
      <c r="F108" s="4">
        <f t="shared" si="11"/>
        <v>52.9</v>
      </c>
      <c r="G108" s="4">
        <f t="shared" si="13"/>
        <v>26.45</v>
      </c>
      <c r="H108" s="5">
        <f t="shared" si="14"/>
        <v>54.100012646522373</v>
      </c>
      <c r="I108" s="14">
        <f t="shared" si="16"/>
        <v>10044.804560062332</v>
      </c>
      <c r="J108" s="19">
        <f t="shared" si="17"/>
        <v>751401.33796917973</v>
      </c>
      <c r="K108" s="16">
        <f t="shared" si="15"/>
        <v>0.751927687350325</v>
      </c>
    </row>
    <row r="109" spans="1:11" x14ac:dyDescent="0.15">
      <c r="A109" s="7">
        <v>39235.495115740741</v>
      </c>
      <c r="B109">
        <v>90.4</v>
      </c>
      <c r="C109" s="6">
        <f t="shared" si="9"/>
        <v>178.00000011920929</v>
      </c>
      <c r="D109" t="str">
        <f t="shared" si="10"/>
        <v/>
      </c>
      <c r="E109">
        <f t="shared" si="12"/>
        <v>39235.495115740741</v>
      </c>
      <c r="F109" s="4">
        <f t="shared" si="11"/>
        <v>50.800000000000004</v>
      </c>
      <c r="G109" s="4">
        <f t="shared" si="13"/>
        <v>25.400000000000002</v>
      </c>
      <c r="H109" s="5">
        <f t="shared" si="14"/>
        <v>51.84999582299497</v>
      </c>
      <c r="I109" s="14">
        <f t="shared" si="16"/>
        <v>9627.0416401744042</v>
      </c>
      <c r="J109" s="19">
        <f t="shared" si="17"/>
        <v>761028.37960935419</v>
      </c>
      <c r="K109" s="16">
        <f t="shared" si="15"/>
        <v>0.76156147264020235</v>
      </c>
    </row>
    <row r="110" spans="1:11" x14ac:dyDescent="0.15">
      <c r="A110" s="7">
        <v>39235.495138888888</v>
      </c>
      <c r="B110">
        <v>88.1</v>
      </c>
      <c r="C110" s="6">
        <f t="shared" si="9"/>
        <v>179.99999995809048</v>
      </c>
      <c r="D110" t="str">
        <f t="shared" si="10"/>
        <v/>
      </c>
      <c r="E110">
        <f t="shared" si="12"/>
        <v>39235.495138888888</v>
      </c>
      <c r="F110" s="4">
        <f t="shared" si="11"/>
        <v>48.499999999999993</v>
      </c>
      <c r="G110" s="4">
        <f t="shared" si="13"/>
        <v>24.249999999999996</v>
      </c>
      <c r="H110" s="5">
        <f t="shared" si="14"/>
        <v>49.649996000225656</v>
      </c>
      <c r="I110" s="14">
        <f t="shared" si="16"/>
        <v>9218.5654278622787</v>
      </c>
      <c r="J110" s="19">
        <f t="shared" si="17"/>
        <v>770246.94503721641</v>
      </c>
      <c r="K110" s="16">
        <f t="shared" si="15"/>
        <v>0.77078649558412526</v>
      </c>
    </row>
    <row r="111" spans="1:11" x14ac:dyDescent="0.15">
      <c r="A111" s="7">
        <v>39235.495162037034</v>
      </c>
      <c r="B111">
        <v>85.8</v>
      </c>
      <c r="C111" s="6">
        <f t="shared" si="9"/>
        <v>181.99999979697168</v>
      </c>
      <c r="D111" t="str">
        <f t="shared" si="10"/>
        <v/>
      </c>
      <c r="E111">
        <f t="shared" si="12"/>
        <v>39235.495162037034</v>
      </c>
      <c r="F111" s="4">
        <f t="shared" si="11"/>
        <v>46.199999999999996</v>
      </c>
      <c r="G111" s="4">
        <f t="shared" si="13"/>
        <v>23.099999999999998</v>
      </c>
      <c r="H111" s="5">
        <f t="shared" si="14"/>
        <v>47.349996185512275</v>
      </c>
      <c r="I111" s="14">
        <f t="shared" si="16"/>
        <v>8791.5221149905101</v>
      </c>
      <c r="J111" s="19">
        <f t="shared" si="17"/>
        <v>779038.46715220693</v>
      </c>
      <c r="K111" s="16">
        <f t="shared" si="15"/>
        <v>0.77958417607545971</v>
      </c>
    </row>
    <row r="112" spans="1:11" x14ac:dyDescent="0.15">
      <c r="A112" s="7">
        <v>39235.495185185187</v>
      </c>
      <c r="B112">
        <v>84.1</v>
      </c>
      <c r="C112" s="6">
        <f t="shared" si="9"/>
        <v>184.00000026449561</v>
      </c>
      <c r="D112" t="str">
        <f t="shared" si="10"/>
        <v/>
      </c>
      <c r="E112">
        <f t="shared" si="12"/>
        <v>39235.495185185187</v>
      </c>
      <c r="F112" s="4">
        <f t="shared" si="11"/>
        <v>44.499999999999993</v>
      </c>
      <c r="G112" s="4">
        <f t="shared" si="13"/>
        <v>22.249999999999996</v>
      </c>
      <c r="H112" s="5">
        <f t="shared" si="14"/>
        <v>45.350010601105161</v>
      </c>
      <c r="I112" s="14">
        <f t="shared" si="16"/>
        <v>8420.1827504404191</v>
      </c>
      <c r="J112" s="19">
        <f t="shared" si="17"/>
        <v>787458.64990264736</v>
      </c>
      <c r="K112" s="16">
        <f t="shared" si="15"/>
        <v>0.78801025708260519</v>
      </c>
    </row>
    <row r="113" spans="1:11" x14ac:dyDescent="0.15">
      <c r="A113" s="7">
        <v>39235.495208333334</v>
      </c>
      <c r="B113">
        <v>83.1</v>
      </c>
      <c r="C113" s="6">
        <f t="shared" si="9"/>
        <v>186.00000010337681</v>
      </c>
      <c r="D113" t="str">
        <f t="shared" si="10"/>
        <v/>
      </c>
      <c r="E113">
        <f t="shared" si="12"/>
        <v>39235.495208333334</v>
      </c>
      <c r="F113" s="4">
        <f t="shared" si="11"/>
        <v>43.499999999999993</v>
      </c>
      <c r="G113" s="4">
        <f t="shared" si="13"/>
        <v>21.749999999999996</v>
      </c>
      <c r="H113" s="5">
        <f t="shared" si="14"/>
        <v>43.999996455386274</v>
      </c>
      <c r="I113" s="14">
        <f t="shared" si="16"/>
        <v>8169.5242462425012</v>
      </c>
      <c r="J113" s="19">
        <f t="shared" si="17"/>
        <v>795628.17414888984</v>
      </c>
      <c r="K113" s="16">
        <f t="shared" si="15"/>
        <v>0.79618550400169097</v>
      </c>
    </row>
    <row r="114" spans="1:11" x14ac:dyDescent="0.15">
      <c r="A114" s="7">
        <v>39235.49523148148</v>
      </c>
      <c r="B114">
        <v>80.400000000000006</v>
      </c>
      <c r="C114" s="6">
        <f t="shared" si="9"/>
        <v>187.999999942258</v>
      </c>
      <c r="D114" t="str">
        <f t="shared" si="10"/>
        <v/>
      </c>
      <c r="E114">
        <f t="shared" si="12"/>
        <v>39235.49523148148</v>
      </c>
      <c r="F114" s="4">
        <f t="shared" si="11"/>
        <v>40.800000000000004</v>
      </c>
      <c r="G114" s="4">
        <f t="shared" si="13"/>
        <v>20.400000000000002</v>
      </c>
      <c r="H114" s="5">
        <f t="shared" si="14"/>
        <v>42.149996604421176</v>
      </c>
      <c r="I114" s="14">
        <f t="shared" si="16"/>
        <v>7826.0328858891244</v>
      </c>
      <c r="J114" s="19">
        <f t="shared" si="17"/>
        <v>803454.20703477901</v>
      </c>
      <c r="K114" s="16">
        <f t="shared" si="15"/>
        <v>0.80401701894804267</v>
      </c>
    </row>
    <row r="115" spans="1:11" x14ac:dyDescent="0.15">
      <c r="A115" s="7">
        <v>39235.495254629626</v>
      </c>
      <c r="B115">
        <v>79.599999999999994</v>
      </c>
      <c r="C115" s="6">
        <f t="shared" si="9"/>
        <v>189.99999978113919</v>
      </c>
      <c r="D115" t="str">
        <f t="shared" si="10"/>
        <v/>
      </c>
      <c r="E115">
        <f t="shared" si="12"/>
        <v>39235.495254629626</v>
      </c>
      <c r="F115" s="4">
        <f t="shared" si="11"/>
        <v>39.999999999999993</v>
      </c>
      <c r="G115" s="4">
        <f t="shared" si="13"/>
        <v>19.999999999999996</v>
      </c>
      <c r="H115" s="5">
        <f t="shared" si="14"/>
        <v>40.399996745400131</v>
      </c>
      <c r="I115" s="14">
        <f t="shared" si="16"/>
        <v>7501.1086260953889</v>
      </c>
      <c r="J115" s="19">
        <f t="shared" si="17"/>
        <v>810955.31566087436</v>
      </c>
      <c r="K115" s="16">
        <f t="shared" si="15"/>
        <v>0.81152338202829422</v>
      </c>
    </row>
    <row r="116" spans="1:11" x14ac:dyDescent="0.15">
      <c r="A116" s="7">
        <v>39235.49527777778</v>
      </c>
      <c r="B116">
        <v>75.8</v>
      </c>
      <c r="C116" s="6">
        <f t="shared" si="9"/>
        <v>192.00000024866313</v>
      </c>
      <c r="D116" t="str">
        <f t="shared" si="10"/>
        <v/>
      </c>
      <c r="E116">
        <f t="shared" si="12"/>
        <v>39235.49527777778</v>
      </c>
      <c r="F116" s="4">
        <f t="shared" si="11"/>
        <v>36.199999999999996</v>
      </c>
      <c r="G116" s="4">
        <f t="shared" si="13"/>
        <v>18.099999999999998</v>
      </c>
      <c r="H116" s="5">
        <f t="shared" si="14"/>
        <v>38.100008906330906</v>
      </c>
      <c r="I116" s="14">
        <f t="shared" si="16"/>
        <v>7074.0675367536924</v>
      </c>
      <c r="J116" s="19">
        <f t="shared" si="17"/>
        <v>818029.38319762808</v>
      </c>
      <c r="K116" s="16">
        <f t="shared" si="15"/>
        <v>0.81860240488104485</v>
      </c>
    </row>
    <row r="117" spans="1:11" x14ac:dyDescent="0.15">
      <c r="A117" s="7">
        <v>39235.495300925926</v>
      </c>
      <c r="B117">
        <v>76.099999999999994</v>
      </c>
      <c r="C117" s="6">
        <f t="shared" si="9"/>
        <v>194.00000008754432</v>
      </c>
      <c r="D117" t="str">
        <f t="shared" si="10"/>
        <v/>
      </c>
      <c r="E117">
        <f t="shared" si="12"/>
        <v>39235.495300925926</v>
      </c>
      <c r="F117" s="4">
        <f t="shared" si="11"/>
        <v>36.499999999999993</v>
      </c>
      <c r="G117" s="4">
        <f t="shared" si="13"/>
        <v>18.249999999999996</v>
      </c>
      <c r="H117" s="5">
        <f t="shared" si="14"/>
        <v>36.349997071665705</v>
      </c>
      <c r="I117" s="14">
        <f t="shared" si="16"/>
        <v>6749.1410534298839</v>
      </c>
      <c r="J117" s="19">
        <f t="shared" si="17"/>
        <v>824778.524251058</v>
      </c>
      <c r="K117" s="16">
        <f t="shared" si="15"/>
        <v>0.82535627364260777</v>
      </c>
    </row>
    <row r="118" spans="1:11" x14ac:dyDescent="0.15">
      <c r="A118" s="7">
        <v>39235.495324074072</v>
      </c>
      <c r="B118">
        <v>73.400000000000006</v>
      </c>
      <c r="C118" s="6">
        <f t="shared" si="9"/>
        <v>195.99999992642552</v>
      </c>
      <c r="D118" t="str">
        <f t="shared" si="10"/>
        <v/>
      </c>
      <c r="E118">
        <f t="shared" si="12"/>
        <v>39235.495324074072</v>
      </c>
      <c r="F118" s="4">
        <f t="shared" si="11"/>
        <v>33.800000000000004</v>
      </c>
      <c r="G118" s="4">
        <f t="shared" si="13"/>
        <v>16.900000000000002</v>
      </c>
      <c r="H118" s="5">
        <f t="shared" si="14"/>
        <v>35.149997168336995</v>
      </c>
      <c r="I118" s="14">
        <f t="shared" si="16"/>
        <v>6526.3358467141807</v>
      </c>
      <c r="J118" s="19">
        <f t="shared" si="17"/>
        <v>831304.86009777221</v>
      </c>
      <c r="K118" s="16">
        <f t="shared" si="15"/>
        <v>0.83188718112455939</v>
      </c>
    </row>
    <row r="119" spans="1:11" x14ac:dyDescent="0.15">
      <c r="A119" s="7">
        <v>39235.495347222219</v>
      </c>
      <c r="B119">
        <v>72</v>
      </c>
      <c r="C119" s="6">
        <f t="shared" si="9"/>
        <v>197.99999976530671</v>
      </c>
      <c r="D119" t="str">
        <f t="shared" si="10"/>
        <v/>
      </c>
      <c r="E119">
        <f t="shared" si="12"/>
        <v>39235.495347222219</v>
      </c>
      <c r="F119" s="4">
        <f t="shared" si="11"/>
        <v>32.4</v>
      </c>
      <c r="G119" s="4">
        <f t="shared" si="13"/>
        <v>16.2</v>
      </c>
      <c r="H119" s="5">
        <f t="shared" si="14"/>
        <v>33.09999733348377</v>
      </c>
      <c r="I119" s="14">
        <f t="shared" si="16"/>
        <v>6145.7102852415192</v>
      </c>
      <c r="J119" s="19">
        <f t="shared" si="17"/>
        <v>837450.57038301369</v>
      </c>
      <c r="K119" s="16">
        <f t="shared" si="15"/>
        <v>0.838037196420508</v>
      </c>
    </row>
    <row r="120" spans="1:11" x14ac:dyDescent="0.15">
      <c r="A120" s="7">
        <v>39235.495370370372</v>
      </c>
      <c r="B120">
        <v>71</v>
      </c>
      <c r="C120" s="6">
        <f t="shared" si="9"/>
        <v>200.00000023283064</v>
      </c>
      <c r="D120" t="str">
        <f t="shared" si="10"/>
        <v/>
      </c>
      <c r="E120">
        <f t="shared" si="12"/>
        <v>39235.495370370372</v>
      </c>
      <c r="F120" s="4">
        <f t="shared" si="11"/>
        <v>31.4</v>
      </c>
      <c r="G120" s="4">
        <f t="shared" si="13"/>
        <v>15.7</v>
      </c>
      <c r="H120" s="5">
        <f t="shared" si="14"/>
        <v>31.900007457006723</v>
      </c>
      <c r="I120" s="14">
        <f t="shared" si="16"/>
        <v>5922.9069402215964</v>
      </c>
      <c r="J120" s="19">
        <f t="shared" si="17"/>
        <v>843373.47732323525</v>
      </c>
      <c r="K120" s="16">
        <f t="shared" si="15"/>
        <v>0.84396425229984517</v>
      </c>
    </row>
    <row r="121" spans="1:11" x14ac:dyDescent="0.15">
      <c r="A121" s="7">
        <v>39235.495393518519</v>
      </c>
      <c r="B121">
        <v>70</v>
      </c>
      <c r="C121" s="6">
        <f t="shared" si="9"/>
        <v>202.00000007171184</v>
      </c>
      <c r="D121" t="str">
        <f t="shared" si="10"/>
        <v/>
      </c>
      <c r="E121">
        <f t="shared" si="12"/>
        <v>39235.495393518519</v>
      </c>
      <c r="F121" s="4">
        <f t="shared" si="11"/>
        <v>30.4</v>
      </c>
      <c r="G121" s="4">
        <f t="shared" si="13"/>
        <v>15.2</v>
      </c>
      <c r="H121" s="5">
        <f t="shared" si="14"/>
        <v>30.899997510714456</v>
      </c>
      <c r="I121" s="14">
        <f t="shared" si="16"/>
        <v>5737.2340729293937</v>
      </c>
      <c r="J121" s="19">
        <f t="shared" si="17"/>
        <v>849110.71139616461</v>
      </c>
      <c r="K121" s="16">
        <f t="shared" si="15"/>
        <v>0.84970550524983945</v>
      </c>
    </row>
    <row r="122" spans="1:11" x14ac:dyDescent="0.15">
      <c r="A122" s="7">
        <v>39235.495416666665</v>
      </c>
      <c r="B122">
        <v>68.599999999999994</v>
      </c>
      <c r="C122" s="6">
        <f t="shared" si="9"/>
        <v>203.99999991059303</v>
      </c>
      <c r="D122" t="str">
        <f t="shared" si="10"/>
        <v/>
      </c>
      <c r="E122">
        <f t="shared" si="12"/>
        <v>39235.495416666665</v>
      </c>
      <c r="F122" s="4">
        <f t="shared" si="11"/>
        <v>28.999999999999993</v>
      </c>
      <c r="G122" s="4">
        <f t="shared" si="13"/>
        <v>14.499999999999996</v>
      </c>
      <c r="H122" s="5">
        <f t="shared" si="14"/>
        <v>29.699997607385736</v>
      </c>
      <c r="I122" s="14">
        <f t="shared" si="16"/>
        <v>5514.4288662136887</v>
      </c>
      <c r="J122" s="19">
        <f t="shared" si="17"/>
        <v>854625.14026237826</v>
      </c>
      <c r="K122" s="16">
        <f t="shared" si="15"/>
        <v>0.85522379692022243</v>
      </c>
    </row>
    <row r="123" spans="1:11" x14ac:dyDescent="0.15">
      <c r="A123" s="7">
        <v>39235.495439814818</v>
      </c>
      <c r="B123">
        <v>67.8</v>
      </c>
      <c r="C123" s="6">
        <f t="shared" si="9"/>
        <v>206.00000037811697</v>
      </c>
      <c r="D123" t="str">
        <f t="shared" si="10"/>
        <v/>
      </c>
      <c r="E123">
        <f t="shared" si="12"/>
        <v>39235.495439814818</v>
      </c>
      <c r="F123" s="4">
        <f t="shared" si="11"/>
        <v>28.199999999999996</v>
      </c>
      <c r="G123" s="4">
        <f t="shared" si="13"/>
        <v>14.099999999999998</v>
      </c>
      <c r="H123" s="5">
        <f t="shared" si="14"/>
        <v>28.600006685592227</v>
      </c>
      <c r="I123" s="14">
        <f t="shared" si="16"/>
        <v>5310.192429164189</v>
      </c>
      <c r="J123" s="19">
        <f t="shared" si="17"/>
        <v>859935.33269154245</v>
      </c>
      <c r="K123" s="16">
        <f t="shared" si="15"/>
        <v>0.86053770908790395</v>
      </c>
    </row>
    <row r="124" spans="1:11" x14ac:dyDescent="0.15">
      <c r="A124" s="7">
        <v>39235.495462962965</v>
      </c>
      <c r="B124">
        <v>65.2</v>
      </c>
      <c r="C124" s="6">
        <f t="shared" si="9"/>
        <v>208.00000021699816</v>
      </c>
      <c r="D124" t="str">
        <f t="shared" si="10"/>
        <v/>
      </c>
      <c r="E124">
        <f t="shared" si="12"/>
        <v>39235.495462962965</v>
      </c>
      <c r="F124" s="4">
        <f t="shared" si="11"/>
        <v>25.6</v>
      </c>
      <c r="G124" s="4">
        <f t="shared" si="13"/>
        <v>12.8</v>
      </c>
      <c r="H124" s="5">
        <f t="shared" si="14"/>
        <v>26.899997832952067</v>
      </c>
      <c r="I124" s="14">
        <f t="shared" si="16"/>
        <v>4994.5500505437121</v>
      </c>
      <c r="J124" s="19">
        <f t="shared" si="17"/>
        <v>864929.88274208619</v>
      </c>
      <c r="K124" s="16">
        <f t="shared" si="15"/>
        <v>0.865535757772527</v>
      </c>
    </row>
    <row r="125" spans="1:11" x14ac:dyDescent="0.15">
      <c r="A125" s="7">
        <v>39235.495486111111</v>
      </c>
      <c r="B125">
        <v>64.900000000000006</v>
      </c>
      <c r="C125" s="6">
        <f t="shared" si="9"/>
        <v>210.00000005587935</v>
      </c>
      <c r="D125" t="str">
        <f t="shared" si="10"/>
        <v/>
      </c>
      <c r="E125">
        <f t="shared" si="12"/>
        <v>39235.495486111111</v>
      </c>
      <c r="F125" s="4">
        <f t="shared" si="11"/>
        <v>25.300000000000004</v>
      </c>
      <c r="G125" s="4">
        <f t="shared" si="13"/>
        <v>12.650000000000002</v>
      </c>
      <c r="H125" s="5">
        <f t="shared" si="14"/>
        <v>25.449997949763205</v>
      </c>
      <c r="I125" s="14">
        <f t="shared" si="16"/>
        <v>4725.3270924289027</v>
      </c>
      <c r="J125" s="19">
        <f t="shared" si="17"/>
        <v>869655.20983451512</v>
      </c>
      <c r="K125" s="16">
        <f t="shared" si="15"/>
        <v>0.87026439491095275</v>
      </c>
    </row>
    <row r="126" spans="1:11" x14ac:dyDescent="0.15">
      <c r="A126" s="7">
        <v>39235.495509259257</v>
      </c>
      <c r="B126">
        <v>63.1</v>
      </c>
      <c r="C126" s="6">
        <f t="shared" si="9"/>
        <v>211.99999989476055</v>
      </c>
      <c r="D126" t="str">
        <f t="shared" si="10"/>
        <v/>
      </c>
      <c r="E126">
        <f t="shared" si="12"/>
        <v>39235.495509259257</v>
      </c>
      <c r="F126" s="4">
        <f t="shared" si="11"/>
        <v>23.5</v>
      </c>
      <c r="G126" s="4">
        <f t="shared" si="13"/>
        <v>11.75</v>
      </c>
      <c r="H126" s="5">
        <f t="shared" si="14"/>
        <v>24.399998034350578</v>
      </c>
      <c r="I126" s="14">
        <f t="shared" si="16"/>
        <v>4530.3725365526607</v>
      </c>
      <c r="J126" s="19">
        <f t="shared" si="17"/>
        <v>874185.58237106772</v>
      </c>
      <c r="K126" s="16">
        <f t="shared" si="15"/>
        <v>0.87479794092971852</v>
      </c>
    </row>
    <row r="127" spans="1:11" x14ac:dyDescent="0.15">
      <c r="A127" s="7">
        <v>39235.495532407411</v>
      </c>
      <c r="B127">
        <v>62.5</v>
      </c>
      <c r="C127" s="6">
        <f t="shared" si="9"/>
        <v>214.00000036228448</v>
      </c>
      <c r="D127" t="str">
        <f t="shared" si="10"/>
        <v/>
      </c>
      <c r="E127">
        <f t="shared" si="12"/>
        <v>39235.495532407411</v>
      </c>
      <c r="F127" s="4">
        <f t="shared" si="11"/>
        <v>22.9</v>
      </c>
      <c r="G127" s="4">
        <f t="shared" si="13"/>
        <v>11.45</v>
      </c>
      <c r="H127" s="5">
        <f t="shared" si="14"/>
        <v>23.200005423277617</v>
      </c>
      <c r="I127" s="14">
        <f t="shared" si="16"/>
        <v>4307.5686837975245</v>
      </c>
      <c r="J127" s="19">
        <f t="shared" si="17"/>
        <v>878493.15105486521</v>
      </c>
      <c r="K127" s="16">
        <f t="shared" si="15"/>
        <v>0.87910852702378184</v>
      </c>
    </row>
    <row r="128" spans="1:11" x14ac:dyDescent="0.15">
      <c r="A128" s="7">
        <v>39235.495555555557</v>
      </c>
      <c r="B128">
        <v>61.6</v>
      </c>
      <c r="C128" s="6">
        <f t="shared" si="9"/>
        <v>216.00000020116568</v>
      </c>
      <c r="D128" t="str">
        <f t="shared" si="10"/>
        <v/>
      </c>
      <c r="E128">
        <f t="shared" si="12"/>
        <v>39235.495555555557</v>
      </c>
      <c r="F128" s="4">
        <f t="shared" si="11"/>
        <v>22</v>
      </c>
      <c r="G128" s="4">
        <f t="shared" si="13"/>
        <v>11</v>
      </c>
      <c r="H128" s="5">
        <f t="shared" si="14"/>
        <v>22.449998191441409</v>
      </c>
      <c r="I128" s="14">
        <f t="shared" si="16"/>
        <v>4168.3140756396406</v>
      </c>
      <c r="J128" s="19">
        <f t="shared" si="17"/>
        <v>882661.4651305048</v>
      </c>
      <c r="K128" s="16">
        <f t="shared" si="15"/>
        <v>0.88327976096317906</v>
      </c>
    </row>
    <row r="129" spans="1:11" x14ac:dyDescent="0.15">
      <c r="A129" s="7">
        <v>39235.495578703703</v>
      </c>
      <c r="B129">
        <v>61.3</v>
      </c>
      <c r="C129" s="6">
        <f t="shared" si="9"/>
        <v>218.00000004004687</v>
      </c>
      <c r="D129" t="str">
        <f t="shared" si="10"/>
        <v/>
      </c>
      <c r="E129">
        <f t="shared" si="12"/>
        <v>39235.495578703703</v>
      </c>
      <c r="F129" s="4">
        <f t="shared" si="11"/>
        <v>21.699999999999996</v>
      </c>
      <c r="G129" s="4">
        <f t="shared" si="13"/>
        <v>10.849999999999998</v>
      </c>
      <c r="H129" s="5">
        <f t="shared" si="14"/>
        <v>21.849998239777047</v>
      </c>
      <c r="I129" s="14">
        <f t="shared" si="16"/>
        <v>4056.9114722817876</v>
      </c>
      <c r="J129" s="19">
        <f t="shared" si="17"/>
        <v>886718.37660278659</v>
      </c>
      <c r="K129" s="16">
        <f t="shared" si="15"/>
        <v>0.88733951426277058</v>
      </c>
    </row>
    <row r="130" spans="1:11" x14ac:dyDescent="0.15">
      <c r="A130" s="7">
        <v>39235.49560185185</v>
      </c>
      <c r="B130">
        <v>59.8</v>
      </c>
      <c r="C130" s="6">
        <f t="shared" si="9"/>
        <v>219.99999987892807</v>
      </c>
      <c r="D130" t="str">
        <f t="shared" si="10"/>
        <v/>
      </c>
      <c r="E130">
        <f t="shared" si="12"/>
        <v>39235.49560185185</v>
      </c>
      <c r="F130" s="4">
        <f t="shared" si="11"/>
        <v>20.199999999999996</v>
      </c>
      <c r="G130" s="4">
        <f t="shared" si="13"/>
        <v>10.099999999999998</v>
      </c>
      <c r="H130" s="5">
        <f t="shared" si="14"/>
        <v>20.94999831228051</v>
      </c>
      <c r="I130" s="14">
        <f t="shared" si="16"/>
        <v>3889.8075672450091</v>
      </c>
      <c r="J130" s="19">
        <f t="shared" si="17"/>
        <v>890608.18417003157</v>
      </c>
      <c r="K130" s="16">
        <f t="shared" si="15"/>
        <v>0.89123204660265343</v>
      </c>
    </row>
    <row r="131" spans="1:11" x14ac:dyDescent="0.15">
      <c r="A131" s="7">
        <v>39235.495625000003</v>
      </c>
      <c r="B131">
        <v>59.4</v>
      </c>
      <c r="C131" s="6">
        <f t="shared" si="9"/>
        <v>222.000000346452</v>
      </c>
      <c r="D131" t="str">
        <f t="shared" si="10"/>
        <v/>
      </c>
      <c r="E131">
        <f t="shared" si="12"/>
        <v>39235.495625000003</v>
      </c>
      <c r="F131" s="4">
        <f t="shared" si="11"/>
        <v>19.799999999999997</v>
      </c>
      <c r="G131" s="4">
        <f t="shared" si="13"/>
        <v>9.8999999999999986</v>
      </c>
      <c r="H131" s="5">
        <f t="shared" si="14"/>
        <v>20.000004675239321</v>
      </c>
      <c r="I131" s="14">
        <f t="shared" si="16"/>
        <v>3713.4212791357968</v>
      </c>
      <c r="J131" s="19">
        <f t="shared" si="17"/>
        <v>894321.60544916731</v>
      </c>
      <c r="K131" s="16">
        <f t="shared" si="15"/>
        <v>0.89494806909753555</v>
      </c>
    </row>
    <row r="132" spans="1:11" x14ac:dyDescent="0.15">
      <c r="A132" s="7">
        <v>39235.495648148149</v>
      </c>
      <c r="B132">
        <v>59.1</v>
      </c>
      <c r="C132" s="6">
        <f t="shared" si="9"/>
        <v>224.00000018533319</v>
      </c>
      <c r="D132" t="str">
        <f t="shared" si="10"/>
        <v/>
      </c>
      <c r="E132">
        <f t="shared" si="12"/>
        <v>39235.495648148149</v>
      </c>
      <c r="F132" s="4">
        <f t="shared" si="11"/>
        <v>19.5</v>
      </c>
      <c r="G132" s="4">
        <f t="shared" si="13"/>
        <v>9.75</v>
      </c>
      <c r="H132" s="5">
        <f t="shared" si="14"/>
        <v>19.649998417007737</v>
      </c>
      <c r="I132" s="14">
        <f t="shared" si="16"/>
        <v>3648.4352599696631</v>
      </c>
      <c r="J132" s="19">
        <f t="shared" si="17"/>
        <v>897970.04070913699</v>
      </c>
      <c r="K132" s="16">
        <f t="shared" si="15"/>
        <v>0.89859906005117285</v>
      </c>
    </row>
    <row r="133" spans="1:11" x14ac:dyDescent="0.15">
      <c r="A133" s="7">
        <v>39235.495671296296</v>
      </c>
      <c r="B133">
        <v>58.1</v>
      </c>
      <c r="C133" s="6">
        <f t="shared" si="9"/>
        <v>226.00000002421439</v>
      </c>
      <c r="D133" t="str">
        <f t="shared" si="10"/>
        <v/>
      </c>
      <c r="E133">
        <f t="shared" si="12"/>
        <v>39235.495671296296</v>
      </c>
      <c r="F133" s="4">
        <f t="shared" si="11"/>
        <v>18.5</v>
      </c>
      <c r="G133" s="4">
        <f t="shared" si="13"/>
        <v>9.25</v>
      </c>
      <c r="H133" s="5">
        <f t="shared" si="14"/>
        <v>18.999998469371349</v>
      </c>
      <c r="I133" s="14">
        <f t="shared" si="16"/>
        <v>3527.7491063319899</v>
      </c>
      <c r="J133" s="19">
        <f t="shared" si="17"/>
        <v>901497.78981546895</v>
      </c>
      <c r="K133" s="16">
        <f t="shared" si="15"/>
        <v>0.90212928031168715</v>
      </c>
    </row>
    <row r="134" spans="1:11" x14ac:dyDescent="0.15">
      <c r="A134" s="7">
        <v>39235.495694444442</v>
      </c>
      <c r="B134">
        <v>57.3</v>
      </c>
      <c r="C134" s="6">
        <f t="shared" si="9"/>
        <v>227.99999986309558</v>
      </c>
      <c r="D134" t="str">
        <f t="shared" si="10"/>
        <v/>
      </c>
      <c r="E134">
        <f t="shared" si="12"/>
        <v>39235.495694444442</v>
      </c>
      <c r="F134" s="4">
        <f t="shared" si="11"/>
        <v>17.699999999999996</v>
      </c>
      <c r="G134" s="4">
        <f t="shared" si="13"/>
        <v>8.8499999999999979</v>
      </c>
      <c r="H134" s="5">
        <f t="shared" si="14"/>
        <v>18.099998541874808</v>
      </c>
      <c r="I134" s="14">
        <f t="shared" si="16"/>
        <v>3360.6452012952104</v>
      </c>
      <c r="J134" s="19">
        <f t="shared" si="17"/>
        <v>904858.43501676421</v>
      </c>
      <c r="K134" s="16">
        <f t="shared" si="15"/>
        <v>0.90549227961249301</v>
      </c>
    </row>
    <row r="135" spans="1:11" x14ac:dyDescent="0.15">
      <c r="A135" s="7">
        <v>39235.495717592596</v>
      </c>
      <c r="B135">
        <v>56.6</v>
      </c>
      <c r="C135" s="6">
        <f t="shared" si="9"/>
        <v>230.00000033061951</v>
      </c>
      <c r="D135" t="str">
        <f t="shared" si="10"/>
        <v/>
      </c>
      <c r="E135">
        <f t="shared" si="12"/>
        <v>39235.495717592596</v>
      </c>
      <c r="F135" s="4">
        <f t="shared" si="11"/>
        <v>17</v>
      </c>
      <c r="G135" s="4">
        <f t="shared" si="13"/>
        <v>8.5</v>
      </c>
      <c r="H135" s="5">
        <f t="shared" si="14"/>
        <v>17.350004055770111</v>
      </c>
      <c r="I135" s="14">
        <f t="shared" si="16"/>
        <v>3221.3929596503035</v>
      </c>
      <c r="J135" s="19">
        <f t="shared" si="17"/>
        <v>908079.82797641447</v>
      </c>
      <c r="K135" s="16">
        <f t="shared" si="15"/>
        <v>0.90871592912680321</v>
      </c>
    </row>
    <row r="136" spans="1:11" x14ac:dyDescent="0.15">
      <c r="A136" s="7">
        <v>39235.495740740742</v>
      </c>
      <c r="B136">
        <v>55.9</v>
      </c>
      <c r="C136" s="6">
        <f t="shared" si="9"/>
        <v>232.00000016950071</v>
      </c>
      <c r="D136" t="str">
        <f t="shared" si="10"/>
        <v/>
      </c>
      <c r="E136">
        <f t="shared" si="12"/>
        <v>39235.495740740742</v>
      </c>
      <c r="F136" s="4">
        <f t="shared" si="11"/>
        <v>16.299999999999997</v>
      </c>
      <c r="G136" s="4">
        <f t="shared" si="13"/>
        <v>8.1499999999999986</v>
      </c>
      <c r="H136" s="5">
        <f t="shared" si="14"/>
        <v>16.649998658685945</v>
      </c>
      <c r="I136" s="14">
        <f t="shared" si="16"/>
        <v>3091.4222431804014</v>
      </c>
      <c r="J136" s="19">
        <f t="shared" si="17"/>
        <v>911171.25021959492</v>
      </c>
      <c r="K136" s="16">
        <f t="shared" si="15"/>
        <v>0.91180951688141187</v>
      </c>
    </row>
    <row r="137" spans="1:11" x14ac:dyDescent="0.15">
      <c r="A137" s="7">
        <v>39235.495763888888</v>
      </c>
      <c r="B137">
        <v>55.1</v>
      </c>
      <c r="C137" s="6">
        <f t="shared" si="9"/>
        <v>234.0000000083819</v>
      </c>
      <c r="D137" t="str">
        <f t="shared" si="10"/>
        <v/>
      </c>
      <c r="E137">
        <f t="shared" si="12"/>
        <v>39235.495763888888</v>
      </c>
      <c r="F137" s="4">
        <f t="shared" si="11"/>
        <v>15.5</v>
      </c>
      <c r="G137" s="4">
        <f t="shared" si="13"/>
        <v>7.75</v>
      </c>
      <c r="H137" s="5">
        <f t="shared" si="14"/>
        <v>15.899998719105495</v>
      </c>
      <c r="I137" s="14">
        <f t="shared" si="16"/>
        <v>2952.1689889830859</v>
      </c>
      <c r="J137" s="19">
        <f t="shared" si="17"/>
        <v>914123.41920857795</v>
      </c>
      <c r="K137" s="16">
        <f t="shared" si="15"/>
        <v>0.91476375383626329</v>
      </c>
    </row>
    <row r="138" spans="1:11" x14ac:dyDescent="0.15">
      <c r="A138" s="7">
        <v>39235.495787037034</v>
      </c>
      <c r="B138">
        <v>54.4</v>
      </c>
      <c r="C138" s="6">
        <f t="shared" si="9"/>
        <v>235.9999998472631</v>
      </c>
      <c r="D138" t="str">
        <f t="shared" si="10"/>
        <v/>
      </c>
      <c r="E138">
        <f t="shared" si="12"/>
        <v>39235.495787037034</v>
      </c>
      <c r="F138" s="4">
        <f t="shared" si="11"/>
        <v>14.799999999999997</v>
      </c>
      <c r="G138" s="4">
        <f t="shared" si="13"/>
        <v>7.3999999999999986</v>
      </c>
      <c r="H138" s="5">
        <f t="shared" si="14"/>
        <v>15.149998779525047</v>
      </c>
      <c r="I138" s="14">
        <f t="shared" si="16"/>
        <v>2812.9157347857704</v>
      </c>
      <c r="J138" s="19">
        <f t="shared" si="17"/>
        <v>916936.33494336368</v>
      </c>
      <c r="K138" s="16">
        <f t="shared" si="15"/>
        <v>0.91757863999135758</v>
      </c>
    </row>
    <row r="139" spans="1:11" x14ac:dyDescent="0.15">
      <c r="A139" s="7">
        <v>39235.495810185188</v>
      </c>
      <c r="B139">
        <v>53.2</v>
      </c>
      <c r="C139" s="6">
        <f t="shared" si="9"/>
        <v>238.00000031478703</v>
      </c>
      <c r="D139" t="str">
        <f t="shared" si="10"/>
        <v/>
      </c>
      <c r="E139">
        <f t="shared" si="12"/>
        <v>39235.495810185188</v>
      </c>
      <c r="F139" s="4">
        <f t="shared" si="11"/>
        <v>13.600000000000001</v>
      </c>
      <c r="G139" s="4">
        <f t="shared" si="13"/>
        <v>6.8000000000000007</v>
      </c>
      <c r="H139" s="5">
        <f t="shared" si="14"/>
        <v>14.20000331941992</v>
      </c>
      <c r="I139" s="14">
        <f t="shared" si="16"/>
        <v>2636.5291081864161</v>
      </c>
      <c r="J139" s="19">
        <f t="shared" si="17"/>
        <v>919572.86405155004</v>
      </c>
      <c r="K139" s="16">
        <f t="shared" si="15"/>
        <v>0.92021701596272398</v>
      </c>
    </row>
    <row r="140" spans="1:11" x14ac:dyDescent="0.15">
      <c r="A140" s="7">
        <v>39235.495833333334</v>
      </c>
      <c r="B140">
        <v>52.5</v>
      </c>
      <c r="C140" s="6">
        <f t="shared" si="9"/>
        <v>240.00000015366822</v>
      </c>
      <c r="D140" t="str">
        <f t="shared" si="10"/>
        <v/>
      </c>
      <c r="E140">
        <f t="shared" si="12"/>
        <v>39235.495833333334</v>
      </c>
      <c r="F140" s="4">
        <f t="shared" si="11"/>
        <v>12.899999999999999</v>
      </c>
      <c r="G140" s="4">
        <f t="shared" si="13"/>
        <v>6.4499999999999993</v>
      </c>
      <c r="H140" s="5">
        <f t="shared" si="14"/>
        <v>13.249998932587914</v>
      </c>
      <c r="I140" s="14">
        <f t="shared" si="16"/>
        <v>2460.1408241525719</v>
      </c>
      <c r="J140" s="19">
        <f t="shared" si="17"/>
        <v>922033.00487570267</v>
      </c>
      <c r="K140" s="16">
        <f t="shared" si="15"/>
        <v>0.92267888009176691</v>
      </c>
    </row>
    <row r="141" spans="1:11" x14ac:dyDescent="0.15">
      <c r="A141" s="7">
        <v>39235.495856481481</v>
      </c>
      <c r="B141">
        <v>52.8</v>
      </c>
      <c r="C141" s="6">
        <f t="shared" si="9"/>
        <v>241.99999999254942</v>
      </c>
      <c r="D141" t="str">
        <f t="shared" si="10"/>
        <v/>
      </c>
      <c r="E141">
        <f t="shared" si="12"/>
        <v>39235.495856481481</v>
      </c>
      <c r="F141" s="4">
        <f t="shared" si="11"/>
        <v>13.199999999999996</v>
      </c>
      <c r="G141" s="4">
        <f t="shared" si="13"/>
        <v>6.5999999999999979</v>
      </c>
      <c r="H141" s="5">
        <f t="shared" si="14"/>
        <v>13.049998948699791</v>
      </c>
      <c r="I141" s="14">
        <f t="shared" si="16"/>
        <v>2423.0066230332868</v>
      </c>
      <c r="J141" s="19">
        <f t="shared" si="17"/>
        <v>924456.01149873598</v>
      </c>
      <c r="K141" s="16">
        <f t="shared" si="15"/>
        <v>0.92510358400754122</v>
      </c>
    </row>
    <row r="142" spans="1:11" x14ac:dyDescent="0.15">
      <c r="A142" s="7">
        <v>39235.495879629627</v>
      </c>
      <c r="B142">
        <v>52.8</v>
      </c>
      <c r="C142" s="6">
        <f t="shared" si="9"/>
        <v>243.99999983143061</v>
      </c>
      <c r="D142" t="str">
        <f t="shared" si="10"/>
        <v/>
      </c>
      <c r="E142">
        <f t="shared" si="12"/>
        <v>39235.495879629627</v>
      </c>
      <c r="F142" s="4">
        <f t="shared" si="11"/>
        <v>13.199999999999996</v>
      </c>
      <c r="G142" s="4">
        <f t="shared" si="13"/>
        <v>6.5999999999999979</v>
      </c>
      <c r="H142" s="5">
        <f t="shared" si="14"/>
        <v>13.199998936615881</v>
      </c>
      <c r="I142" s="14">
        <f t="shared" si="16"/>
        <v>2450.8572738727503</v>
      </c>
      <c r="J142" s="19">
        <f t="shared" si="17"/>
        <v>926906.86877260869</v>
      </c>
      <c r="K142" s="16">
        <f t="shared" si="15"/>
        <v>0.92755615808326697</v>
      </c>
    </row>
    <row r="143" spans="1:11" x14ac:dyDescent="0.15">
      <c r="A143" s="7">
        <v>39235.49590277778</v>
      </c>
      <c r="B143">
        <v>51.9</v>
      </c>
      <c r="C143" s="6">
        <f t="shared" si="9"/>
        <v>246.00000029895455</v>
      </c>
      <c r="D143" t="str">
        <f t="shared" si="10"/>
        <v/>
      </c>
      <c r="E143">
        <f t="shared" si="12"/>
        <v>39235.49590277778</v>
      </c>
      <c r="F143" s="4">
        <f t="shared" si="11"/>
        <v>12.299999999999997</v>
      </c>
      <c r="G143" s="4">
        <f t="shared" si="13"/>
        <v>6.1499999999999986</v>
      </c>
      <c r="H143" s="5">
        <f t="shared" si="14"/>
        <v>12.750002980465066</v>
      </c>
      <c r="I143" s="14">
        <f t="shared" si="16"/>
        <v>2367.30606544907</v>
      </c>
      <c r="J143" s="19">
        <f t="shared" si="17"/>
        <v>929274.17483805772</v>
      </c>
      <c r="K143" s="16">
        <f t="shared" si="15"/>
        <v>0.92992512242375436</v>
      </c>
    </row>
    <row r="144" spans="1:11" x14ac:dyDescent="0.15">
      <c r="A144" s="7">
        <v>39235.495925925927</v>
      </c>
      <c r="B144">
        <v>51.4</v>
      </c>
      <c r="C144" s="6">
        <f t="shared" si="9"/>
        <v>248.00000013783574</v>
      </c>
      <c r="D144" t="str">
        <f t="shared" si="10"/>
        <v/>
      </c>
      <c r="E144">
        <f t="shared" si="12"/>
        <v>39235.495925925927</v>
      </c>
      <c r="F144" s="4">
        <f t="shared" si="11"/>
        <v>11.799999999999997</v>
      </c>
      <c r="G144" s="4">
        <f t="shared" si="13"/>
        <v>5.8999999999999986</v>
      </c>
      <c r="H144" s="5">
        <f t="shared" si="14"/>
        <v>12.049999029259194</v>
      </c>
      <c r="I144" s="14">
        <f t="shared" si="16"/>
        <v>2237.3356174368664</v>
      </c>
      <c r="J144" s="19">
        <f t="shared" si="17"/>
        <v>931511.51045549463</v>
      </c>
      <c r="K144" s="16">
        <f t="shared" si="15"/>
        <v>0.93216402527318587</v>
      </c>
    </row>
    <row r="145" spans="1:11" x14ac:dyDescent="0.15">
      <c r="A145" s="7">
        <v>39235.495949074073</v>
      </c>
      <c r="B145">
        <v>50.8</v>
      </c>
      <c r="C145" s="6">
        <f t="shared" si="9"/>
        <v>249.99999997671694</v>
      </c>
      <c r="D145" t="str">
        <f t="shared" si="10"/>
        <v/>
      </c>
      <c r="E145">
        <f t="shared" si="12"/>
        <v>39235.495949074073</v>
      </c>
      <c r="F145" s="4">
        <f t="shared" si="11"/>
        <v>11.199999999999996</v>
      </c>
      <c r="G145" s="4">
        <f t="shared" si="13"/>
        <v>5.5999999999999979</v>
      </c>
      <c r="H145" s="5">
        <f t="shared" si="14"/>
        <v>11.499999073566865</v>
      </c>
      <c r="I145" s="14">
        <f t="shared" si="16"/>
        <v>2135.2165643588351</v>
      </c>
      <c r="J145" s="19">
        <f t="shared" si="17"/>
        <v>933646.72701985342</v>
      </c>
      <c r="K145" s="16">
        <f t="shared" si="15"/>
        <v>0.93430073753612874</v>
      </c>
    </row>
    <row r="146" spans="1:11" x14ac:dyDescent="0.15">
      <c r="A146" s="7">
        <v>39235.495972222219</v>
      </c>
      <c r="B146">
        <v>50.5</v>
      </c>
      <c r="C146" s="6">
        <f t="shared" si="9"/>
        <v>251.99999981559813</v>
      </c>
      <c r="D146" t="str">
        <f t="shared" si="10"/>
        <v/>
      </c>
      <c r="E146">
        <f t="shared" si="12"/>
        <v>39235.495972222219</v>
      </c>
      <c r="F146" s="4">
        <f t="shared" si="11"/>
        <v>10.899999999999999</v>
      </c>
      <c r="G146" s="4">
        <f t="shared" si="13"/>
        <v>5.4499999999999993</v>
      </c>
      <c r="H146" s="5">
        <f t="shared" si="14"/>
        <v>11.049999109818597</v>
      </c>
      <c r="I146" s="14">
        <f t="shared" si="16"/>
        <v>2051.664611840446</v>
      </c>
      <c r="J146" s="19">
        <f t="shared" si="17"/>
        <v>935698.39163169381</v>
      </c>
      <c r="K146" s="16">
        <f t="shared" si="15"/>
        <v>0.93635383931921723</v>
      </c>
    </row>
    <row r="147" spans="1:11" x14ac:dyDescent="0.15">
      <c r="A147" s="7">
        <v>39235.495995370373</v>
      </c>
      <c r="B147">
        <v>50.5</v>
      </c>
      <c r="C147" s="6">
        <f t="shared" si="9"/>
        <v>254.00000028312206</v>
      </c>
      <c r="D147" t="str">
        <f t="shared" si="10"/>
        <v/>
      </c>
      <c r="E147">
        <f t="shared" si="12"/>
        <v>39235.495995370373</v>
      </c>
      <c r="F147" s="4">
        <f t="shared" si="11"/>
        <v>10.899999999999999</v>
      </c>
      <c r="G147" s="4">
        <f t="shared" si="13"/>
        <v>5.4499999999999993</v>
      </c>
      <c r="H147" s="5">
        <f t="shared" si="14"/>
        <v>10.90000254800543</v>
      </c>
      <c r="I147" s="14">
        <f t="shared" si="16"/>
        <v>2023.8145971290091</v>
      </c>
      <c r="J147" s="19">
        <f t="shared" si="17"/>
        <v>937722.20622882282</v>
      </c>
      <c r="K147" s="16">
        <f t="shared" si="15"/>
        <v>0.93837907157892808</v>
      </c>
    </row>
    <row r="148" spans="1:11" x14ac:dyDescent="0.15">
      <c r="A148" s="7">
        <v>39235.496018518519</v>
      </c>
      <c r="B148">
        <v>49.4</v>
      </c>
      <c r="C148" s="6">
        <f t="shared" ref="C148:C211" si="18">(A148-$B$4)*24*60*60</f>
        <v>256.00000012200326</v>
      </c>
      <c r="D148" t="str">
        <f t="shared" ref="D148:D211" si="19">IF(F148=$B$8,A148,"")</f>
        <v/>
      </c>
      <c r="E148">
        <f t="shared" si="12"/>
        <v>39235.496018518519</v>
      </c>
      <c r="F148" s="4">
        <f t="shared" ref="F148:F211" si="20">IF((B148-$B$6)&gt;0,B148-$B$6,0)</f>
        <v>9.7999999999999972</v>
      </c>
      <c r="G148" s="4">
        <f t="shared" si="13"/>
        <v>4.8999999999999986</v>
      </c>
      <c r="H148" s="5">
        <f t="shared" si="14"/>
        <v>10.34999916621018</v>
      </c>
      <c r="I148" s="14">
        <f t="shared" si="16"/>
        <v>1921.6949079229519</v>
      </c>
      <c r="J148" s="19">
        <f t="shared" si="17"/>
        <v>939643.90113674582</v>
      </c>
      <c r="K148" s="16">
        <f t="shared" si="15"/>
        <v>0.94030211261557672</v>
      </c>
    </row>
    <row r="149" spans="1:11" x14ac:dyDescent="0.15">
      <c r="A149" s="7">
        <v>39235.496041666665</v>
      </c>
      <c r="B149">
        <v>49.1</v>
      </c>
      <c r="C149" s="6">
        <f t="shared" si="18"/>
        <v>257.99999996088445</v>
      </c>
      <c r="D149" t="str">
        <f t="shared" si="19"/>
        <v/>
      </c>
      <c r="E149">
        <f t="shared" ref="E149:E212" si="21">IF(B149-$B$6&gt;0,A149," ")</f>
        <v>39235.496041666665</v>
      </c>
      <c r="F149" s="4">
        <f t="shared" si="20"/>
        <v>9.5</v>
      </c>
      <c r="G149" s="4">
        <f t="shared" ref="G149:G212" si="22">F149/2</f>
        <v>4.75</v>
      </c>
      <c r="H149" s="5">
        <f t="shared" ref="H149:H212" si="23">AVERAGE(G148:G149)*(C149-C148)</f>
        <v>9.6499992226017621</v>
      </c>
      <c r="I149" s="14">
        <f t="shared" si="16"/>
        <v>1791.7252040054575</v>
      </c>
      <c r="J149" s="19">
        <f t="shared" si="17"/>
        <v>941435.6263407513</v>
      </c>
      <c r="K149" s="16">
        <f t="shared" ref="K149:K212" si="24">J149/($B$12*1000)</f>
        <v>0.9420950929057853</v>
      </c>
    </row>
    <row r="150" spans="1:11" x14ac:dyDescent="0.15">
      <c r="A150" s="7">
        <v>39235.496064814812</v>
      </c>
      <c r="B150">
        <v>48.8</v>
      </c>
      <c r="C150" s="6">
        <f t="shared" si="18"/>
        <v>259.99999979976565</v>
      </c>
      <c r="D150" t="str">
        <f t="shared" si="19"/>
        <v/>
      </c>
      <c r="E150">
        <f t="shared" si="21"/>
        <v>39235.496064814812</v>
      </c>
      <c r="F150" s="4">
        <f t="shared" si="20"/>
        <v>9.1999999999999957</v>
      </c>
      <c r="G150" s="4">
        <f t="shared" si="22"/>
        <v>4.5999999999999979</v>
      </c>
      <c r="H150" s="5">
        <f t="shared" si="23"/>
        <v>9.3499992467695829</v>
      </c>
      <c r="I150" s="14">
        <f t="shared" ref="I150:I213" si="25">H150*$B$14</f>
        <v>1736.0239023265315</v>
      </c>
      <c r="J150" s="19">
        <f t="shared" ref="J150:J213" si="26">J149+I150</f>
        <v>943171.65024307789</v>
      </c>
      <c r="K150" s="16">
        <f t="shared" si="24"/>
        <v>0.94383233287609114</v>
      </c>
    </row>
    <row r="151" spans="1:11" x14ac:dyDescent="0.15">
      <c r="A151" s="7">
        <v>39235.496087962965</v>
      </c>
      <c r="B151">
        <v>48.8</v>
      </c>
      <c r="C151" s="6">
        <f t="shared" si="18"/>
        <v>262.00000026728958</v>
      </c>
      <c r="D151" t="str">
        <f t="shared" si="19"/>
        <v/>
      </c>
      <c r="E151">
        <f t="shared" si="21"/>
        <v>39235.496087962965</v>
      </c>
      <c r="F151" s="4">
        <f t="shared" si="20"/>
        <v>9.1999999999999957</v>
      </c>
      <c r="G151" s="4">
        <f t="shared" si="22"/>
        <v>4.5999999999999979</v>
      </c>
      <c r="H151" s="5">
        <f t="shared" si="23"/>
        <v>9.2000021506100857</v>
      </c>
      <c r="I151" s="14">
        <f t="shared" si="25"/>
        <v>1708.173788402466</v>
      </c>
      <c r="J151" s="19">
        <f t="shared" si="26"/>
        <v>944879.82403148036</v>
      </c>
      <c r="K151" s="16">
        <f t="shared" si="24"/>
        <v>0.94554170322373698</v>
      </c>
    </row>
    <row r="152" spans="1:11" x14ac:dyDescent="0.15">
      <c r="A152" s="7">
        <v>39235.496111111112</v>
      </c>
      <c r="B152">
        <v>48.5</v>
      </c>
      <c r="C152" s="6">
        <f t="shared" si="18"/>
        <v>264.00000010617077</v>
      </c>
      <c r="D152" t="str">
        <f t="shared" si="19"/>
        <v/>
      </c>
      <c r="E152">
        <f t="shared" si="21"/>
        <v>39235.496111111112</v>
      </c>
      <c r="F152" s="4">
        <f t="shared" si="20"/>
        <v>8.8999999999999986</v>
      </c>
      <c r="G152" s="4">
        <f t="shared" si="22"/>
        <v>4.4499999999999993</v>
      </c>
      <c r="H152" s="5">
        <f t="shared" si="23"/>
        <v>9.049999270937402</v>
      </c>
      <c r="I152" s="14">
        <f t="shared" si="25"/>
        <v>1680.322600647605</v>
      </c>
      <c r="J152" s="19">
        <f t="shared" si="26"/>
        <v>946560.14663212793</v>
      </c>
      <c r="K152" s="16">
        <f t="shared" si="24"/>
        <v>0.94722320287413986</v>
      </c>
    </row>
    <row r="153" spans="1:11" x14ac:dyDescent="0.15">
      <c r="A153" s="7">
        <v>39235.496134259258</v>
      </c>
      <c r="B153">
        <v>48.3</v>
      </c>
      <c r="C153" s="6">
        <f t="shared" si="18"/>
        <v>265.99999994505197</v>
      </c>
      <c r="D153" t="str">
        <f t="shared" si="19"/>
        <v/>
      </c>
      <c r="E153">
        <f t="shared" si="21"/>
        <v>39235.496134259258</v>
      </c>
      <c r="F153" s="4">
        <f t="shared" si="20"/>
        <v>8.6999999999999957</v>
      </c>
      <c r="G153" s="4">
        <f t="shared" si="22"/>
        <v>4.3499999999999979</v>
      </c>
      <c r="H153" s="5">
        <f t="shared" si="23"/>
        <v>8.7999992910772526</v>
      </c>
      <c r="I153" s="14">
        <f t="shared" si="25"/>
        <v>1633.9048492484999</v>
      </c>
      <c r="J153" s="19">
        <f t="shared" si="26"/>
        <v>948194.0514813764</v>
      </c>
      <c r="K153" s="16">
        <f t="shared" si="24"/>
        <v>0.94885825225795695</v>
      </c>
    </row>
    <row r="154" spans="1:11" x14ac:dyDescent="0.15">
      <c r="A154" s="7">
        <v>39235.496157407404</v>
      </c>
      <c r="B154">
        <v>47.7</v>
      </c>
      <c r="C154" s="6">
        <f t="shared" si="18"/>
        <v>267.99999978393316</v>
      </c>
      <c r="D154" t="str">
        <f t="shared" si="19"/>
        <v/>
      </c>
      <c r="E154">
        <f t="shared" si="21"/>
        <v>39235.496157407404</v>
      </c>
      <c r="F154" s="4">
        <f t="shared" si="20"/>
        <v>8.1000000000000014</v>
      </c>
      <c r="G154" s="4">
        <f t="shared" si="22"/>
        <v>4.0500000000000007</v>
      </c>
      <c r="H154" s="5">
        <f t="shared" si="23"/>
        <v>8.3999993233010155</v>
      </c>
      <c r="I154" s="14">
        <f t="shared" si="25"/>
        <v>1559.636447009932</v>
      </c>
      <c r="J154" s="19">
        <f t="shared" si="26"/>
        <v>949753.68792838638</v>
      </c>
      <c r="K154" s="16">
        <f t="shared" si="24"/>
        <v>0.95041898121523705</v>
      </c>
    </row>
    <row r="155" spans="1:11" x14ac:dyDescent="0.15">
      <c r="A155" s="7">
        <v>39235.496180555558</v>
      </c>
      <c r="B155">
        <v>47.4</v>
      </c>
      <c r="C155" s="6">
        <f t="shared" si="18"/>
        <v>270.0000002514571</v>
      </c>
      <c r="D155" t="str">
        <f t="shared" si="19"/>
        <v/>
      </c>
      <c r="E155">
        <f t="shared" si="21"/>
        <v>39235.496180555558</v>
      </c>
      <c r="F155" s="4">
        <f t="shared" si="20"/>
        <v>7.7999999999999972</v>
      </c>
      <c r="G155" s="4">
        <f t="shared" si="22"/>
        <v>3.8999999999999986</v>
      </c>
      <c r="H155" s="5">
        <f t="shared" si="23"/>
        <v>7.9500018584076306</v>
      </c>
      <c r="I155" s="14">
        <f t="shared" si="25"/>
        <v>1476.0849584564792</v>
      </c>
      <c r="J155" s="19">
        <f t="shared" si="26"/>
        <v>951229.77288684284</v>
      </c>
      <c r="K155" s="16">
        <f t="shared" si="24"/>
        <v>0.9518961001569527</v>
      </c>
    </row>
    <row r="156" spans="1:11" x14ac:dyDescent="0.15">
      <c r="A156" s="7">
        <v>39235.496203703704</v>
      </c>
      <c r="B156">
        <v>46.8</v>
      </c>
      <c r="C156" s="6">
        <f t="shared" si="18"/>
        <v>272.00000009033829</v>
      </c>
      <c r="D156" t="str">
        <f t="shared" si="19"/>
        <v/>
      </c>
      <c r="E156">
        <f t="shared" si="21"/>
        <v>39235.496203703704</v>
      </c>
      <c r="F156" s="4">
        <f t="shared" si="20"/>
        <v>7.1999999999999957</v>
      </c>
      <c r="G156" s="4">
        <f t="shared" si="22"/>
        <v>3.5999999999999979</v>
      </c>
      <c r="H156" s="5">
        <f t="shared" si="23"/>
        <v>7.4999993958044762</v>
      </c>
      <c r="I156" s="14">
        <f t="shared" si="25"/>
        <v>1392.5325419731532</v>
      </c>
      <c r="J156" s="19">
        <f t="shared" si="26"/>
        <v>952622.30542881601</v>
      </c>
      <c r="K156" s="16">
        <f t="shared" si="24"/>
        <v>0.95328960815452413</v>
      </c>
    </row>
    <row r="157" spans="1:11" x14ac:dyDescent="0.15">
      <c r="A157" s="7">
        <v>39235.49622685185</v>
      </c>
      <c r="B157">
        <v>47</v>
      </c>
      <c r="C157" s="6">
        <f t="shared" si="18"/>
        <v>273.99999992921948</v>
      </c>
      <c r="D157" t="str">
        <f t="shared" si="19"/>
        <v/>
      </c>
      <c r="E157">
        <f t="shared" si="21"/>
        <v>39235.49622685185</v>
      </c>
      <c r="F157" s="4">
        <f t="shared" si="20"/>
        <v>7.3999999999999986</v>
      </c>
      <c r="G157" s="4">
        <f t="shared" si="22"/>
        <v>3.6999999999999993</v>
      </c>
      <c r="H157" s="5">
        <f t="shared" si="23"/>
        <v>7.2999994119163576</v>
      </c>
      <c r="I157" s="14">
        <f t="shared" si="25"/>
        <v>1355.3983408538693</v>
      </c>
      <c r="J157" s="19">
        <f t="shared" si="26"/>
        <v>953977.70376966987</v>
      </c>
      <c r="K157" s="16">
        <f t="shared" si="24"/>
        <v>0.95464595593882706</v>
      </c>
    </row>
    <row r="158" spans="1:11" x14ac:dyDescent="0.15">
      <c r="A158" s="7">
        <v>39235.496249999997</v>
      </c>
      <c r="B158">
        <v>46.8</v>
      </c>
      <c r="C158" s="6">
        <f t="shared" si="18"/>
        <v>275.99999976810068</v>
      </c>
      <c r="D158" t="str">
        <f t="shared" si="19"/>
        <v/>
      </c>
      <c r="E158">
        <f t="shared" si="21"/>
        <v>39235.496249999997</v>
      </c>
      <c r="F158" s="4">
        <f t="shared" si="20"/>
        <v>7.1999999999999957</v>
      </c>
      <c r="G158" s="4">
        <f t="shared" si="22"/>
        <v>3.5999999999999979</v>
      </c>
      <c r="H158" s="5">
        <f t="shared" si="23"/>
        <v>7.2999994119163576</v>
      </c>
      <c r="I158" s="14">
        <f t="shared" si="25"/>
        <v>1355.3983408538693</v>
      </c>
      <c r="J158" s="19">
        <f t="shared" si="26"/>
        <v>955333.10211052373</v>
      </c>
      <c r="K158" s="16">
        <f t="shared" si="24"/>
        <v>0.95600230372312989</v>
      </c>
    </row>
    <row r="159" spans="1:11" x14ac:dyDescent="0.15">
      <c r="A159" s="7">
        <v>39235.49627314815</v>
      </c>
      <c r="B159">
        <v>46.4</v>
      </c>
      <c r="C159" s="6">
        <f t="shared" si="18"/>
        <v>278.00000023562461</v>
      </c>
      <c r="D159" t="str">
        <f t="shared" si="19"/>
        <v/>
      </c>
      <c r="E159">
        <f t="shared" si="21"/>
        <v>39235.49627314815</v>
      </c>
      <c r="F159" s="4">
        <f t="shared" si="20"/>
        <v>6.7999999999999972</v>
      </c>
      <c r="G159" s="4">
        <f t="shared" si="22"/>
        <v>3.3999999999999986</v>
      </c>
      <c r="H159" s="5">
        <f t="shared" si="23"/>
        <v>7.00000163633376</v>
      </c>
      <c r="I159" s="14">
        <f t="shared" si="25"/>
        <v>1299.6974476975283</v>
      </c>
      <c r="J159" s="19">
        <f t="shared" si="26"/>
        <v>956632.79955822125</v>
      </c>
      <c r="K159" s="16">
        <f t="shared" si="24"/>
        <v>0.95730291159633873</v>
      </c>
    </row>
    <row r="160" spans="1:11" x14ac:dyDescent="0.15">
      <c r="A160" s="7">
        <v>39235.496296296296</v>
      </c>
      <c r="B160">
        <v>46.3</v>
      </c>
      <c r="C160" s="6">
        <f t="shared" si="18"/>
        <v>280.00000007450581</v>
      </c>
      <c r="D160" t="str">
        <f t="shared" si="19"/>
        <v/>
      </c>
      <c r="E160">
        <f t="shared" si="21"/>
        <v>39235.496296296296</v>
      </c>
      <c r="F160" s="4">
        <f t="shared" si="20"/>
        <v>6.6999999999999957</v>
      </c>
      <c r="G160" s="4">
        <f t="shared" si="22"/>
        <v>3.3499999999999979</v>
      </c>
      <c r="H160" s="5">
        <f t="shared" si="23"/>
        <v>6.7499994562240282</v>
      </c>
      <c r="I160" s="14">
        <f t="shared" si="25"/>
        <v>1253.2792877758377</v>
      </c>
      <c r="J160" s="19">
        <f t="shared" si="26"/>
        <v>957886.07884599711</v>
      </c>
      <c r="K160" s="16">
        <f t="shared" si="24"/>
        <v>0.95855706879415303</v>
      </c>
    </row>
    <row r="161" spans="1:11" x14ac:dyDescent="0.15">
      <c r="A161" s="7">
        <v>39235.496319444443</v>
      </c>
      <c r="B161">
        <v>46</v>
      </c>
      <c r="C161" s="6">
        <f t="shared" si="18"/>
        <v>281.999999913387</v>
      </c>
      <c r="D161" t="str">
        <f t="shared" si="19"/>
        <v/>
      </c>
      <c r="E161">
        <f t="shared" si="21"/>
        <v>39235.496319444443</v>
      </c>
      <c r="F161" s="4">
        <f t="shared" si="20"/>
        <v>6.3999999999999986</v>
      </c>
      <c r="G161" s="4">
        <f t="shared" si="22"/>
        <v>3.1999999999999993</v>
      </c>
      <c r="H161" s="5">
        <f t="shared" si="23"/>
        <v>6.5499994723359096</v>
      </c>
      <c r="I161" s="14">
        <f t="shared" si="25"/>
        <v>1216.1450866565538</v>
      </c>
      <c r="J161" s="19">
        <f t="shared" si="26"/>
        <v>959102.22393265367</v>
      </c>
      <c r="K161" s="16">
        <f t="shared" si="24"/>
        <v>0.95977406577869873</v>
      </c>
    </row>
    <row r="162" spans="1:11" x14ac:dyDescent="0.15">
      <c r="A162" s="7">
        <v>39235.496342592596</v>
      </c>
      <c r="B162">
        <v>45.7</v>
      </c>
      <c r="C162" s="6">
        <f t="shared" si="18"/>
        <v>284.00000038091093</v>
      </c>
      <c r="D162" t="str">
        <f t="shared" si="19"/>
        <v/>
      </c>
      <c r="E162">
        <f t="shared" si="21"/>
        <v>39235.496342592596</v>
      </c>
      <c r="F162" s="4">
        <f t="shared" si="20"/>
        <v>6.1000000000000014</v>
      </c>
      <c r="G162" s="4">
        <f t="shared" si="22"/>
        <v>3.0500000000000007</v>
      </c>
      <c r="H162" s="5">
        <f t="shared" si="23"/>
        <v>6.2500014610122889</v>
      </c>
      <c r="I162" s="14">
        <f t="shared" si="25"/>
        <v>1160.4441497299367</v>
      </c>
      <c r="J162" s="19">
        <f t="shared" si="26"/>
        <v>960262.66808238358</v>
      </c>
      <c r="K162" s="16">
        <f t="shared" si="24"/>
        <v>0.96093532280834937</v>
      </c>
    </row>
    <row r="163" spans="1:11" x14ac:dyDescent="0.15">
      <c r="A163" s="7">
        <v>39235.496365740742</v>
      </c>
      <c r="B163">
        <v>45.7</v>
      </c>
      <c r="C163" s="6">
        <f t="shared" si="18"/>
        <v>286.00000021979213</v>
      </c>
      <c r="D163" t="str">
        <f t="shared" si="19"/>
        <v/>
      </c>
      <c r="E163">
        <f t="shared" si="21"/>
        <v>39235.496365740742</v>
      </c>
      <c r="F163" s="4">
        <f t="shared" si="20"/>
        <v>6.1000000000000014</v>
      </c>
      <c r="G163" s="4">
        <f t="shared" si="22"/>
        <v>3.0500000000000007</v>
      </c>
      <c r="H163" s="5">
        <f t="shared" si="23"/>
        <v>6.0999995085876453</v>
      </c>
      <c r="I163" s="14">
        <f t="shared" si="25"/>
        <v>1132.5931341381654</v>
      </c>
      <c r="J163" s="19">
        <f t="shared" si="26"/>
        <v>961395.26121652173</v>
      </c>
      <c r="K163" s="16">
        <f t="shared" si="24"/>
        <v>0.96206870931304089</v>
      </c>
    </row>
    <row r="164" spans="1:11" x14ac:dyDescent="0.15">
      <c r="A164" s="7">
        <v>39235.496388888889</v>
      </c>
      <c r="B164">
        <v>45.4</v>
      </c>
      <c r="C164" s="6">
        <f t="shared" si="18"/>
        <v>288.00000005867332</v>
      </c>
      <c r="D164" t="str">
        <f t="shared" si="19"/>
        <v/>
      </c>
      <c r="E164">
        <f t="shared" si="21"/>
        <v>39235.496388888889</v>
      </c>
      <c r="F164" s="4">
        <f t="shared" si="20"/>
        <v>5.7999999999999972</v>
      </c>
      <c r="G164" s="4">
        <f t="shared" si="22"/>
        <v>2.8999999999999986</v>
      </c>
      <c r="H164" s="5">
        <f t="shared" si="23"/>
        <v>5.949999520671553</v>
      </c>
      <c r="I164" s="14">
        <f t="shared" si="25"/>
        <v>1104.7424832987019</v>
      </c>
      <c r="J164" s="19">
        <f t="shared" si="26"/>
        <v>962500.00369982049</v>
      </c>
      <c r="K164" s="16">
        <f t="shared" si="24"/>
        <v>0.96317422565778088</v>
      </c>
    </row>
    <row r="165" spans="1:11" x14ac:dyDescent="0.15">
      <c r="A165" s="7">
        <v>39235.496412037035</v>
      </c>
      <c r="B165">
        <v>45.1</v>
      </c>
      <c r="C165" s="6">
        <f t="shared" si="18"/>
        <v>289.99999989755452</v>
      </c>
      <c r="D165" t="str">
        <f t="shared" si="19"/>
        <v/>
      </c>
      <c r="E165">
        <f t="shared" si="21"/>
        <v>39235.496412037035</v>
      </c>
      <c r="F165" s="4">
        <f t="shared" si="20"/>
        <v>5.5</v>
      </c>
      <c r="G165" s="4">
        <f t="shared" si="22"/>
        <v>2.75</v>
      </c>
      <c r="H165" s="5">
        <f t="shared" si="23"/>
        <v>5.6499995448393729</v>
      </c>
      <c r="I165" s="14">
        <f t="shared" si="25"/>
        <v>1049.0411816197754</v>
      </c>
      <c r="J165" s="19">
        <f t="shared" si="26"/>
        <v>963549.04488144023</v>
      </c>
      <c r="K165" s="16">
        <f t="shared" si="24"/>
        <v>0.96422400168261801</v>
      </c>
    </row>
    <row r="166" spans="1:11" x14ac:dyDescent="0.15">
      <c r="A166" s="7">
        <v>39235.496435185189</v>
      </c>
      <c r="B166">
        <v>44.8</v>
      </c>
      <c r="C166" s="6">
        <f t="shared" si="18"/>
        <v>292.00000036507845</v>
      </c>
      <c r="D166" t="str">
        <f t="shared" si="19"/>
        <v/>
      </c>
      <c r="E166">
        <f t="shared" si="21"/>
        <v>39235.496435185189</v>
      </c>
      <c r="F166" s="4">
        <f t="shared" si="20"/>
        <v>5.1999999999999957</v>
      </c>
      <c r="G166" s="4">
        <f t="shared" si="22"/>
        <v>2.5999999999999979</v>
      </c>
      <c r="H166" s="5">
        <f t="shared" si="23"/>
        <v>5.3500012506265175</v>
      </c>
      <c r="I166" s="14">
        <f t="shared" si="25"/>
        <v>993.34019216882541</v>
      </c>
      <c r="J166" s="19">
        <f t="shared" si="26"/>
        <v>964542.38507360907</v>
      </c>
      <c r="K166" s="16">
        <f t="shared" si="24"/>
        <v>0.96521803769999903</v>
      </c>
    </row>
    <row r="167" spans="1:11" x14ac:dyDescent="0.15">
      <c r="A167" s="7">
        <v>39235.496458333335</v>
      </c>
      <c r="B167">
        <v>44.8</v>
      </c>
      <c r="C167" s="6">
        <f t="shared" si="18"/>
        <v>294.00000020395964</v>
      </c>
      <c r="D167" t="str">
        <f t="shared" si="19"/>
        <v/>
      </c>
      <c r="E167">
        <f t="shared" si="21"/>
        <v>39235.496458333335</v>
      </c>
      <c r="F167" s="4">
        <f t="shared" si="20"/>
        <v>5.1999999999999957</v>
      </c>
      <c r="G167" s="4">
        <f t="shared" si="22"/>
        <v>2.5999999999999979</v>
      </c>
      <c r="H167" s="5">
        <f t="shared" si="23"/>
        <v>5.1999995810911015</v>
      </c>
      <c r="I167" s="14">
        <f t="shared" si="25"/>
        <v>965.48922910138583</v>
      </c>
      <c r="J167" s="19">
        <f t="shared" si="26"/>
        <v>965507.87430271041</v>
      </c>
      <c r="K167" s="16">
        <f t="shared" si="24"/>
        <v>0.96618420324498189</v>
      </c>
    </row>
    <row r="168" spans="1:11" x14ac:dyDescent="0.15">
      <c r="A168" s="7">
        <v>39235.496481481481</v>
      </c>
      <c r="B168">
        <v>44.5</v>
      </c>
      <c r="C168" s="6">
        <f t="shared" si="18"/>
        <v>296.00000004284084</v>
      </c>
      <c r="D168" t="str">
        <f t="shared" si="19"/>
        <v/>
      </c>
      <c r="E168">
        <f t="shared" si="21"/>
        <v>39235.496481481481</v>
      </c>
      <c r="F168" s="4">
        <f t="shared" si="20"/>
        <v>4.8999999999999986</v>
      </c>
      <c r="G168" s="4">
        <f t="shared" si="22"/>
        <v>2.4499999999999993</v>
      </c>
      <c r="H168" s="5">
        <f t="shared" si="23"/>
        <v>5.0499995931750137</v>
      </c>
      <c r="I168" s="14">
        <f t="shared" si="25"/>
        <v>937.63857826192304</v>
      </c>
      <c r="J168" s="19">
        <f t="shared" si="26"/>
        <v>966445.51288097235</v>
      </c>
      <c r="K168" s="16">
        <f t="shared" si="24"/>
        <v>0.96712249863001332</v>
      </c>
    </row>
    <row r="169" spans="1:11" x14ac:dyDescent="0.15">
      <c r="A169" s="7">
        <v>39235.496504629627</v>
      </c>
      <c r="B169">
        <v>44.7</v>
      </c>
      <c r="C169" s="6">
        <f t="shared" si="18"/>
        <v>297.99999988172203</v>
      </c>
      <c r="D169" t="str">
        <f t="shared" si="19"/>
        <v/>
      </c>
      <c r="E169">
        <f t="shared" si="21"/>
        <v>39235.496504629627</v>
      </c>
      <c r="F169" s="4">
        <f t="shared" si="20"/>
        <v>5.1000000000000014</v>
      </c>
      <c r="G169" s="4">
        <f t="shared" si="22"/>
        <v>2.5500000000000007</v>
      </c>
      <c r="H169" s="5">
        <f t="shared" si="23"/>
        <v>4.9999995972029865</v>
      </c>
      <c r="I169" s="14">
        <f t="shared" si="25"/>
        <v>928.35502798210257</v>
      </c>
      <c r="J169" s="19">
        <f t="shared" si="26"/>
        <v>967373.8679089545</v>
      </c>
      <c r="K169" s="16">
        <f t="shared" si="24"/>
        <v>0.96805150396172768</v>
      </c>
    </row>
    <row r="170" spans="1:11" x14ac:dyDescent="0.15">
      <c r="A170" s="7">
        <v>39235.496527777781</v>
      </c>
      <c r="B170">
        <v>44.3</v>
      </c>
      <c r="C170" s="6">
        <f t="shared" si="18"/>
        <v>300.00000034924597</v>
      </c>
      <c r="D170" t="str">
        <f t="shared" si="19"/>
        <v/>
      </c>
      <c r="E170">
        <f t="shared" si="21"/>
        <v>39235.496527777781</v>
      </c>
      <c r="F170" s="4">
        <f t="shared" si="20"/>
        <v>4.6999999999999957</v>
      </c>
      <c r="G170" s="4">
        <f t="shared" si="22"/>
        <v>2.3499999999999979</v>
      </c>
      <c r="H170" s="5">
        <f t="shared" si="23"/>
        <v>4.9000011454336327</v>
      </c>
      <c r="I170" s="14">
        <f t="shared" si="25"/>
        <v>909.78821338827004</v>
      </c>
      <c r="J170" s="19">
        <f t="shared" si="26"/>
        <v>968283.6561223428</v>
      </c>
      <c r="K170" s="16">
        <f t="shared" si="24"/>
        <v>0.96896192947297388</v>
      </c>
    </row>
    <row r="171" spans="1:11" x14ac:dyDescent="0.15">
      <c r="A171" s="7">
        <v>39235.496550925927</v>
      </c>
      <c r="B171">
        <v>44.1</v>
      </c>
      <c r="C171" s="6">
        <f t="shared" si="18"/>
        <v>302.00000018812716</v>
      </c>
      <c r="D171" t="str">
        <f t="shared" si="19"/>
        <v/>
      </c>
      <c r="E171">
        <f t="shared" si="21"/>
        <v>39235.496550925927</v>
      </c>
      <c r="F171" s="4">
        <f t="shared" si="20"/>
        <v>4.5</v>
      </c>
      <c r="G171" s="4">
        <f t="shared" si="22"/>
        <v>2.25</v>
      </c>
      <c r="H171" s="5">
        <f t="shared" si="23"/>
        <v>4.5999996294267458</v>
      </c>
      <c r="I171" s="14">
        <f t="shared" si="25"/>
        <v>854.086625743534</v>
      </c>
      <c r="J171" s="19">
        <f t="shared" si="26"/>
        <v>969137.74274808634</v>
      </c>
      <c r="K171" s="16">
        <f t="shared" si="24"/>
        <v>0.96981661437815103</v>
      </c>
    </row>
    <row r="172" spans="1:11" x14ac:dyDescent="0.15">
      <c r="A172" s="7">
        <v>39235.496574074074</v>
      </c>
      <c r="B172">
        <v>44</v>
      </c>
      <c r="C172" s="6">
        <f t="shared" si="18"/>
        <v>304.00000002700835</v>
      </c>
      <c r="D172" t="str">
        <f t="shared" si="19"/>
        <v/>
      </c>
      <c r="E172">
        <f t="shared" si="21"/>
        <v>39235.496574074074</v>
      </c>
      <c r="F172" s="4">
        <f t="shared" si="20"/>
        <v>4.3999999999999986</v>
      </c>
      <c r="G172" s="4">
        <f t="shared" si="22"/>
        <v>2.1999999999999993</v>
      </c>
      <c r="H172" s="5">
        <f t="shared" si="23"/>
        <v>4.4499996415106571</v>
      </c>
      <c r="I172" s="14">
        <f t="shared" si="25"/>
        <v>826.2359749040711</v>
      </c>
      <c r="J172" s="19">
        <f t="shared" si="26"/>
        <v>969963.97872299037</v>
      </c>
      <c r="K172" s="16">
        <f t="shared" si="24"/>
        <v>0.97064342912337676</v>
      </c>
    </row>
    <row r="173" spans="1:11" x14ac:dyDescent="0.15">
      <c r="A173" s="7">
        <v>39235.49659722222</v>
      </c>
      <c r="B173">
        <v>44</v>
      </c>
      <c r="C173" s="6">
        <f t="shared" si="18"/>
        <v>305.99999986588955</v>
      </c>
      <c r="D173" t="str">
        <f t="shared" si="19"/>
        <v/>
      </c>
      <c r="E173">
        <f t="shared" si="21"/>
        <v>39235.49659722222</v>
      </c>
      <c r="F173" s="4">
        <f t="shared" si="20"/>
        <v>4.3999999999999986</v>
      </c>
      <c r="G173" s="4">
        <f t="shared" si="22"/>
        <v>2.1999999999999993</v>
      </c>
      <c r="H173" s="5">
        <f t="shared" si="23"/>
        <v>4.3999996455386263</v>
      </c>
      <c r="I173" s="14">
        <f t="shared" si="25"/>
        <v>816.95242462424994</v>
      </c>
      <c r="J173" s="19">
        <f t="shared" si="26"/>
        <v>970780.93114761461</v>
      </c>
      <c r="K173" s="16">
        <f t="shared" si="24"/>
        <v>0.9714609538152853</v>
      </c>
    </row>
    <row r="174" spans="1:11" x14ac:dyDescent="0.15">
      <c r="A174" s="7">
        <v>39235.496620370373</v>
      </c>
      <c r="B174">
        <v>43.8</v>
      </c>
      <c r="C174" s="6">
        <f t="shared" si="18"/>
        <v>308.00000033341348</v>
      </c>
      <c r="D174" t="str">
        <f t="shared" si="19"/>
        <v/>
      </c>
      <c r="E174">
        <f t="shared" si="21"/>
        <v>39235.496620370373</v>
      </c>
      <c r="F174" s="4">
        <f t="shared" si="20"/>
        <v>4.1999999999999957</v>
      </c>
      <c r="G174" s="4">
        <f t="shared" si="22"/>
        <v>2.0999999999999979</v>
      </c>
      <c r="H174" s="5">
        <f t="shared" si="23"/>
        <v>4.3000010051764521</v>
      </c>
      <c r="I174" s="14">
        <f t="shared" si="25"/>
        <v>798.38557501419587</v>
      </c>
      <c r="J174" s="19">
        <f t="shared" si="26"/>
        <v>971579.31672262878</v>
      </c>
      <c r="K174" s="16">
        <f t="shared" si="24"/>
        <v>0.97225989865168494</v>
      </c>
    </row>
    <row r="175" spans="1:11" x14ac:dyDescent="0.15">
      <c r="A175" s="7">
        <v>39235.49664351852</v>
      </c>
      <c r="B175">
        <v>43.7</v>
      </c>
      <c r="C175" s="6">
        <f t="shared" si="18"/>
        <v>310.00000017229468</v>
      </c>
      <c r="D175" t="str">
        <f t="shared" si="19"/>
        <v/>
      </c>
      <c r="E175">
        <f t="shared" si="21"/>
        <v>39235.49664351852</v>
      </c>
      <c r="F175" s="4">
        <f t="shared" si="20"/>
        <v>4.1000000000000014</v>
      </c>
      <c r="G175" s="4">
        <f t="shared" si="22"/>
        <v>2.0500000000000007</v>
      </c>
      <c r="H175" s="5">
        <f t="shared" si="23"/>
        <v>4.149999665678477</v>
      </c>
      <c r="I175" s="14">
        <f t="shared" si="25"/>
        <v>770.53467322514484</v>
      </c>
      <c r="J175" s="19">
        <f t="shared" si="26"/>
        <v>972349.85139585391</v>
      </c>
      <c r="K175" s="16">
        <f t="shared" si="24"/>
        <v>0.97303097307700781</v>
      </c>
    </row>
    <row r="176" spans="1:11" x14ac:dyDescent="0.15">
      <c r="A176" s="7">
        <v>39235.496666666666</v>
      </c>
      <c r="B176">
        <v>43.5</v>
      </c>
      <c r="C176" s="6">
        <f t="shared" si="18"/>
        <v>312.00000001117587</v>
      </c>
      <c r="D176" t="str">
        <f t="shared" si="19"/>
        <v/>
      </c>
      <c r="E176">
        <f t="shared" si="21"/>
        <v>39235.496666666666</v>
      </c>
      <c r="F176" s="4">
        <f t="shared" si="20"/>
        <v>3.8999999999999986</v>
      </c>
      <c r="G176" s="4">
        <f t="shared" si="22"/>
        <v>1.9499999999999993</v>
      </c>
      <c r="H176" s="5">
        <f t="shared" si="23"/>
        <v>3.9999996777623892</v>
      </c>
      <c r="I176" s="14">
        <f t="shared" si="25"/>
        <v>742.68402238568206</v>
      </c>
      <c r="J176" s="19">
        <f t="shared" si="26"/>
        <v>973092.53541823954</v>
      </c>
      <c r="K176" s="16">
        <f t="shared" si="24"/>
        <v>0.97377417734237925</v>
      </c>
    </row>
    <row r="177" spans="1:11" x14ac:dyDescent="0.15">
      <c r="A177" s="7">
        <v>39235.496689814812</v>
      </c>
      <c r="B177">
        <v>43.7</v>
      </c>
      <c r="C177" s="6">
        <f t="shared" si="18"/>
        <v>313.99999985005707</v>
      </c>
      <c r="D177" t="str">
        <f t="shared" si="19"/>
        <v/>
      </c>
      <c r="E177">
        <f t="shared" si="21"/>
        <v>39235.496689814812</v>
      </c>
      <c r="F177" s="4">
        <f t="shared" si="20"/>
        <v>4.1000000000000014</v>
      </c>
      <c r="G177" s="4">
        <f t="shared" si="22"/>
        <v>2.0500000000000007</v>
      </c>
      <c r="H177" s="5">
        <f t="shared" si="23"/>
        <v>3.9999996777623892</v>
      </c>
      <c r="I177" s="14">
        <f t="shared" si="25"/>
        <v>742.68402238568206</v>
      </c>
      <c r="J177" s="19">
        <f t="shared" si="26"/>
        <v>973835.21944062517</v>
      </c>
      <c r="K177" s="16">
        <f t="shared" si="24"/>
        <v>0.97451738160775059</v>
      </c>
    </row>
    <row r="178" spans="1:11" x14ac:dyDescent="0.15">
      <c r="A178" s="7">
        <v>39235.496712962966</v>
      </c>
      <c r="B178">
        <v>43.3</v>
      </c>
      <c r="C178" s="6">
        <f t="shared" si="18"/>
        <v>316.000000317581</v>
      </c>
      <c r="D178" t="str">
        <f t="shared" si="19"/>
        <v/>
      </c>
      <c r="E178">
        <f t="shared" si="21"/>
        <v>39235.496712962966</v>
      </c>
      <c r="F178" s="4">
        <f t="shared" si="20"/>
        <v>3.6999999999999957</v>
      </c>
      <c r="G178" s="4">
        <f t="shared" si="22"/>
        <v>1.8499999999999979</v>
      </c>
      <c r="H178" s="5">
        <f t="shared" si="23"/>
        <v>3.900000911671667</v>
      </c>
      <c r="I178" s="14">
        <f t="shared" si="25"/>
        <v>724.11714943148024</v>
      </c>
      <c r="J178" s="19">
        <f t="shared" si="26"/>
        <v>974559.33659005666</v>
      </c>
      <c r="K178" s="16">
        <f t="shared" si="24"/>
        <v>0.97524200599425259</v>
      </c>
    </row>
    <row r="179" spans="1:11" x14ac:dyDescent="0.15">
      <c r="A179" s="7">
        <v>39235.496736111112</v>
      </c>
      <c r="B179">
        <v>43.1</v>
      </c>
      <c r="C179" s="6">
        <f t="shared" si="18"/>
        <v>318.00000015646219</v>
      </c>
      <c r="D179" t="str">
        <f t="shared" si="19"/>
        <v/>
      </c>
      <c r="E179">
        <f t="shared" si="21"/>
        <v>39235.496736111112</v>
      </c>
      <c r="F179" s="4">
        <f t="shared" si="20"/>
        <v>3.5</v>
      </c>
      <c r="G179" s="4">
        <f t="shared" si="22"/>
        <v>1.75</v>
      </c>
      <c r="H179" s="5">
        <f t="shared" si="23"/>
        <v>3.599999709986148</v>
      </c>
      <c r="I179" s="14">
        <f t="shared" si="25"/>
        <v>668.41562014711337</v>
      </c>
      <c r="J179" s="19">
        <f t="shared" si="26"/>
        <v>975227.75221020379</v>
      </c>
      <c r="K179" s="16">
        <f t="shared" si="24"/>
        <v>0.97591088983308694</v>
      </c>
    </row>
    <row r="180" spans="1:11" x14ac:dyDescent="0.15">
      <c r="A180" s="7">
        <v>39235.496759259258</v>
      </c>
      <c r="B180">
        <v>43.1</v>
      </c>
      <c r="C180" s="6">
        <f t="shared" si="18"/>
        <v>319.99999999534339</v>
      </c>
      <c r="D180" t="str">
        <f t="shared" si="19"/>
        <v/>
      </c>
      <c r="E180">
        <f t="shared" si="21"/>
        <v>39235.496759259258</v>
      </c>
      <c r="F180" s="4">
        <f t="shared" si="20"/>
        <v>3.5</v>
      </c>
      <c r="G180" s="4">
        <f t="shared" si="22"/>
        <v>1.75</v>
      </c>
      <c r="H180" s="5">
        <f t="shared" si="23"/>
        <v>3.4999997180420905</v>
      </c>
      <c r="I180" s="14">
        <f t="shared" si="25"/>
        <v>649.84851958747174</v>
      </c>
      <c r="J180" s="19">
        <f t="shared" si="26"/>
        <v>975877.60072979121</v>
      </c>
      <c r="K180" s="16">
        <f t="shared" si="24"/>
        <v>0.97656119356528692</v>
      </c>
    </row>
    <row r="181" spans="1:11" x14ac:dyDescent="0.15">
      <c r="A181" s="7">
        <v>39235.496782407405</v>
      </c>
      <c r="B181">
        <v>43</v>
      </c>
      <c r="C181" s="6">
        <f t="shared" si="18"/>
        <v>321.99999983422458</v>
      </c>
      <c r="D181" t="str">
        <f t="shared" si="19"/>
        <v/>
      </c>
      <c r="E181">
        <f t="shared" si="21"/>
        <v>39235.496782407405</v>
      </c>
      <c r="F181" s="4">
        <f t="shared" si="20"/>
        <v>3.3999999999999986</v>
      </c>
      <c r="G181" s="4">
        <f t="shared" si="22"/>
        <v>1.6999999999999993</v>
      </c>
      <c r="H181" s="5">
        <f t="shared" si="23"/>
        <v>3.4499997220700598</v>
      </c>
      <c r="I181" s="14">
        <f t="shared" si="25"/>
        <v>640.56496930765059</v>
      </c>
      <c r="J181" s="19">
        <f t="shared" si="26"/>
        <v>976518.16569909884</v>
      </c>
      <c r="K181" s="16">
        <f t="shared" si="24"/>
        <v>0.97720220724416973</v>
      </c>
    </row>
    <row r="182" spans="1:11" x14ac:dyDescent="0.15">
      <c r="A182" s="7">
        <v>39235.496805555558</v>
      </c>
      <c r="B182">
        <v>42.8</v>
      </c>
      <c r="C182" s="6">
        <f t="shared" si="18"/>
        <v>324.00000030174851</v>
      </c>
      <c r="D182" t="str">
        <f t="shared" si="19"/>
        <v/>
      </c>
      <c r="E182">
        <f t="shared" si="21"/>
        <v>39235.496805555558</v>
      </c>
      <c r="F182" s="4">
        <f t="shared" si="20"/>
        <v>3.1999999999999957</v>
      </c>
      <c r="G182" s="4">
        <f t="shared" si="22"/>
        <v>1.5999999999999979</v>
      </c>
      <c r="H182" s="5">
        <f t="shared" si="23"/>
        <v>3.3000007714144859</v>
      </c>
      <c r="I182" s="14">
        <f t="shared" si="25"/>
        <v>612.71451105740607</v>
      </c>
      <c r="J182" s="19">
        <f t="shared" si="26"/>
        <v>977130.8802101562</v>
      </c>
      <c r="K182" s="16">
        <f t="shared" si="24"/>
        <v>0.97781535095582528</v>
      </c>
    </row>
    <row r="183" spans="1:11" x14ac:dyDescent="0.15">
      <c r="A183" s="7">
        <v>39235.496828703705</v>
      </c>
      <c r="B183">
        <v>42.8</v>
      </c>
      <c r="C183" s="6">
        <f t="shared" si="18"/>
        <v>326.00000014062971</v>
      </c>
      <c r="D183" t="str">
        <f t="shared" si="19"/>
        <v/>
      </c>
      <c r="E183">
        <f t="shared" si="21"/>
        <v>39235.496828703705</v>
      </c>
      <c r="F183" s="4">
        <f t="shared" si="20"/>
        <v>3.1999999999999957</v>
      </c>
      <c r="G183" s="4">
        <f t="shared" si="22"/>
        <v>1.5999999999999979</v>
      </c>
      <c r="H183" s="5">
        <f t="shared" si="23"/>
        <v>3.1999997422099069</v>
      </c>
      <c r="I183" s="14">
        <f t="shared" si="25"/>
        <v>594.1472179085448</v>
      </c>
      <c r="J183" s="19">
        <f t="shared" si="26"/>
        <v>977725.02742806473</v>
      </c>
      <c r="K183" s="16">
        <f t="shared" si="24"/>
        <v>0.97840991436812241</v>
      </c>
    </row>
    <row r="184" spans="1:11" x14ac:dyDescent="0.15">
      <c r="A184" s="7">
        <v>39235.496851851851</v>
      </c>
      <c r="B184">
        <v>42.7</v>
      </c>
      <c r="C184" s="6">
        <f t="shared" si="18"/>
        <v>327.9999999795109</v>
      </c>
      <c r="D184" t="str">
        <f t="shared" si="19"/>
        <v/>
      </c>
      <c r="E184">
        <f t="shared" si="21"/>
        <v>39235.496851851851</v>
      </c>
      <c r="F184" s="4">
        <f t="shared" si="20"/>
        <v>3.1000000000000014</v>
      </c>
      <c r="G184" s="4">
        <f t="shared" si="22"/>
        <v>1.5500000000000007</v>
      </c>
      <c r="H184" s="5">
        <f t="shared" si="23"/>
        <v>3.1499997462378801</v>
      </c>
      <c r="I184" s="14">
        <f t="shared" si="25"/>
        <v>584.86366762872433</v>
      </c>
      <c r="J184" s="19">
        <f t="shared" si="26"/>
        <v>978309.89109569346</v>
      </c>
      <c r="K184" s="16">
        <f t="shared" si="24"/>
        <v>0.97899518772710248</v>
      </c>
    </row>
    <row r="185" spans="1:11" x14ac:dyDescent="0.15">
      <c r="A185" s="7">
        <v>39235.496874999997</v>
      </c>
      <c r="B185">
        <v>42.7</v>
      </c>
      <c r="C185" s="6">
        <f t="shared" si="18"/>
        <v>329.9999998183921</v>
      </c>
      <c r="D185" t="str">
        <f t="shared" si="19"/>
        <v/>
      </c>
      <c r="E185">
        <f t="shared" si="21"/>
        <v>39235.496874999997</v>
      </c>
      <c r="F185" s="4">
        <f t="shared" si="20"/>
        <v>3.1000000000000014</v>
      </c>
      <c r="G185" s="4">
        <f t="shared" si="22"/>
        <v>1.5500000000000007</v>
      </c>
      <c r="H185" s="5">
        <f t="shared" si="23"/>
        <v>3.0999997502658529</v>
      </c>
      <c r="I185" s="14">
        <f t="shared" si="25"/>
        <v>575.58011734890385</v>
      </c>
      <c r="J185" s="19">
        <f t="shared" si="26"/>
        <v>978885.47121304239</v>
      </c>
      <c r="K185" s="16">
        <f t="shared" si="24"/>
        <v>0.97957117103276536</v>
      </c>
    </row>
    <row r="186" spans="1:11" x14ac:dyDescent="0.15">
      <c r="A186" s="7">
        <v>39235.496898148151</v>
      </c>
      <c r="B186">
        <v>42.5</v>
      </c>
      <c r="C186" s="6">
        <f t="shared" si="18"/>
        <v>332.00000028591603</v>
      </c>
      <c r="D186" t="str">
        <f t="shared" si="19"/>
        <v/>
      </c>
      <c r="E186">
        <f t="shared" si="21"/>
        <v>39235.496898148151</v>
      </c>
      <c r="F186" s="4">
        <f t="shared" si="20"/>
        <v>2.8999999999999986</v>
      </c>
      <c r="G186" s="4">
        <f t="shared" si="22"/>
        <v>1.4499999999999993</v>
      </c>
      <c r="H186" s="5">
        <f t="shared" si="23"/>
        <v>3.0000007012858987</v>
      </c>
      <c r="I186" s="14">
        <f t="shared" si="25"/>
        <v>557.01319187036961</v>
      </c>
      <c r="J186" s="19">
        <f t="shared" si="26"/>
        <v>979442.4844049128</v>
      </c>
      <c r="K186" s="16">
        <f t="shared" si="24"/>
        <v>0.98012857440699774</v>
      </c>
    </row>
    <row r="187" spans="1:11" x14ac:dyDescent="0.15">
      <c r="A187" s="7">
        <v>39235.496921296297</v>
      </c>
      <c r="B187">
        <v>42.4</v>
      </c>
      <c r="C187" s="6">
        <f t="shared" si="18"/>
        <v>334.00000012479722</v>
      </c>
      <c r="D187" t="str">
        <f t="shared" si="19"/>
        <v/>
      </c>
      <c r="E187">
        <f t="shared" si="21"/>
        <v>39235.496921296297</v>
      </c>
      <c r="F187" s="4">
        <f t="shared" si="20"/>
        <v>2.7999999999999972</v>
      </c>
      <c r="G187" s="4">
        <f t="shared" si="22"/>
        <v>1.3999999999999986</v>
      </c>
      <c r="H187" s="5">
        <f t="shared" si="23"/>
        <v>2.8499997704057001</v>
      </c>
      <c r="I187" s="14">
        <f t="shared" si="25"/>
        <v>529.16236594979807</v>
      </c>
      <c r="J187" s="19">
        <f t="shared" si="26"/>
        <v>979971.64677086263</v>
      </c>
      <c r="K187" s="16">
        <f t="shared" si="24"/>
        <v>0.98065810744607484</v>
      </c>
    </row>
    <row r="188" spans="1:11" x14ac:dyDescent="0.15">
      <c r="A188" s="7">
        <v>39235.496944444443</v>
      </c>
      <c r="B188">
        <v>42.3</v>
      </c>
      <c r="C188" s="6">
        <f t="shared" si="18"/>
        <v>335.99999996367842</v>
      </c>
      <c r="D188" t="str">
        <f t="shared" si="19"/>
        <v/>
      </c>
      <c r="E188">
        <f t="shared" si="21"/>
        <v>39235.496944444443</v>
      </c>
      <c r="F188" s="4">
        <f t="shared" si="20"/>
        <v>2.6999999999999957</v>
      </c>
      <c r="G188" s="4">
        <f t="shared" si="22"/>
        <v>1.3499999999999979</v>
      </c>
      <c r="H188" s="5">
        <f t="shared" si="23"/>
        <v>2.749999778461639</v>
      </c>
      <c r="I188" s="14">
        <f t="shared" si="25"/>
        <v>510.59526539015576</v>
      </c>
      <c r="J188" s="19">
        <f t="shared" si="26"/>
        <v>980482.24203625275</v>
      </c>
      <c r="K188" s="16">
        <f t="shared" si="24"/>
        <v>0.9811690603785177</v>
      </c>
    </row>
    <row r="189" spans="1:11" x14ac:dyDescent="0.15">
      <c r="A189" s="7">
        <v>39235.496967592589</v>
      </c>
      <c r="B189">
        <v>42.1</v>
      </c>
      <c r="C189" s="6">
        <f t="shared" si="18"/>
        <v>337.99999980255961</v>
      </c>
      <c r="D189" t="str">
        <f t="shared" si="19"/>
        <v/>
      </c>
      <c r="E189">
        <f t="shared" si="21"/>
        <v>39235.496967592589</v>
      </c>
      <c r="F189" s="4">
        <f t="shared" si="20"/>
        <v>2.5</v>
      </c>
      <c r="G189" s="4">
        <f t="shared" si="22"/>
        <v>1.25</v>
      </c>
      <c r="H189" s="5">
        <f t="shared" si="23"/>
        <v>2.5999997905455507</v>
      </c>
      <c r="I189" s="14">
        <f t="shared" si="25"/>
        <v>482.74461455069292</v>
      </c>
      <c r="J189" s="19">
        <f t="shared" si="26"/>
        <v>980964.98665080348</v>
      </c>
      <c r="K189" s="16">
        <f t="shared" si="24"/>
        <v>0.98165214315100913</v>
      </c>
    </row>
    <row r="190" spans="1:11" x14ac:dyDescent="0.15">
      <c r="A190" s="7">
        <v>39235.496990740743</v>
      </c>
      <c r="B190">
        <v>42.1</v>
      </c>
      <c r="C190" s="6">
        <f t="shared" si="18"/>
        <v>340.00000027008355</v>
      </c>
      <c r="D190" t="str">
        <f t="shared" si="19"/>
        <v/>
      </c>
      <c r="E190">
        <f t="shared" si="21"/>
        <v>39235.496990740743</v>
      </c>
      <c r="F190" s="4">
        <f t="shared" si="20"/>
        <v>2.5</v>
      </c>
      <c r="G190" s="4">
        <f t="shared" si="22"/>
        <v>1.25</v>
      </c>
      <c r="H190" s="5">
        <f t="shared" si="23"/>
        <v>2.5000005844049156</v>
      </c>
      <c r="I190" s="14">
        <f t="shared" si="25"/>
        <v>464.17765989197466</v>
      </c>
      <c r="J190" s="19">
        <f t="shared" si="26"/>
        <v>981429.16431069549</v>
      </c>
      <c r="K190" s="16">
        <f t="shared" si="24"/>
        <v>0.98211664596286952</v>
      </c>
    </row>
    <row r="191" spans="1:11" x14ac:dyDescent="0.15">
      <c r="A191" s="7">
        <v>39235.497013888889</v>
      </c>
      <c r="B191">
        <v>42</v>
      </c>
      <c r="C191" s="6">
        <f t="shared" si="18"/>
        <v>342.00000010896474</v>
      </c>
      <c r="D191" t="str">
        <f t="shared" si="19"/>
        <v/>
      </c>
      <c r="E191">
        <f t="shared" si="21"/>
        <v>39235.497013888889</v>
      </c>
      <c r="F191" s="4">
        <f t="shared" si="20"/>
        <v>2.3999999999999986</v>
      </c>
      <c r="G191" s="4">
        <f t="shared" si="22"/>
        <v>1.1999999999999993</v>
      </c>
      <c r="H191" s="5">
        <f t="shared" si="23"/>
        <v>2.4499998026294625</v>
      </c>
      <c r="I191" s="14">
        <f t="shared" si="25"/>
        <v>454.89396371123007</v>
      </c>
      <c r="J191" s="19">
        <f t="shared" si="26"/>
        <v>981884.05827440671</v>
      </c>
      <c r="K191" s="16">
        <f t="shared" si="24"/>
        <v>0.98257185857540952</v>
      </c>
    </row>
    <row r="192" spans="1:11" x14ac:dyDescent="0.15">
      <c r="A192" s="7">
        <v>39235.497037037036</v>
      </c>
      <c r="B192">
        <v>42</v>
      </c>
      <c r="C192" s="6">
        <f t="shared" si="18"/>
        <v>343.99999994784594</v>
      </c>
      <c r="D192" t="str">
        <f t="shared" si="19"/>
        <v/>
      </c>
      <c r="E192">
        <f t="shared" si="21"/>
        <v>39235.497037037036</v>
      </c>
      <c r="F192" s="4">
        <f t="shared" si="20"/>
        <v>2.3999999999999986</v>
      </c>
      <c r="G192" s="4">
        <f t="shared" si="22"/>
        <v>1.1999999999999993</v>
      </c>
      <c r="H192" s="5">
        <f t="shared" si="23"/>
        <v>2.3999998066574322</v>
      </c>
      <c r="I192" s="14">
        <f t="shared" si="25"/>
        <v>445.61041343140897</v>
      </c>
      <c r="J192" s="19">
        <f t="shared" si="26"/>
        <v>982329.66868783813</v>
      </c>
      <c r="K192" s="16">
        <f t="shared" si="24"/>
        <v>0.98301778113463234</v>
      </c>
    </row>
    <row r="193" spans="1:11" x14ac:dyDescent="0.15">
      <c r="A193" s="7">
        <v>39235.497060185182</v>
      </c>
      <c r="B193">
        <v>41.8</v>
      </c>
      <c r="C193" s="6">
        <f t="shared" si="18"/>
        <v>345.99999978672713</v>
      </c>
      <c r="D193" t="str">
        <f t="shared" si="19"/>
        <v/>
      </c>
      <c r="E193">
        <f t="shared" si="21"/>
        <v>39235.497060185182</v>
      </c>
      <c r="F193" s="4">
        <f t="shared" si="20"/>
        <v>2.1999999999999957</v>
      </c>
      <c r="G193" s="4">
        <f t="shared" si="22"/>
        <v>1.0999999999999979</v>
      </c>
      <c r="H193" s="5">
        <f t="shared" si="23"/>
        <v>2.2999998147133711</v>
      </c>
      <c r="I193" s="14">
        <f t="shared" si="25"/>
        <v>427.04331287176666</v>
      </c>
      <c r="J193" s="19">
        <f t="shared" si="26"/>
        <v>982756.71200070984</v>
      </c>
      <c r="K193" s="16">
        <f t="shared" si="24"/>
        <v>0.98344512358722092</v>
      </c>
    </row>
    <row r="194" spans="1:11" x14ac:dyDescent="0.15">
      <c r="A194" s="7">
        <v>39235.497083333335</v>
      </c>
      <c r="B194">
        <v>41.8</v>
      </c>
      <c r="C194" s="6">
        <f t="shared" si="18"/>
        <v>348.00000025425106</v>
      </c>
      <c r="D194" t="str">
        <f t="shared" si="19"/>
        <v/>
      </c>
      <c r="E194">
        <f t="shared" si="21"/>
        <v>39235.497083333335</v>
      </c>
      <c r="F194" s="4">
        <f t="shared" si="20"/>
        <v>2.1999999999999957</v>
      </c>
      <c r="G194" s="4">
        <f t="shared" si="22"/>
        <v>1.0999999999999979</v>
      </c>
      <c r="H194" s="5">
        <f t="shared" si="23"/>
        <v>2.2000005142763213</v>
      </c>
      <c r="I194" s="14">
        <f t="shared" si="25"/>
        <v>408.47634070493689</v>
      </c>
      <c r="J194" s="19">
        <f t="shared" si="26"/>
        <v>983165.18834141479</v>
      </c>
      <c r="K194" s="16">
        <f t="shared" si="24"/>
        <v>0.98385388606165791</v>
      </c>
    </row>
    <row r="195" spans="1:11" x14ac:dyDescent="0.15">
      <c r="A195" s="7">
        <v>39235.497106481482</v>
      </c>
      <c r="B195">
        <v>41.8</v>
      </c>
      <c r="C195" s="6">
        <f t="shared" si="18"/>
        <v>350.00000009313226</v>
      </c>
      <c r="D195" t="str">
        <f t="shared" si="19"/>
        <v/>
      </c>
      <c r="E195">
        <f t="shared" si="21"/>
        <v>39235.497106481482</v>
      </c>
      <c r="F195" s="4">
        <f t="shared" si="20"/>
        <v>2.1999999999999957</v>
      </c>
      <c r="G195" s="4">
        <f t="shared" si="22"/>
        <v>1.0999999999999979</v>
      </c>
      <c r="H195" s="5">
        <f t="shared" si="23"/>
        <v>2.1999998227693096</v>
      </c>
      <c r="I195" s="14">
        <f t="shared" si="25"/>
        <v>408.47621231212429</v>
      </c>
      <c r="J195" s="19">
        <f t="shared" si="26"/>
        <v>983573.66455372691</v>
      </c>
      <c r="K195" s="16">
        <f t="shared" si="24"/>
        <v>0.98426264840761224</v>
      </c>
    </row>
    <row r="196" spans="1:11" x14ac:dyDescent="0.15">
      <c r="A196" s="7">
        <v>39235.497129629628</v>
      </c>
      <c r="B196">
        <v>41.7</v>
      </c>
      <c r="C196" s="6">
        <f t="shared" si="18"/>
        <v>351.99999993201345</v>
      </c>
      <c r="D196" t="str">
        <f t="shared" si="19"/>
        <v/>
      </c>
      <c r="E196">
        <f t="shared" si="21"/>
        <v>39235.497129629628</v>
      </c>
      <c r="F196" s="4">
        <f t="shared" si="20"/>
        <v>2.1000000000000014</v>
      </c>
      <c r="G196" s="4">
        <f t="shared" si="22"/>
        <v>1.0500000000000007</v>
      </c>
      <c r="H196" s="5">
        <f t="shared" si="23"/>
        <v>2.1499998267972829</v>
      </c>
      <c r="I196" s="14">
        <f t="shared" si="25"/>
        <v>399.19266203230387</v>
      </c>
      <c r="J196" s="19">
        <f t="shared" si="26"/>
        <v>983972.85721575923</v>
      </c>
      <c r="K196" s="16">
        <f t="shared" si="24"/>
        <v>0.98466212070024939</v>
      </c>
    </row>
    <row r="197" spans="1:11" x14ac:dyDescent="0.15">
      <c r="A197" s="7">
        <v>39235.497152777774</v>
      </c>
      <c r="B197">
        <v>41.7</v>
      </c>
      <c r="C197" s="6">
        <f t="shared" si="18"/>
        <v>353.99999977089465</v>
      </c>
      <c r="D197" t="str">
        <f t="shared" si="19"/>
        <v/>
      </c>
      <c r="E197">
        <f t="shared" si="21"/>
        <v>39235.497152777774</v>
      </c>
      <c r="F197" s="4">
        <f t="shared" si="20"/>
        <v>2.1000000000000014</v>
      </c>
      <c r="G197" s="4">
        <f t="shared" si="22"/>
        <v>1.0500000000000007</v>
      </c>
      <c r="H197" s="5">
        <f t="shared" si="23"/>
        <v>2.0999998308252557</v>
      </c>
      <c r="I197" s="14">
        <f t="shared" si="25"/>
        <v>389.90911175248334</v>
      </c>
      <c r="J197" s="19">
        <f t="shared" si="26"/>
        <v>984362.76632751175</v>
      </c>
      <c r="K197" s="16">
        <f t="shared" si="24"/>
        <v>0.98505230293956947</v>
      </c>
    </row>
    <row r="198" spans="1:11" x14ac:dyDescent="0.15">
      <c r="A198" s="7">
        <v>39235.497175925928</v>
      </c>
      <c r="B198">
        <v>41.7</v>
      </c>
      <c r="C198" s="6">
        <f t="shared" si="18"/>
        <v>356.00000023841858</v>
      </c>
      <c r="D198" t="str">
        <f t="shared" si="19"/>
        <v/>
      </c>
      <c r="E198">
        <f t="shared" si="21"/>
        <v>39235.497175925928</v>
      </c>
      <c r="F198" s="4">
        <f t="shared" si="20"/>
        <v>2.1000000000000014</v>
      </c>
      <c r="G198" s="4">
        <f t="shared" si="22"/>
        <v>1.0500000000000007</v>
      </c>
      <c r="H198" s="5">
        <f t="shared" si="23"/>
        <v>2.1000004909001304</v>
      </c>
      <c r="I198" s="14">
        <f t="shared" si="25"/>
        <v>389.90923430925898</v>
      </c>
      <c r="J198" s="19">
        <f t="shared" si="26"/>
        <v>984752.67556182097</v>
      </c>
      <c r="K198" s="16">
        <f t="shared" si="24"/>
        <v>0.985442485301532</v>
      </c>
    </row>
    <row r="199" spans="1:11" x14ac:dyDescent="0.15">
      <c r="A199" s="7">
        <v>39235.497199074074</v>
      </c>
      <c r="B199">
        <v>41.5</v>
      </c>
      <c r="C199" s="6">
        <f t="shared" si="18"/>
        <v>358.00000007729977</v>
      </c>
      <c r="D199" t="str">
        <f t="shared" si="19"/>
        <v/>
      </c>
      <c r="E199">
        <f t="shared" si="21"/>
        <v>39235.497199074074</v>
      </c>
      <c r="F199" s="4">
        <f t="shared" si="20"/>
        <v>1.8999999999999986</v>
      </c>
      <c r="G199" s="4">
        <f t="shared" si="22"/>
        <v>0.94999999999999929</v>
      </c>
      <c r="H199" s="5">
        <f t="shared" si="23"/>
        <v>1.9999998388811946</v>
      </c>
      <c r="I199" s="14">
        <f t="shared" si="25"/>
        <v>371.34201119284103</v>
      </c>
      <c r="J199" s="19">
        <f t="shared" si="26"/>
        <v>985124.01757301379</v>
      </c>
      <c r="K199" s="16">
        <f t="shared" si="24"/>
        <v>0.98581408743421772</v>
      </c>
    </row>
    <row r="200" spans="1:11" x14ac:dyDescent="0.15">
      <c r="A200" s="7">
        <v>39235.49722222222</v>
      </c>
      <c r="B200">
        <v>41.5</v>
      </c>
      <c r="C200" s="6">
        <f t="shared" si="18"/>
        <v>359.99999991618097</v>
      </c>
      <c r="D200" t="str">
        <f t="shared" si="19"/>
        <v/>
      </c>
      <c r="E200">
        <f t="shared" si="21"/>
        <v>39235.49722222222</v>
      </c>
      <c r="F200" s="4">
        <f t="shared" si="20"/>
        <v>1.8999999999999986</v>
      </c>
      <c r="G200" s="4">
        <f t="shared" si="22"/>
        <v>0.94999999999999929</v>
      </c>
      <c r="H200" s="5">
        <f t="shared" si="23"/>
        <v>1.8999998469371335</v>
      </c>
      <c r="I200" s="14">
        <f t="shared" si="25"/>
        <v>352.77491063319872</v>
      </c>
      <c r="J200" s="19">
        <f t="shared" si="26"/>
        <v>985476.792483647</v>
      </c>
      <c r="K200" s="16">
        <f t="shared" si="24"/>
        <v>0.9861671094602692</v>
      </c>
    </row>
    <row r="201" spans="1:11" x14ac:dyDescent="0.15">
      <c r="A201" s="7">
        <v>39235.497245370374</v>
      </c>
      <c r="B201">
        <v>41.4</v>
      </c>
      <c r="C201" s="6">
        <f t="shared" si="18"/>
        <v>362.0000003837049</v>
      </c>
      <c r="D201" t="str">
        <f t="shared" si="19"/>
        <v/>
      </c>
      <c r="E201">
        <f t="shared" si="21"/>
        <v>39235.497245370374</v>
      </c>
      <c r="F201" s="4">
        <f t="shared" si="20"/>
        <v>1.7999999999999972</v>
      </c>
      <c r="G201" s="4">
        <f t="shared" si="22"/>
        <v>0.89999999999999858</v>
      </c>
      <c r="H201" s="5">
        <f t="shared" si="23"/>
        <v>1.8500004324596353</v>
      </c>
      <c r="I201" s="14">
        <f t="shared" si="25"/>
        <v>343.49146832006085</v>
      </c>
      <c r="J201" s="19">
        <f t="shared" si="26"/>
        <v>985820.28395196702</v>
      </c>
      <c r="K201" s="16">
        <f t="shared" si="24"/>
        <v>0.98651084154104574</v>
      </c>
    </row>
    <row r="202" spans="1:11" x14ac:dyDescent="0.15">
      <c r="A202" s="7">
        <v>39235.49726851852</v>
      </c>
      <c r="B202">
        <v>41.4</v>
      </c>
      <c r="C202" s="6">
        <f t="shared" si="18"/>
        <v>364.0000002225861</v>
      </c>
      <c r="D202" t="str">
        <f t="shared" si="19"/>
        <v/>
      </c>
      <c r="E202">
        <f t="shared" si="21"/>
        <v>39235.49726851852</v>
      </c>
      <c r="F202" s="4">
        <f t="shared" si="20"/>
        <v>1.7999999999999972</v>
      </c>
      <c r="G202" s="4">
        <f t="shared" si="22"/>
        <v>0.89999999999999858</v>
      </c>
      <c r="H202" s="5">
        <f t="shared" si="23"/>
        <v>1.7999998549930722</v>
      </c>
      <c r="I202" s="14">
        <f t="shared" si="25"/>
        <v>334.2078100735564</v>
      </c>
      <c r="J202" s="19">
        <f t="shared" si="26"/>
        <v>986154.49176204053</v>
      </c>
      <c r="K202" s="16">
        <f t="shared" si="24"/>
        <v>0.98684528346046285</v>
      </c>
    </row>
    <row r="203" spans="1:11" x14ac:dyDescent="0.15">
      <c r="A203" s="7">
        <v>39235.497291666667</v>
      </c>
      <c r="B203">
        <v>41.4</v>
      </c>
      <c r="C203" s="6">
        <f t="shared" si="18"/>
        <v>366.00000006146729</v>
      </c>
      <c r="D203" t="str">
        <f t="shared" si="19"/>
        <v/>
      </c>
      <c r="E203">
        <f t="shared" si="21"/>
        <v>39235.497291666667</v>
      </c>
      <c r="F203" s="4">
        <f t="shared" si="20"/>
        <v>1.7999999999999972</v>
      </c>
      <c r="G203" s="4">
        <f t="shared" si="22"/>
        <v>0.89999999999999858</v>
      </c>
      <c r="H203" s="5">
        <f t="shared" si="23"/>
        <v>1.7999998549930722</v>
      </c>
      <c r="I203" s="14">
        <f t="shared" si="25"/>
        <v>334.2078100735564</v>
      </c>
      <c r="J203" s="19">
        <f t="shared" si="26"/>
        <v>986488.69957211404</v>
      </c>
      <c r="K203" s="16">
        <f t="shared" si="24"/>
        <v>0.98717972537987997</v>
      </c>
    </row>
    <row r="204" spans="1:11" x14ac:dyDescent="0.15">
      <c r="A204" s="7">
        <v>39235.497314814813</v>
      </c>
      <c r="B204">
        <v>41.3</v>
      </c>
      <c r="C204" s="6">
        <f t="shared" si="18"/>
        <v>367.99999990034848</v>
      </c>
      <c r="D204" t="str">
        <f t="shared" si="19"/>
        <v/>
      </c>
      <c r="E204">
        <f t="shared" si="21"/>
        <v>39235.497314814813</v>
      </c>
      <c r="F204" s="4">
        <f t="shared" si="20"/>
        <v>1.6999999999999957</v>
      </c>
      <c r="G204" s="4">
        <f t="shared" si="22"/>
        <v>0.84999999999999787</v>
      </c>
      <c r="H204" s="5">
        <f t="shared" si="23"/>
        <v>1.7499998590210417</v>
      </c>
      <c r="I204" s="14">
        <f t="shared" si="25"/>
        <v>324.92425979373525</v>
      </c>
      <c r="J204" s="19">
        <f t="shared" si="26"/>
        <v>986813.62383190775</v>
      </c>
      <c r="K204" s="16">
        <f t="shared" si="24"/>
        <v>0.98750487724597991</v>
      </c>
    </row>
    <row r="205" spans="1:11" x14ac:dyDescent="0.15">
      <c r="A205" s="7">
        <v>39235.497337962966</v>
      </c>
      <c r="B205">
        <v>41.4</v>
      </c>
      <c r="C205" s="6">
        <f t="shared" si="18"/>
        <v>370.00000036787242</v>
      </c>
      <c r="D205" t="str">
        <f t="shared" si="19"/>
        <v/>
      </c>
      <c r="E205">
        <f t="shared" si="21"/>
        <v>39235.497337962966</v>
      </c>
      <c r="F205" s="4">
        <f t="shared" si="20"/>
        <v>1.7999999999999972</v>
      </c>
      <c r="G205" s="4">
        <f t="shared" si="22"/>
        <v>0.89999999999999858</v>
      </c>
      <c r="H205" s="5">
        <f t="shared" si="23"/>
        <v>1.7500004090834373</v>
      </c>
      <c r="I205" s="14">
        <f t="shared" si="25"/>
        <v>324.92436192438157</v>
      </c>
      <c r="J205" s="19">
        <f t="shared" si="26"/>
        <v>987138.54819383216</v>
      </c>
      <c r="K205" s="16">
        <f t="shared" si="24"/>
        <v>0.9878300292142822</v>
      </c>
    </row>
    <row r="206" spans="1:11" x14ac:dyDescent="0.15">
      <c r="A206" s="7">
        <v>39235.497361111113</v>
      </c>
      <c r="B206">
        <v>41.3</v>
      </c>
      <c r="C206" s="6">
        <f t="shared" si="18"/>
        <v>372.00000020675361</v>
      </c>
      <c r="D206" t="str">
        <f t="shared" si="19"/>
        <v/>
      </c>
      <c r="E206">
        <f t="shared" si="21"/>
        <v>39235.497361111113</v>
      </c>
      <c r="F206" s="4">
        <f t="shared" si="20"/>
        <v>1.6999999999999957</v>
      </c>
      <c r="G206" s="4">
        <f t="shared" si="22"/>
        <v>0.84999999999999787</v>
      </c>
      <c r="H206" s="5">
        <f t="shared" si="23"/>
        <v>1.7499998590210417</v>
      </c>
      <c r="I206" s="14">
        <f t="shared" si="25"/>
        <v>324.92425979373525</v>
      </c>
      <c r="J206" s="19">
        <f t="shared" si="26"/>
        <v>987463.47245362587</v>
      </c>
      <c r="K206" s="16">
        <f t="shared" si="24"/>
        <v>0.98815518108038214</v>
      </c>
    </row>
    <row r="207" spans="1:11" x14ac:dyDescent="0.15">
      <c r="A207" s="7">
        <v>39235.497384259259</v>
      </c>
      <c r="B207">
        <v>41.4</v>
      </c>
      <c r="C207" s="6">
        <f t="shared" si="18"/>
        <v>374.00000004563481</v>
      </c>
      <c r="D207" t="str">
        <f t="shared" si="19"/>
        <v/>
      </c>
      <c r="E207">
        <f t="shared" si="21"/>
        <v>39235.497384259259</v>
      </c>
      <c r="F207" s="4">
        <f t="shared" si="20"/>
        <v>1.7999999999999972</v>
      </c>
      <c r="G207" s="4">
        <f t="shared" si="22"/>
        <v>0.89999999999999858</v>
      </c>
      <c r="H207" s="5">
        <f t="shared" si="23"/>
        <v>1.7499998590210417</v>
      </c>
      <c r="I207" s="14">
        <f t="shared" si="25"/>
        <v>324.92425979373525</v>
      </c>
      <c r="J207" s="19">
        <f t="shared" si="26"/>
        <v>987788.39671341958</v>
      </c>
      <c r="K207" s="16">
        <f t="shared" si="24"/>
        <v>0.98848033294648208</v>
      </c>
    </row>
    <row r="208" spans="1:11" x14ac:dyDescent="0.15">
      <c r="A208" s="7">
        <v>39235.497407407405</v>
      </c>
      <c r="B208">
        <v>41.1</v>
      </c>
      <c r="C208" s="6">
        <f t="shared" si="18"/>
        <v>375.999999884516</v>
      </c>
      <c r="D208" t="str">
        <f t="shared" si="19"/>
        <v/>
      </c>
      <c r="E208">
        <f t="shared" si="21"/>
        <v>39235.497407407405</v>
      </c>
      <c r="F208" s="4">
        <f t="shared" si="20"/>
        <v>1.5</v>
      </c>
      <c r="G208" s="4">
        <f t="shared" si="22"/>
        <v>0.75</v>
      </c>
      <c r="H208" s="5">
        <f t="shared" si="23"/>
        <v>1.6499998670769842</v>
      </c>
      <c r="I208" s="14">
        <f t="shared" si="25"/>
        <v>306.35715923409361</v>
      </c>
      <c r="J208" s="19">
        <f t="shared" si="26"/>
        <v>988094.7538726537</v>
      </c>
      <c r="K208" s="16">
        <f t="shared" si="24"/>
        <v>0.98878690470594788</v>
      </c>
    </row>
    <row r="209" spans="1:11" x14ac:dyDescent="0.15">
      <c r="A209" s="7">
        <v>39235.497430555559</v>
      </c>
      <c r="B209">
        <v>41</v>
      </c>
      <c r="C209" s="6">
        <f t="shared" si="18"/>
        <v>378.00000035203993</v>
      </c>
      <c r="D209" t="str">
        <f t="shared" si="19"/>
        <v/>
      </c>
      <c r="E209">
        <f t="shared" si="21"/>
        <v>39235.497430555559</v>
      </c>
      <c r="F209" s="4">
        <f t="shared" si="20"/>
        <v>1.3999999999999986</v>
      </c>
      <c r="G209" s="4">
        <f t="shared" si="22"/>
        <v>0.69999999999999929</v>
      </c>
      <c r="H209" s="5">
        <f t="shared" si="23"/>
        <v>1.4500003389548504</v>
      </c>
      <c r="I209" s="14">
        <f t="shared" si="25"/>
        <v>269.22304273734517</v>
      </c>
      <c r="J209" s="19">
        <f t="shared" si="26"/>
        <v>988363.97691539105</v>
      </c>
      <c r="K209" s="16">
        <f t="shared" si="24"/>
        <v>0.98905631633682678</v>
      </c>
    </row>
    <row r="210" spans="1:11" x14ac:dyDescent="0.15">
      <c r="A210" s="7">
        <v>39235.497453703705</v>
      </c>
      <c r="B210">
        <v>41.1</v>
      </c>
      <c r="C210" s="6">
        <f t="shared" si="18"/>
        <v>380.00000019092113</v>
      </c>
      <c r="D210" t="str">
        <f t="shared" si="19"/>
        <v/>
      </c>
      <c r="E210">
        <f t="shared" si="21"/>
        <v>39235.497453703705</v>
      </c>
      <c r="F210" s="4">
        <f t="shared" si="20"/>
        <v>1.5</v>
      </c>
      <c r="G210" s="4">
        <f t="shared" si="22"/>
        <v>0.75</v>
      </c>
      <c r="H210" s="5">
        <f t="shared" si="23"/>
        <v>1.4499998831888654</v>
      </c>
      <c r="I210" s="14">
        <f t="shared" si="25"/>
        <v>269.22295811480961</v>
      </c>
      <c r="J210" s="19">
        <f t="shared" si="26"/>
        <v>988633.19987350586</v>
      </c>
      <c r="K210" s="16">
        <f t="shared" si="24"/>
        <v>0.98932572788302398</v>
      </c>
    </row>
    <row r="211" spans="1:11" x14ac:dyDescent="0.15">
      <c r="A211" s="7">
        <v>39235.497476851851</v>
      </c>
      <c r="B211">
        <v>41</v>
      </c>
      <c r="C211" s="6">
        <f t="shared" si="18"/>
        <v>382.00000002980232</v>
      </c>
      <c r="D211" t="str">
        <f t="shared" si="19"/>
        <v/>
      </c>
      <c r="E211">
        <f t="shared" si="21"/>
        <v>39235.497476851851</v>
      </c>
      <c r="F211" s="4">
        <f t="shared" si="20"/>
        <v>1.3999999999999986</v>
      </c>
      <c r="G211" s="4">
        <f t="shared" si="22"/>
        <v>0.69999999999999929</v>
      </c>
      <c r="H211" s="5">
        <f t="shared" si="23"/>
        <v>1.4499998831888654</v>
      </c>
      <c r="I211" s="14">
        <f t="shared" si="25"/>
        <v>269.22295811480961</v>
      </c>
      <c r="J211" s="19">
        <f t="shared" si="26"/>
        <v>988902.42283162067</v>
      </c>
      <c r="K211" s="16">
        <f t="shared" si="24"/>
        <v>0.98959513942922117</v>
      </c>
    </row>
    <row r="212" spans="1:11" x14ac:dyDescent="0.15">
      <c r="A212" s="7">
        <v>39235.497499999998</v>
      </c>
      <c r="B212">
        <v>41.1</v>
      </c>
      <c r="C212" s="6">
        <f t="shared" ref="C212:C275" si="27">(A212-$B$4)*24*60*60</f>
        <v>383.99999986868352</v>
      </c>
      <c r="D212" t="str">
        <f t="shared" ref="D212:D275" si="28">IF(F212=$B$8,A212,"")</f>
        <v/>
      </c>
      <c r="E212">
        <f t="shared" si="21"/>
        <v>39235.497499999998</v>
      </c>
      <c r="F212" s="4">
        <f t="shared" ref="F212:F275" si="29">IF((B212-$B$6)&gt;0,B212-$B$6,0)</f>
        <v>1.5</v>
      </c>
      <c r="G212" s="4">
        <f t="shared" si="22"/>
        <v>0.75</v>
      </c>
      <c r="H212" s="5">
        <f t="shared" si="23"/>
        <v>1.4499998831888654</v>
      </c>
      <c r="I212" s="14">
        <f t="shared" si="25"/>
        <v>269.22295811480961</v>
      </c>
      <c r="J212" s="19">
        <f t="shared" si="26"/>
        <v>989171.64578973548</v>
      </c>
      <c r="K212" s="16">
        <f t="shared" si="24"/>
        <v>0.98986455097541826</v>
      </c>
    </row>
    <row r="213" spans="1:11" x14ac:dyDescent="0.15">
      <c r="A213" s="7">
        <v>39235.497523148151</v>
      </c>
      <c r="B213">
        <v>41</v>
      </c>
      <c r="C213" s="6">
        <f t="shared" si="27"/>
        <v>386.00000033620745</v>
      </c>
      <c r="D213" t="str">
        <f t="shared" si="28"/>
        <v/>
      </c>
      <c r="E213">
        <f t="shared" ref="E213:E276" si="30">IF(B213-$B$6&gt;0,A213," ")</f>
        <v>39235.497523148151</v>
      </c>
      <c r="F213" s="4">
        <f t="shared" si="29"/>
        <v>1.3999999999999986</v>
      </c>
      <c r="G213" s="4">
        <f t="shared" ref="G213:G276" si="31">F213/2</f>
        <v>0.69999999999999929</v>
      </c>
      <c r="H213" s="5">
        <f t="shared" ref="H213:H276" si="32">AVERAGE(G212:G213)*(C213-C212)</f>
        <v>1.4500003389548504</v>
      </c>
      <c r="I213" s="14">
        <f t="shared" si="25"/>
        <v>269.22304273734517</v>
      </c>
      <c r="J213" s="19">
        <f t="shared" si="26"/>
        <v>989440.86883247283</v>
      </c>
      <c r="K213" s="16">
        <f t="shared" ref="K213:K276" si="33">J213/($B$12*1000)</f>
        <v>0.99013396260629727</v>
      </c>
    </row>
    <row r="214" spans="1:11" x14ac:dyDescent="0.15">
      <c r="A214" s="7">
        <v>39235.497546296298</v>
      </c>
      <c r="B214">
        <v>40.799999999999997</v>
      </c>
      <c r="C214" s="6">
        <f t="shared" si="27"/>
        <v>388.00000017508864</v>
      </c>
      <c r="D214" t="str">
        <f t="shared" si="28"/>
        <v/>
      </c>
      <c r="E214">
        <f t="shared" si="30"/>
        <v>39235.497546296298</v>
      </c>
      <c r="F214" s="4">
        <f t="shared" si="29"/>
        <v>1.1999999999999957</v>
      </c>
      <c r="G214" s="4">
        <f t="shared" si="31"/>
        <v>0.59999999999999787</v>
      </c>
      <c r="H214" s="5">
        <f t="shared" si="32"/>
        <v>1.2999998952727736</v>
      </c>
      <c r="I214" s="14">
        <f t="shared" ref="I214:I277" si="34">H214*$B$14</f>
        <v>241.37230727534612</v>
      </c>
      <c r="J214" s="19">
        <f t="shared" ref="J214:J277" si="35">J213+I214</f>
        <v>989682.24113974813</v>
      </c>
      <c r="K214" s="16">
        <f t="shared" si="33"/>
        <v>0.99037550399254293</v>
      </c>
    </row>
    <row r="215" spans="1:11" x14ac:dyDescent="0.15">
      <c r="A215" s="7">
        <v>39235.497569444444</v>
      </c>
      <c r="B215">
        <v>40.799999999999997</v>
      </c>
      <c r="C215" s="6">
        <f t="shared" si="27"/>
        <v>390.00000001396984</v>
      </c>
      <c r="D215" t="str">
        <f t="shared" si="28"/>
        <v/>
      </c>
      <c r="E215">
        <f t="shared" si="30"/>
        <v>39235.497569444444</v>
      </c>
      <c r="F215" s="4">
        <f t="shared" si="29"/>
        <v>1.1999999999999957</v>
      </c>
      <c r="G215" s="4">
        <f t="shared" si="31"/>
        <v>0.59999999999999787</v>
      </c>
      <c r="H215" s="5">
        <f t="shared" si="32"/>
        <v>1.1999999033287125</v>
      </c>
      <c r="I215" s="14">
        <f t="shared" si="34"/>
        <v>222.80520671570383</v>
      </c>
      <c r="J215" s="19">
        <f t="shared" si="35"/>
        <v>989905.04634646385</v>
      </c>
      <c r="K215" s="16">
        <f t="shared" si="33"/>
        <v>0.99059846527215434</v>
      </c>
    </row>
    <row r="216" spans="1:11" x14ac:dyDescent="0.15">
      <c r="A216" s="7">
        <v>39235.49759259259</v>
      </c>
      <c r="B216">
        <v>40.799999999999997</v>
      </c>
      <c r="C216" s="6">
        <f t="shared" si="27"/>
        <v>391.99999985285103</v>
      </c>
      <c r="D216" t="str">
        <f t="shared" si="28"/>
        <v/>
      </c>
      <c r="E216">
        <f t="shared" si="30"/>
        <v>39235.49759259259</v>
      </c>
      <c r="F216" s="4">
        <f t="shared" si="29"/>
        <v>1.1999999999999957</v>
      </c>
      <c r="G216" s="4">
        <f t="shared" si="31"/>
        <v>0.59999999999999787</v>
      </c>
      <c r="H216" s="5">
        <f t="shared" si="32"/>
        <v>1.1999999033287125</v>
      </c>
      <c r="I216" s="14">
        <f t="shared" si="34"/>
        <v>222.80520671570383</v>
      </c>
      <c r="J216" s="19">
        <f t="shared" si="35"/>
        <v>990127.85155317956</v>
      </c>
      <c r="K216" s="16">
        <f t="shared" si="33"/>
        <v>0.99082142655176575</v>
      </c>
    </row>
    <row r="217" spans="1:11" x14ac:dyDescent="0.15">
      <c r="A217" s="7">
        <v>39235.497615740744</v>
      </c>
      <c r="B217">
        <v>40.799999999999997</v>
      </c>
      <c r="C217" s="6">
        <f t="shared" si="27"/>
        <v>394.00000032037497</v>
      </c>
      <c r="D217" t="str">
        <f t="shared" si="28"/>
        <v/>
      </c>
      <c r="E217">
        <f t="shared" si="30"/>
        <v>39235.497615740744</v>
      </c>
      <c r="F217" s="4">
        <f t="shared" si="29"/>
        <v>1.1999999999999957</v>
      </c>
      <c r="G217" s="4">
        <f t="shared" si="31"/>
        <v>0.59999999999999787</v>
      </c>
      <c r="H217" s="5">
        <f t="shared" si="32"/>
        <v>1.2000002805143553</v>
      </c>
      <c r="I217" s="14">
        <f t="shared" si="34"/>
        <v>222.80527674814704</v>
      </c>
      <c r="J217" s="19">
        <f t="shared" si="35"/>
        <v>990350.6568299277</v>
      </c>
      <c r="K217" s="16">
        <f t="shared" si="33"/>
        <v>0.99104438790145877</v>
      </c>
    </row>
    <row r="218" spans="1:11" x14ac:dyDescent="0.15">
      <c r="A218" s="7">
        <v>39235.49763888889</v>
      </c>
      <c r="B218">
        <v>40.700000000000003</v>
      </c>
      <c r="C218" s="6">
        <f t="shared" si="27"/>
        <v>396.00000015925616</v>
      </c>
      <c r="D218" t="str">
        <f t="shared" si="28"/>
        <v/>
      </c>
      <c r="E218">
        <f t="shared" si="30"/>
        <v>39235.49763888889</v>
      </c>
      <c r="F218" s="4">
        <f t="shared" si="29"/>
        <v>1.1000000000000014</v>
      </c>
      <c r="G218" s="4">
        <f t="shared" si="31"/>
        <v>0.55000000000000071</v>
      </c>
      <c r="H218" s="5">
        <f t="shared" si="32"/>
        <v>1.1499999073566856</v>
      </c>
      <c r="I218" s="14">
        <f t="shared" si="34"/>
        <v>213.52165643588333</v>
      </c>
      <c r="J218" s="19">
        <f t="shared" si="35"/>
        <v>990564.17848636361</v>
      </c>
      <c r="K218" s="16">
        <f t="shared" si="33"/>
        <v>0.991258059127753</v>
      </c>
    </row>
    <row r="219" spans="1:11" x14ac:dyDescent="0.15">
      <c r="A219" s="7">
        <v>39235.497662037036</v>
      </c>
      <c r="B219">
        <v>40.700000000000003</v>
      </c>
      <c r="C219" s="6">
        <f t="shared" si="27"/>
        <v>397.99999999813735</v>
      </c>
      <c r="D219" t="str">
        <f t="shared" si="28"/>
        <v/>
      </c>
      <c r="E219">
        <f t="shared" si="30"/>
        <v>39235.497662037036</v>
      </c>
      <c r="F219" s="4">
        <f t="shared" si="29"/>
        <v>1.1000000000000014</v>
      </c>
      <c r="G219" s="4">
        <f t="shared" si="31"/>
        <v>0.55000000000000071</v>
      </c>
      <c r="H219" s="5">
        <f t="shared" si="32"/>
        <v>1.0999999113846584</v>
      </c>
      <c r="I219" s="14">
        <f t="shared" si="34"/>
        <v>204.2381061560628</v>
      </c>
      <c r="J219" s="19">
        <f t="shared" si="35"/>
        <v>990768.41659251973</v>
      </c>
      <c r="K219" s="16">
        <f t="shared" si="33"/>
        <v>0.99146244030073027</v>
      </c>
    </row>
    <row r="220" spans="1:11" x14ac:dyDescent="0.15">
      <c r="A220" s="7">
        <v>39235.497685185182</v>
      </c>
      <c r="B220">
        <v>40.700000000000003</v>
      </c>
      <c r="C220" s="6">
        <f t="shared" si="27"/>
        <v>399.99999983701855</v>
      </c>
      <c r="D220" t="str">
        <f t="shared" si="28"/>
        <v/>
      </c>
      <c r="E220">
        <f t="shared" si="30"/>
        <v>39235.497685185182</v>
      </c>
      <c r="F220" s="4">
        <f t="shared" si="29"/>
        <v>1.1000000000000014</v>
      </c>
      <c r="G220" s="4">
        <f t="shared" si="31"/>
        <v>0.55000000000000071</v>
      </c>
      <c r="H220" s="5">
        <f t="shared" si="32"/>
        <v>1.0999999113846584</v>
      </c>
      <c r="I220" s="14">
        <f t="shared" si="34"/>
        <v>204.2381061560628</v>
      </c>
      <c r="J220" s="19">
        <f t="shared" si="35"/>
        <v>990972.65469867585</v>
      </c>
      <c r="K220" s="16">
        <f t="shared" si="33"/>
        <v>0.99166682147370744</v>
      </c>
    </row>
    <row r="221" spans="1:11" x14ac:dyDescent="0.15">
      <c r="A221" s="7">
        <v>39235.497708333336</v>
      </c>
      <c r="B221">
        <v>40.700000000000003</v>
      </c>
      <c r="C221" s="6">
        <f t="shared" si="27"/>
        <v>402.00000030454248</v>
      </c>
      <c r="D221" t="str">
        <f t="shared" si="28"/>
        <v/>
      </c>
      <c r="E221">
        <f t="shared" si="30"/>
        <v>39235.497708333336</v>
      </c>
      <c r="F221" s="4">
        <f t="shared" si="29"/>
        <v>1.1000000000000014</v>
      </c>
      <c r="G221" s="4">
        <f t="shared" si="31"/>
        <v>0.55000000000000071</v>
      </c>
      <c r="H221" s="5">
        <f t="shared" si="32"/>
        <v>1.1000002571381642</v>
      </c>
      <c r="I221" s="14">
        <f t="shared" si="34"/>
        <v>204.2381703524691</v>
      </c>
      <c r="J221" s="19">
        <f t="shared" si="35"/>
        <v>991176.89286902826</v>
      </c>
      <c r="K221" s="16">
        <f t="shared" si="33"/>
        <v>0.99187120271092588</v>
      </c>
    </row>
    <row r="222" spans="1:11" x14ac:dyDescent="0.15">
      <c r="A222" s="7">
        <v>39235.497731481482</v>
      </c>
      <c r="B222">
        <v>40.700000000000003</v>
      </c>
      <c r="C222" s="6">
        <f t="shared" si="27"/>
        <v>404.00000014342368</v>
      </c>
      <c r="D222" t="str">
        <f t="shared" si="28"/>
        <v/>
      </c>
      <c r="E222">
        <f t="shared" si="30"/>
        <v>39235.497731481482</v>
      </c>
      <c r="F222" s="4">
        <f t="shared" si="29"/>
        <v>1.1000000000000014</v>
      </c>
      <c r="G222" s="4">
        <f t="shared" si="31"/>
        <v>0.55000000000000071</v>
      </c>
      <c r="H222" s="5">
        <f t="shared" si="32"/>
        <v>1.0999999113846584</v>
      </c>
      <c r="I222" s="14">
        <f t="shared" si="34"/>
        <v>204.2381061560628</v>
      </c>
      <c r="J222" s="19">
        <f t="shared" si="35"/>
        <v>991381.13097518438</v>
      </c>
      <c r="K222" s="16">
        <f t="shared" si="33"/>
        <v>0.99207558388390316</v>
      </c>
    </row>
    <row r="223" spans="1:11" x14ac:dyDescent="0.15">
      <c r="A223" s="7">
        <v>39235.497754629629</v>
      </c>
      <c r="B223">
        <v>40.700000000000003</v>
      </c>
      <c r="C223" s="6">
        <f t="shared" si="27"/>
        <v>405.99999998230487</v>
      </c>
      <c r="D223" t="str">
        <f t="shared" si="28"/>
        <v/>
      </c>
      <c r="E223">
        <f t="shared" si="30"/>
        <v>39235.497754629629</v>
      </c>
      <c r="F223" s="4">
        <f t="shared" si="29"/>
        <v>1.1000000000000014</v>
      </c>
      <c r="G223" s="4">
        <f t="shared" si="31"/>
        <v>0.55000000000000071</v>
      </c>
      <c r="H223" s="5">
        <f t="shared" si="32"/>
        <v>1.0999999113846584</v>
      </c>
      <c r="I223" s="14">
        <f t="shared" si="34"/>
        <v>204.2381061560628</v>
      </c>
      <c r="J223" s="19">
        <f t="shared" si="35"/>
        <v>991585.3690813405</v>
      </c>
      <c r="K223" s="16">
        <f t="shared" si="33"/>
        <v>0.99227996505688032</v>
      </c>
    </row>
    <row r="224" spans="1:11" x14ac:dyDescent="0.15">
      <c r="A224" s="7">
        <v>39235.497777777775</v>
      </c>
      <c r="B224">
        <v>40.6</v>
      </c>
      <c r="C224" s="6">
        <f t="shared" si="27"/>
        <v>407.99999982118607</v>
      </c>
      <c r="D224" t="str">
        <f t="shared" si="28"/>
        <v/>
      </c>
      <c r="E224">
        <f t="shared" si="30"/>
        <v>39235.497777777775</v>
      </c>
      <c r="F224" s="4">
        <f t="shared" si="29"/>
        <v>1</v>
      </c>
      <c r="G224" s="4">
        <f t="shared" si="31"/>
        <v>0.5</v>
      </c>
      <c r="H224" s="5">
        <f t="shared" si="32"/>
        <v>1.0499999154126278</v>
      </c>
      <c r="I224" s="14">
        <f t="shared" si="34"/>
        <v>194.95455587624167</v>
      </c>
      <c r="J224" s="19">
        <f t="shared" si="35"/>
        <v>991780.3236372167</v>
      </c>
      <c r="K224" s="16">
        <f t="shared" si="33"/>
        <v>0.9924750561765403</v>
      </c>
    </row>
    <row r="225" spans="1:11" x14ac:dyDescent="0.15">
      <c r="A225" s="7">
        <v>39235.497800925928</v>
      </c>
      <c r="B225">
        <v>40.700000000000003</v>
      </c>
      <c r="C225" s="6">
        <f t="shared" si="27"/>
        <v>410.00000028871</v>
      </c>
      <c r="D225" t="str">
        <f t="shared" si="28"/>
        <v/>
      </c>
      <c r="E225">
        <f t="shared" si="30"/>
        <v>39235.497800925928</v>
      </c>
      <c r="F225" s="4">
        <f t="shared" si="29"/>
        <v>1.1000000000000014</v>
      </c>
      <c r="G225" s="4">
        <f t="shared" si="31"/>
        <v>0.55000000000000071</v>
      </c>
      <c r="H225" s="5">
        <f t="shared" si="32"/>
        <v>1.0500002454500652</v>
      </c>
      <c r="I225" s="14">
        <f t="shared" si="34"/>
        <v>194.95461715462949</v>
      </c>
      <c r="J225" s="19">
        <f t="shared" si="35"/>
        <v>991975.27825437137</v>
      </c>
      <c r="K225" s="16">
        <f t="shared" si="33"/>
        <v>0.99267014735752168</v>
      </c>
    </row>
    <row r="226" spans="1:11" x14ac:dyDescent="0.15">
      <c r="A226" s="7">
        <v>39235.497824074075</v>
      </c>
      <c r="B226">
        <v>40.6</v>
      </c>
      <c r="C226" s="6">
        <f t="shared" si="27"/>
        <v>412.00000012759119</v>
      </c>
      <c r="D226" t="str">
        <f t="shared" si="28"/>
        <v/>
      </c>
      <c r="E226">
        <f t="shared" si="30"/>
        <v>39235.497824074075</v>
      </c>
      <c r="F226" s="4">
        <f t="shared" si="29"/>
        <v>1</v>
      </c>
      <c r="G226" s="4">
        <f t="shared" si="31"/>
        <v>0.5</v>
      </c>
      <c r="H226" s="5">
        <f t="shared" si="32"/>
        <v>1.0499999154126278</v>
      </c>
      <c r="I226" s="14">
        <f t="shared" si="34"/>
        <v>194.95455587624167</v>
      </c>
      <c r="J226" s="19">
        <f t="shared" si="35"/>
        <v>992170.23281024757</v>
      </c>
      <c r="K226" s="16">
        <f t="shared" si="33"/>
        <v>0.99286523847718156</v>
      </c>
    </row>
    <row r="227" spans="1:11" x14ac:dyDescent="0.15">
      <c r="A227" s="7">
        <v>39235.497847222221</v>
      </c>
      <c r="B227">
        <v>40.5</v>
      </c>
      <c r="C227" s="6">
        <f t="shared" si="27"/>
        <v>413.99999996647239</v>
      </c>
      <c r="D227" t="str">
        <f t="shared" si="28"/>
        <v/>
      </c>
      <c r="E227">
        <f t="shared" si="30"/>
        <v>39235.497847222221</v>
      </c>
      <c r="F227" s="4">
        <f t="shared" si="29"/>
        <v>0.89999999999999858</v>
      </c>
      <c r="G227" s="4">
        <f t="shared" si="31"/>
        <v>0.44999999999999929</v>
      </c>
      <c r="H227" s="5">
        <f t="shared" si="32"/>
        <v>0.94999992346856676</v>
      </c>
      <c r="I227" s="14">
        <f t="shared" si="34"/>
        <v>176.38745531659936</v>
      </c>
      <c r="J227" s="19">
        <f t="shared" si="35"/>
        <v>992346.62026556418</v>
      </c>
      <c r="K227" s="16">
        <f t="shared" si="33"/>
        <v>0.99304174949020729</v>
      </c>
    </row>
    <row r="228" spans="1:11" x14ac:dyDescent="0.15">
      <c r="A228" s="7">
        <v>39235.497870370367</v>
      </c>
      <c r="B228">
        <v>40.6</v>
      </c>
      <c r="C228" s="6">
        <f t="shared" si="27"/>
        <v>415.99999980535358</v>
      </c>
      <c r="D228" t="str">
        <f t="shared" si="28"/>
        <v/>
      </c>
      <c r="E228">
        <f t="shared" si="30"/>
        <v>39235.497870370367</v>
      </c>
      <c r="F228" s="4">
        <f t="shared" si="29"/>
        <v>1</v>
      </c>
      <c r="G228" s="4">
        <f t="shared" si="31"/>
        <v>0.5</v>
      </c>
      <c r="H228" s="5">
        <f t="shared" si="32"/>
        <v>0.94999992346856676</v>
      </c>
      <c r="I228" s="14">
        <f t="shared" si="34"/>
        <v>176.38745531659936</v>
      </c>
      <c r="J228" s="19">
        <f t="shared" si="35"/>
        <v>992523.00772088079</v>
      </c>
      <c r="K228" s="16">
        <f t="shared" si="33"/>
        <v>0.99321826050323303</v>
      </c>
    </row>
    <row r="229" spans="1:11" x14ac:dyDescent="0.15">
      <c r="A229" s="7">
        <v>39235.497893518521</v>
      </c>
      <c r="B229">
        <v>40.5</v>
      </c>
      <c r="C229" s="6">
        <f t="shared" si="27"/>
        <v>418.00000027287751</v>
      </c>
      <c r="D229" t="str">
        <f t="shared" si="28"/>
        <v/>
      </c>
      <c r="E229">
        <f t="shared" si="30"/>
        <v>39235.497893518521</v>
      </c>
      <c r="F229" s="4">
        <f t="shared" si="29"/>
        <v>0.89999999999999858</v>
      </c>
      <c r="G229" s="4">
        <f t="shared" si="31"/>
        <v>0.44999999999999929</v>
      </c>
      <c r="H229" s="5">
        <f t="shared" si="32"/>
        <v>0.95000022207386725</v>
      </c>
      <c r="I229" s="14">
        <f t="shared" si="34"/>
        <v>176.38751075895024</v>
      </c>
      <c r="J229" s="19">
        <f t="shared" si="35"/>
        <v>992699.39523163973</v>
      </c>
      <c r="K229" s="16">
        <f t="shared" si="33"/>
        <v>0.99339477157173994</v>
      </c>
    </row>
    <row r="230" spans="1:11" x14ac:dyDescent="0.15">
      <c r="A230" s="7">
        <v>39235.497916666667</v>
      </c>
      <c r="B230">
        <v>40.4</v>
      </c>
      <c r="C230" s="6">
        <f t="shared" si="27"/>
        <v>420.00000011175871</v>
      </c>
      <c r="D230" t="str">
        <f t="shared" si="28"/>
        <v/>
      </c>
      <c r="E230">
        <f t="shared" si="30"/>
        <v>39235.497916666667</v>
      </c>
      <c r="F230" s="4">
        <f t="shared" si="29"/>
        <v>0.79999999999999716</v>
      </c>
      <c r="G230" s="4">
        <f t="shared" si="31"/>
        <v>0.39999999999999858</v>
      </c>
      <c r="H230" s="5">
        <f t="shared" si="32"/>
        <v>0.84999993152450559</v>
      </c>
      <c r="I230" s="14">
        <f t="shared" si="34"/>
        <v>157.82035475695704</v>
      </c>
      <c r="J230" s="19">
        <f t="shared" si="35"/>
        <v>992857.21558639663</v>
      </c>
      <c r="K230" s="16">
        <f t="shared" si="33"/>
        <v>0.99355270247813132</v>
      </c>
    </row>
    <row r="231" spans="1:11" x14ac:dyDescent="0.15">
      <c r="A231" s="7">
        <v>39235.497939814813</v>
      </c>
      <c r="B231">
        <v>40.4</v>
      </c>
      <c r="C231" s="6">
        <f t="shared" si="27"/>
        <v>421.9999999506399</v>
      </c>
      <c r="D231" t="str">
        <f t="shared" si="28"/>
        <v/>
      </c>
      <c r="E231">
        <f t="shared" si="30"/>
        <v>39235.497939814813</v>
      </c>
      <c r="F231" s="4">
        <f t="shared" si="29"/>
        <v>0.79999999999999716</v>
      </c>
      <c r="G231" s="4">
        <f t="shared" si="31"/>
        <v>0.39999999999999858</v>
      </c>
      <c r="H231" s="5">
        <f t="shared" si="32"/>
        <v>0.79999993555247495</v>
      </c>
      <c r="I231" s="14">
        <f t="shared" si="34"/>
        <v>148.53680447713586</v>
      </c>
      <c r="J231" s="19">
        <f t="shared" si="35"/>
        <v>993005.75239087373</v>
      </c>
      <c r="K231" s="16">
        <f t="shared" si="33"/>
        <v>0.99370134333120563</v>
      </c>
    </row>
    <row r="232" spans="1:11" x14ac:dyDescent="0.15">
      <c r="A232" s="7">
        <v>39235.49796296296</v>
      </c>
      <c r="B232">
        <v>40.4</v>
      </c>
      <c r="C232" s="6">
        <f t="shared" si="27"/>
        <v>423.9999997895211</v>
      </c>
      <c r="D232" t="str">
        <f t="shared" si="28"/>
        <v/>
      </c>
      <c r="E232">
        <f t="shared" si="30"/>
        <v>39235.49796296296</v>
      </c>
      <c r="F232" s="4">
        <f t="shared" si="29"/>
        <v>0.79999999999999716</v>
      </c>
      <c r="G232" s="4">
        <f t="shared" si="31"/>
        <v>0.39999999999999858</v>
      </c>
      <c r="H232" s="5">
        <f t="shared" si="32"/>
        <v>0.79999993555247495</v>
      </c>
      <c r="I232" s="14">
        <f t="shared" si="34"/>
        <v>148.53680447713586</v>
      </c>
      <c r="J232" s="19">
        <f t="shared" si="35"/>
        <v>993154.28919535084</v>
      </c>
      <c r="K232" s="16">
        <f t="shared" si="33"/>
        <v>0.99384998418427983</v>
      </c>
    </row>
    <row r="233" spans="1:11" x14ac:dyDescent="0.15">
      <c r="A233" s="7">
        <v>39235.497986111113</v>
      </c>
      <c r="B233">
        <v>40.4</v>
      </c>
      <c r="C233" s="6">
        <f t="shared" si="27"/>
        <v>426.00000025704503</v>
      </c>
      <c r="D233" t="str">
        <f t="shared" si="28"/>
        <v/>
      </c>
      <c r="E233">
        <f t="shared" si="30"/>
        <v>39235.497986111113</v>
      </c>
      <c r="F233" s="4">
        <f t="shared" si="29"/>
        <v>0.79999999999999716</v>
      </c>
      <c r="G233" s="4">
        <f t="shared" si="31"/>
        <v>0.39999999999999858</v>
      </c>
      <c r="H233" s="5">
        <f t="shared" si="32"/>
        <v>0.8000001870095701</v>
      </c>
      <c r="I233" s="14">
        <f t="shared" si="34"/>
        <v>148.53685116543136</v>
      </c>
      <c r="J233" s="19">
        <f t="shared" si="35"/>
        <v>993302.8260465163</v>
      </c>
      <c r="K233" s="16">
        <f t="shared" si="33"/>
        <v>0.9939986250840751</v>
      </c>
    </row>
    <row r="234" spans="1:11" x14ac:dyDescent="0.15">
      <c r="A234" s="7">
        <v>39235.49800925926</v>
      </c>
      <c r="B234">
        <v>40.4</v>
      </c>
      <c r="C234" s="6">
        <f t="shared" si="27"/>
        <v>428.00000009592623</v>
      </c>
      <c r="D234" t="str">
        <f t="shared" si="28"/>
        <v/>
      </c>
      <c r="E234">
        <f t="shared" si="30"/>
        <v>39235.49800925926</v>
      </c>
      <c r="F234" s="4">
        <f t="shared" si="29"/>
        <v>0.79999999999999716</v>
      </c>
      <c r="G234" s="4">
        <f t="shared" si="31"/>
        <v>0.39999999999999858</v>
      </c>
      <c r="H234" s="5">
        <f t="shared" si="32"/>
        <v>0.79999993555247495</v>
      </c>
      <c r="I234" s="14">
        <f t="shared" si="34"/>
        <v>148.53680447713586</v>
      </c>
      <c r="J234" s="19">
        <f t="shared" si="35"/>
        <v>993451.36285099341</v>
      </c>
      <c r="K234" s="16">
        <f t="shared" si="33"/>
        <v>0.99414726593714942</v>
      </c>
    </row>
    <row r="235" spans="1:11" x14ac:dyDescent="0.15">
      <c r="A235" s="7">
        <v>39235.498032407406</v>
      </c>
      <c r="B235">
        <v>40.299999999999997</v>
      </c>
      <c r="C235" s="6">
        <f t="shared" si="27"/>
        <v>429.99999993480742</v>
      </c>
      <c r="D235" t="str">
        <f t="shared" si="28"/>
        <v/>
      </c>
      <c r="E235">
        <f t="shared" si="30"/>
        <v>39235.498032407406</v>
      </c>
      <c r="F235" s="4">
        <f t="shared" si="29"/>
        <v>0.69999999999999574</v>
      </c>
      <c r="G235" s="4">
        <f t="shared" si="31"/>
        <v>0.34999999999999787</v>
      </c>
      <c r="H235" s="5">
        <f t="shared" si="32"/>
        <v>0.74999993958044442</v>
      </c>
      <c r="I235" s="14">
        <f t="shared" si="34"/>
        <v>139.25325419731473</v>
      </c>
      <c r="J235" s="19">
        <f t="shared" si="35"/>
        <v>993590.61610519071</v>
      </c>
      <c r="K235" s="16">
        <f t="shared" si="33"/>
        <v>0.99428661673690655</v>
      </c>
    </row>
    <row r="236" spans="1:11" x14ac:dyDescent="0.15">
      <c r="A236" s="7">
        <v>39235.498055555552</v>
      </c>
      <c r="B236">
        <v>40.299999999999997</v>
      </c>
      <c r="C236" s="6">
        <f t="shared" si="27"/>
        <v>431.99999977368861</v>
      </c>
      <c r="D236" t="str">
        <f t="shared" si="28"/>
        <v/>
      </c>
      <c r="E236">
        <f t="shared" si="30"/>
        <v>39235.498055555552</v>
      </c>
      <c r="F236" s="4">
        <f t="shared" si="29"/>
        <v>0.69999999999999574</v>
      </c>
      <c r="G236" s="4">
        <f t="shared" si="31"/>
        <v>0.34999999999999787</v>
      </c>
      <c r="H236" s="5">
        <f t="shared" si="32"/>
        <v>0.69999994360841389</v>
      </c>
      <c r="I236" s="14">
        <f t="shared" si="34"/>
        <v>129.96970391749358</v>
      </c>
      <c r="J236" s="19">
        <f t="shared" si="35"/>
        <v>993720.58580910822</v>
      </c>
      <c r="K236" s="16">
        <f t="shared" si="33"/>
        <v>0.99441667748334661</v>
      </c>
    </row>
    <row r="237" spans="1:11" x14ac:dyDescent="0.15">
      <c r="A237" s="7">
        <v>39235.498078703706</v>
      </c>
      <c r="B237">
        <v>40.299999999999997</v>
      </c>
      <c r="C237" s="6">
        <f t="shared" si="27"/>
        <v>434.00000024121255</v>
      </c>
      <c r="D237" t="str">
        <f t="shared" si="28"/>
        <v/>
      </c>
      <c r="E237">
        <f t="shared" si="30"/>
        <v>39235.498078703706</v>
      </c>
      <c r="F237" s="4">
        <f t="shared" si="29"/>
        <v>0.69999999999999574</v>
      </c>
      <c r="G237" s="4">
        <f t="shared" si="31"/>
        <v>0.34999999999999787</v>
      </c>
      <c r="H237" s="5">
        <f t="shared" si="32"/>
        <v>0.70000016363337214</v>
      </c>
      <c r="I237" s="14">
        <f t="shared" si="34"/>
        <v>129.96974476975211</v>
      </c>
      <c r="J237" s="19">
        <f t="shared" si="35"/>
        <v>993850.55555387796</v>
      </c>
      <c r="K237" s="16">
        <f t="shared" si="33"/>
        <v>0.99454673827066742</v>
      </c>
    </row>
    <row r="238" spans="1:11" x14ac:dyDescent="0.15">
      <c r="A238" s="7">
        <v>39235.498101851852</v>
      </c>
      <c r="B238">
        <v>40.4</v>
      </c>
      <c r="C238" s="6">
        <f t="shared" si="27"/>
        <v>436.00000008009374</v>
      </c>
      <c r="D238" t="str">
        <f t="shared" si="28"/>
        <v/>
      </c>
      <c r="E238">
        <f t="shared" si="30"/>
        <v>39235.498101851852</v>
      </c>
      <c r="F238" s="4">
        <f t="shared" si="29"/>
        <v>0.79999999999999716</v>
      </c>
      <c r="G238" s="4">
        <f t="shared" si="31"/>
        <v>0.39999999999999858</v>
      </c>
      <c r="H238" s="5">
        <f t="shared" si="32"/>
        <v>0.74999993958044442</v>
      </c>
      <c r="I238" s="14">
        <f t="shared" si="34"/>
        <v>139.25325419731473</v>
      </c>
      <c r="J238" s="19">
        <f t="shared" si="35"/>
        <v>993989.80880807526</v>
      </c>
      <c r="K238" s="16">
        <f t="shared" si="33"/>
        <v>0.99468608907042455</v>
      </c>
    </row>
    <row r="239" spans="1:11" x14ac:dyDescent="0.15">
      <c r="A239" s="7">
        <v>39235.498124999998</v>
      </c>
      <c r="B239">
        <v>40.299999999999997</v>
      </c>
      <c r="C239" s="6">
        <f t="shared" si="27"/>
        <v>437.99999991897494</v>
      </c>
      <c r="D239" t="str">
        <f t="shared" si="28"/>
        <v/>
      </c>
      <c r="E239">
        <f t="shared" si="30"/>
        <v>39235.498124999998</v>
      </c>
      <c r="F239" s="4">
        <f t="shared" si="29"/>
        <v>0.69999999999999574</v>
      </c>
      <c r="G239" s="4">
        <f t="shared" si="31"/>
        <v>0.34999999999999787</v>
      </c>
      <c r="H239" s="5">
        <f t="shared" si="32"/>
        <v>0.74999993958044442</v>
      </c>
      <c r="I239" s="14">
        <f t="shared" si="34"/>
        <v>139.25325419731473</v>
      </c>
      <c r="J239" s="19">
        <f t="shared" si="35"/>
        <v>994129.06206227257</v>
      </c>
      <c r="K239" s="16">
        <f t="shared" si="33"/>
        <v>0.99482543987018168</v>
      </c>
    </row>
    <row r="240" spans="1:11" x14ac:dyDescent="0.15">
      <c r="A240" s="7">
        <v>39235.498148148145</v>
      </c>
      <c r="B240">
        <v>40.299999999999997</v>
      </c>
      <c r="C240" s="6">
        <f t="shared" si="27"/>
        <v>439.99999975785613</v>
      </c>
      <c r="D240" t="str">
        <f t="shared" si="28"/>
        <v/>
      </c>
      <c r="E240">
        <f t="shared" si="30"/>
        <v>39235.498148148145</v>
      </c>
      <c r="F240" s="4">
        <f t="shared" si="29"/>
        <v>0.69999999999999574</v>
      </c>
      <c r="G240" s="4">
        <f t="shared" si="31"/>
        <v>0.34999999999999787</v>
      </c>
      <c r="H240" s="5">
        <f t="shared" si="32"/>
        <v>0.69999994360841389</v>
      </c>
      <c r="I240" s="14">
        <f t="shared" si="34"/>
        <v>129.96970391749358</v>
      </c>
      <c r="J240" s="19">
        <f t="shared" si="35"/>
        <v>994259.03176619008</v>
      </c>
      <c r="K240" s="16">
        <f t="shared" si="33"/>
        <v>0.99495550061662175</v>
      </c>
    </row>
    <row r="241" spans="1:11" x14ac:dyDescent="0.15">
      <c r="A241" s="7">
        <v>39235.498171296298</v>
      </c>
      <c r="B241">
        <v>40.299999999999997</v>
      </c>
      <c r="C241" s="6">
        <f t="shared" si="27"/>
        <v>442.00000022538006</v>
      </c>
      <c r="D241" t="str">
        <f t="shared" si="28"/>
        <v/>
      </c>
      <c r="E241">
        <f t="shared" si="30"/>
        <v>39235.498171296298</v>
      </c>
      <c r="F241" s="4">
        <f t="shared" si="29"/>
        <v>0.69999999999999574</v>
      </c>
      <c r="G241" s="4">
        <f t="shared" si="31"/>
        <v>0.34999999999999787</v>
      </c>
      <c r="H241" s="5">
        <f t="shared" si="32"/>
        <v>0.70000016363337214</v>
      </c>
      <c r="I241" s="14">
        <f t="shared" si="34"/>
        <v>129.96974476975211</v>
      </c>
      <c r="J241" s="19">
        <f t="shared" si="35"/>
        <v>994389.00151095982</v>
      </c>
      <c r="K241" s="16">
        <f t="shared" si="33"/>
        <v>0.99508556140394255</v>
      </c>
    </row>
    <row r="242" spans="1:11" x14ac:dyDescent="0.15">
      <c r="A242" s="7">
        <v>39235.498194444444</v>
      </c>
      <c r="B242">
        <v>40.299999999999997</v>
      </c>
      <c r="C242" s="6">
        <f t="shared" si="27"/>
        <v>444.00000006426126</v>
      </c>
      <c r="D242" t="str">
        <f t="shared" si="28"/>
        <v/>
      </c>
      <c r="E242">
        <f t="shared" si="30"/>
        <v>39235.498194444444</v>
      </c>
      <c r="F242" s="4">
        <f t="shared" si="29"/>
        <v>0.69999999999999574</v>
      </c>
      <c r="G242" s="4">
        <f t="shared" si="31"/>
        <v>0.34999999999999787</v>
      </c>
      <c r="H242" s="5">
        <f t="shared" si="32"/>
        <v>0.69999994360841389</v>
      </c>
      <c r="I242" s="14">
        <f t="shared" si="34"/>
        <v>129.96970391749358</v>
      </c>
      <c r="J242" s="19">
        <f t="shared" si="35"/>
        <v>994518.97121487733</v>
      </c>
      <c r="K242" s="16">
        <f t="shared" si="33"/>
        <v>0.99521562215038262</v>
      </c>
    </row>
    <row r="243" spans="1:11" x14ac:dyDescent="0.15">
      <c r="A243" s="7">
        <v>39235.498217592591</v>
      </c>
      <c r="B243">
        <v>40.299999999999997</v>
      </c>
      <c r="C243" s="6">
        <f t="shared" si="27"/>
        <v>445.99999990314245</v>
      </c>
      <c r="D243" t="str">
        <f t="shared" si="28"/>
        <v/>
      </c>
      <c r="E243">
        <f t="shared" si="30"/>
        <v>39235.498217592591</v>
      </c>
      <c r="F243" s="4">
        <f t="shared" si="29"/>
        <v>0.69999999999999574</v>
      </c>
      <c r="G243" s="4">
        <f t="shared" si="31"/>
        <v>0.34999999999999787</v>
      </c>
      <c r="H243" s="5">
        <f t="shared" si="32"/>
        <v>0.69999994360841389</v>
      </c>
      <c r="I243" s="14">
        <f t="shared" si="34"/>
        <v>129.96970391749358</v>
      </c>
      <c r="J243" s="19">
        <f t="shared" si="35"/>
        <v>994648.94091879483</v>
      </c>
      <c r="K243" s="16">
        <f t="shared" si="33"/>
        <v>0.99534568289682257</v>
      </c>
    </row>
    <row r="244" spans="1:11" x14ac:dyDescent="0.15">
      <c r="A244" s="7">
        <v>39235.498240740744</v>
      </c>
      <c r="B244">
        <v>40.299999999999997</v>
      </c>
      <c r="C244" s="6">
        <f t="shared" si="27"/>
        <v>448.00000037066638</v>
      </c>
      <c r="D244" t="str">
        <f t="shared" si="28"/>
        <v/>
      </c>
      <c r="E244">
        <f t="shared" si="30"/>
        <v>39235.498240740744</v>
      </c>
      <c r="F244" s="4">
        <f t="shared" si="29"/>
        <v>0.69999999999999574</v>
      </c>
      <c r="G244" s="4">
        <f t="shared" si="31"/>
        <v>0.34999999999999787</v>
      </c>
      <c r="H244" s="5">
        <f t="shared" si="32"/>
        <v>0.70000016363337214</v>
      </c>
      <c r="I244" s="14">
        <f t="shared" si="34"/>
        <v>129.96974476975211</v>
      </c>
      <c r="J244" s="19">
        <f t="shared" si="35"/>
        <v>994778.91066356457</v>
      </c>
      <c r="K244" s="16">
        <f t="shared" si="33"/>
        <v>0.99547574368414349</v>
      </c>
    </row>
    <row r="245" spans="1:11" x14ac:dyDescent="0.15">
      <c r="A245" s="7">
        <v>39235.498263888891</v>
      </c>
      <c r="B245">
        <v>40.299999999999997</v>
      </c>
      <c r="C245" s="6">
        <f t="shared" si="27"/>
        <v>450.00000020954758</v>
      </c>
      <c r="D245" t="str">
        <f t="shared" si="28"/>
        <v/>
      </c>
      <c r="E245">
        <f t="shared" si="30"/>
        <v>39235.498263888891</v>
      </c>
      <c r="F245" s="4">
        <f t="shared" si="29"/>
        <v>0.69999999999999574</v>
      </c>
      <c r="G245" s="4">
        <f t="shared" si="31"/>
        <v>0.34999999999999787</v>
      </c>
      <c r="H245" s="5">
        <f t="shared" si="32"/>
        <v>0.69999994360841389</v>
      </c>
      <c r="I245" s="14">
        <f t="shared" si="34"/>
        <v>129.96970391749358</v>
      </c>
      <c r="J245" s="19">
        <f t="shared" si="35"/>
        <v>994908.88036748208</v>
      </c>
      <c r="K245" s="16">
        <f t="shared" si="33"/>
        <v>0.99560580443058344</v>
      </c>
    </row>
    <row r="246" spans="1:11" x14ac:dyDescent="0.15">
      <c r="A246" s="7">
        <v>39235.498287037037</v>
      </c>
      <c r="B246">
        <v>40.1</v>
      </c>
      <c r="C246" s="6">
        <f t="shared" si="27"/>
        <v>452.00000004842877</v>
      </c>
      <c r="D246" t="str">
        <f t="shared" si="28"/>
        <v/>
      </c>
      <c r="E246">
        <f t="shared" si="30"/>
        <v>39235.498287037037</v>
      </c>
      <c r="F246" s="4">
        <f t="shared" si="29"/>
        <v>0.5</v>
      </c>
      <c r="G246" s="4">
        <f t="shared" si="31"/>
        <v>0.25</v>
      </c>
      <c r="H246" s="5">
        <f t="shared" si="32"/>
        <v>0.59999995166435627</v>
      </c>
      <c r="I246" s="14">
        <f t="shared" si="34"/>
        <v>111.40260335785192</v>
      </c>
      <c r="J246" s="19">
        <f t="shared" si="35"/>
        <v>995020.28297083988</v>
      </c>
      <c r="K246" s="16">
        <f t="shared" si="33"/>
        <v>0.99571728507038915</v>
      </c>
    </row>
    <row r="247" spans="1:11" x14ac:dyDescent="0.15">
      <c r="A247" s="7">
        <v>39235.498310185183</v>
      </c>
      <c r="B247">
        <v>40.299999999999997</v>
      </c>
      <c r="C247" s="6">
        <f t="shared" si="27"/>
        <v>453.99999988730997</v>
      </c>
      <c r="D247" t="str">
        <f t="shared" si="28"/>
        <v/>
      </c>
      <c r="E247">
        <f t="shared" si="30"/>
        <v>39235.498310185183</v>
      </c>
      <c r="F247" s="4">
        <f t="shared" si="29"/>
        <v>0.69999999999999574</v>
      </c>
      <c r="G247" s="4">
        <f t="shared" si="31"/>
        <v>0.34999999999999787</v>
      </c>
      <c r="H247" s="5">
        <f t="shared" si="32"/>
        <v>0.59999995166435627</v>
      </c>
      <c r="I247" s="14">
        <f t="shared" si="34"/>
        <v>111.40260335785192</v>
      </c>
      <c r="J247" s="19">
        <f t="shared" si="35"/>
        <v>995131.68557419768</v>
      </c>
      <c r="K247" s="16">
        <f t="shared" si="33"/>
        <v>0.99582876571019485</v>
      </c>
    </row>
    <row r="248" spans="1:11" x14ac:dyDescent="0.15">
      <c r="A248" s="7">
        <v>39235.498333333337</v>
      </c>
      <c r="B248">
        <v>40.299999999999997</v>
      </c>
      <c r="C248" s="6">
        <f t="shared" si="27"/>
        <v>456.0000003548339</v>
      </c>
      <c r="D248" t="str">
        <f t="shared" si="28"/>
        <v/>
      </c>
      <c r="E248">
        <f t="shared" si="30"/>
        <v>39235.498333333337</v>
      </c>
      <c r="F248" s="4">
        <f t="shared" si="29"/>
        <v>0.69999999999999574</v>
      </c>
      <c r="G248" s="4">
        <f t="shared" si="31"/>
        <v>0.34999999999999787</v>
      </c>
      <c r="H248" s="5">
        <f t="shared" si="32"/>
        <v>0.70000016363337214</v>
      </c>
      <c r="I248" s="14">
        <f t="shared" si="34"/>
        <v>129.96974476975211</v>
      </c>
      <c r="J248" s="19">
        <f t="shared" si="35"/>
        <v>995261.65531896742</v>
      </c>
      <c r="K248" s="16">
        <f t="shared" si="33"/>
        <v>0.99595882649751566</v>
      </c>
    </row>
    <row r="249" spans="1:11" x14ac:dyDescent="0.15">
      <c r="A249" s="7">
        <v>39235.498356481483</v>
      </c>
      <c r="B249">
        <v>40.1</v>
      </c>
      <c r="C249" s="6">
        <f t="shared" si="27"/>
        <v>458.0000001937151</v>
      </c>
      <c r="D249" t="str">
        <f t="shared" si="28"/>
        <v/>
      </c>
      <c r="E249">
        <f t="shared" si="30"/>
        <v>39235.498356481483</v>
      </c>
      <c r="F249" s="4">
        <f t="shared" si="29"/>
        <v>0.5</v>
      </c>
      <c r="G249" s="4">
        <f t="shared" si="31"/>
        <v>0.25</v>
      </c>
      <c r="H249" s="5">
        <f t="shared" si="32"/>
        <v>0.59999995166435627</v>
      </c>
      <c r="I249" s="14">
        <f t="shared" si="34"/>
        <v>111.40260335785192</v>
      </c>
      <c r="J249" s="19">
        <f t="shared" si="35"/>
        <v>995373.05792232521</v>
      </c>
      <c r="K249" s="16">
        <f t="shared" si="33"/>
        <v>0.99607030713732136</v>
      </c>
    </row>
    <row r="250" spans="1:11" x14ac:dyDescent="0.15">
      <c r="A250" s="7">
        <v>39235.498379629629</v>
      </c>
      <c r="B250">
        <v>40.1</v>
      </c>
      <c r="C250" s="6">
        <f t="shared" si="27"/>
        <v>460.00000003259629</v>
      </c>
      <c r="D250" t="str">
        <f t="shared" si="28"/>
        <v/>
      </c>
      <c r="E250">
        <f t="shared" si="30"/>
        <v>39235.498379629629</v>
      </c>
      <c r="F250" s="4">
        <f t="shared" si="29"/>
        <v>0.5</v>
      </c>
      <c r="G250" s="4">
        <f t="shared" si="31"/>
        <v>0.25</v>
      </c>
      <c r="H250" s="5">
        <f t="shared" si="32"/>
        <v>0.49999995972029865</v>
      </c>
      <c r="I250" s="14">
        <f t="shared" si="34"/>
        <v>92.835502798210257</v>
      </c>
      <c r="J250" s="19">
        <f t="shared" si="35"/>
        <v>995465.89342512342</v>
      </c>
      <c r="K250" s="16">
        <f t="shared" si="33"/>
        <v>0.99616320767049271</v>
      </c>
    </row>
    <row r="251" spans="1:11" x14ac:dyDescent="0.15">
      <c r="A251" s="7">
        <v>39235.498402777775</v>
      </c>
      <c r="B251">
        <v>40.1</v>
      </c>
      <c r="C251" s="6">
        <f t="shared" si="27"/>
        <v>461.99999987147748</v>
      </c>
      <c r="D251" t="str">
        <f t="shared" si="28"/>
        <v/>
      </c>
      <c r="E251">
        <f t="shared" si="30"/>
        <v>39235.498402777775</v>
      </c>
      <c r="F251" s="4">
        <f t="shared" si="29"/>
        <v>0.5</v>
      </c>
      <c r="G251" s="4">
        <f t="shared" si="31"/>
        <v>0.25</v>
      </c>
      <c r="H251" s="5">
        <f t="shared" si="32"/>
        <v>0.49999995972029865</v>
      </c>
      <c r="I251" s="14">
        <f t="shared" si="34"/>
        <v>92.835502798210257</v>
      </c>
      <c r="J251" s="19">
        <f t="shared" si="35"/>
        <v>995558.72892792162</v>
      </c>
      <c r="K251" s="16">
        <f t="shared" si="33"/>
        <v>0.99625610820366417</v>
      </c>
    </row>
    <row r="252" spans="1:11" x14ac:dyDescent="0.15">
      <c r="A252" s="7">
        <v>39235.498425925929</v>
      </c>
      <c r="B252">
        <v>40.1</v>
      </c>
      <c r="C252" s="6">
        <f t="shared" si="27"/>
        <v>464.00000033900142</v>
      </c>
      <c r="D252" t="str">
        <f t="shared" si="28"/>
        <v/>
      </c>
      <c r="E252">
        <f t="shared" si="30"/>
        <v>39235.498425925929</v>
      </c>
      <c r="F252" s="4">
        <f t="shared" si="29"/>
        <v>0.5</v>
      </c>
      <c r="G252" s="4">
        <f t="shared" si="31"/>
        <v>0.25</v>
      </c>
      <c r="H252" s="5">
        <f t="shared" si="32"/>
        <v>0.50000011688098311</v>
      </c>
      <c r="I252" s="14">
        <f t="shared" si="34"/>
        <v>92.835531978394926</v>
      </c>
      <c r="J252" s="19">
        <f t="shared" si="35"/>
        <v>995651.56445990002</v>
      </c>
      <c r="K252" s="16">
        <f t="shared" si="33"/>
        <v>0.99634900876603627</v>
      </c>
    </row>
    <row r="253" spans="1:11" x14ac:dyDescent="0.15">
      <c r="A253" s="7">
        <v>39235.498449074075</v>
      </c>
      <c r="B253">
        <v>40.1</v>
      </c>
      <c r="C253" s="6">
        <f t="shared" si="27"/>
        <v>466.00000017788261</v>
      </c>
      <c r="D253" t="str">
        <f t="shared" si="28"/>
        <v/>
      </c>
      <c r="E253">
        <f t="shared" si="30"/>
        <v>39235.498449074075</v>
      </c>
      <c r="F253" s="4">
        <f t="shared" si="29"/>
        <v>0.5</v>
      </c>
      <c r="G253" s="4">
        <f t="shared" si="31"/>
        <v>0.25</v>
      </c>
      <c r="H253" s="5">
        <f t="shared" si="32"/>
        <v>0.49999995972029865</v>
      </c>
      <c r="I253" s="14">
        <f t="shared" si="34"/>
        <v>92.835502798210257</v>
      </c>
      <c r="J253" s="19">
        <f t="shared" si="35"/>
        <v>995744.39996269823</v>
      </c>
      <c r="K253" s="16">
        <f t="shared" si="33"/>
        <v>0.99644190929920762</v>
      </c>
    </row>
    <row r="254" spans="1:11" x14ac:dyDescent="0.15">
      <c r="A254" s="7">
        <v>39235.498472222222</v>
      </c>
      <c r="B254">
        <v>40.1</v>
      </c>
      <c r="C254" s="6">
        <f t="shared" si="27"/>
        <v>468.00000001676381</v>
      </c>
      <c r="D254" t="str">
        <f t="shared" si="28"/>
        <v/>
      </c>
      <c r="E254">
        <f t="shared" si="30"/>
        <v>39235.498472222222</v>
      </c>
      <c r="F254" s="4">
        <f t="shared" si="29"/>
        <v>0.5</v>
      </c>
      <c r="G254" s="4">
        <f t="shared" si="31"/>
        <v>0.25</v>
      </c>
      <c r="H254" s="5">
        <f t="shared" si="32"/>
        <v>0.49999995972029865</v>
      </c>
      <c r="I254" s="14">
        <f t="shared" si="34"/>
        <v>92.835502798210257</v>
      </c>
      <c r="J254" s="19">
        <f t="shared" si="35"/>
        <v>995837.23546549643</v>
      </c>
      <c r="K254" s="16">
        <f t="shared" si="33"/>
        <v>0.99653480983237908</v>
      </c>
    </row>
    <row r="255" spans="1:11" x14ac:dyDescent="0.15">
      <c r="A255" s="7">
        <v>39235.498495370368</v>
      </c>
      <c r="B255">
        <v>40.1</v>
      </c>
      <c r="C255" s="6">
        <f t="shared" si="27"/>
        <v>469.999999855645</v>
      </c>
      <c r="D255" t="str">
        <f t="shared" si="28"/>
        <v/>
      </c>
      <c r="E255">
        <f t="shared" si="30"/>
        <v>39235.498495370368</v>
      </c>
      <c r="F255" s="4">
        <f t="shared" si="29"/>
        <v>0.5</v>
      </c>
      <c r="G255" s="4">
        <f t="shared" si="31"/>
        <v>0.25</v>
      </c>
      <c r="H255" s="5">
        <f t="shared" si="32"/>
        <v>0.49999995972029865</v>
      </c>
      <c r="I255" s="14">
        <f t="shared" si="34"/>
        <v>92.835502798210257</v>
      </c>
      <c r="J255" s="19">
        <f t="shared" si="35"/>
        <v>995930.07096829463</v>
      </c>
      <c r="K255" s="16">
        <f t="shared" si="33"/>
        <v>0.99662771036555053</v>
      </c>
    </row>
    <row r="256" spans="1:11" x14ac:dyDescent="0.15">
      <c r="A256" s="7">
        <v>39235.498518518521</v>
      </c>
      <c r="B256">
        <v>40.1</v>
      </c>
      <c r="C256" s="6">
        <f t="shared" si="27"/>
        <v>472.00000032316893</v>
      </c>
      <c r="D256" t="str">
        <f t="shared" si="28"/>
        <v/>
      </c>
      <c r="E256">
        <f t="shared" si="30"/>
        <v>39235.498518518521</v>
      </c>
      <c r="F256" s="4">
        <f t="shared" si="29"/>
        <v>0.5</v>
      </c>
      <c r="G256" s="4">
        <f t="shared" si="31"/>
        <v>0.25</v>
      </c>
      <c r="H256" s="5">
        <f t="shared" si="32"/>
        <v>0.50000011688098311</v>
      </c>
      <c r="I256" s="14">
        <f t="shared" si="34"/>
        <v>92.835531978394926</v>
      </c>
      <c r="J256" s="19">
        <f t="shared" si="35"/>
        <v>996022.90650027303</v>
      </c>
      <c r="K256" s="16">
        <f t="shared" si="33"/>
        <v>0.99672061092792263</v>
      </c>
    </row>
    <row r="257" spans="1:11" x14ac:dyDescent="0.15">
      <c r="A257" s="7">
        <v>39235.498541666668</v>
      </c>
      <c r="B257">
        <v>40</v>
      </c>
      <c r="C257" s="6">
        <f t="shared" si="27"/>
        <v>474.00000016205013</v>
      </c>
      <c r="D257" t="str">
        <f t="shared" si="28"/>
        <v/>
      </c>
      <c r="E257">
        <f t="shared" si="30"/>
        <v>39235.498541666668</v>
      </c>
      <c r="F257" s="4">
        <f t="shared" si="29"/>
        <v>0.39999999999999858</v>
      </c>
      <c r="G257" s="4">
        <f t="shared" si="31"/>
        <v>0.19999999999999929</v>
      </c>
      <c r="H257" s="5">
        <f t="shared" si="32"/>
        <v>0.44999996374826806</v>
      </c>
      <c r="I257" s="14">
        <f t="shared" si="34"/>
        <v>83.551952518389101</v>
      </c>
      <c r="J257" s="19">
        <f t="shared" si="35"/>
        <v>996106.45845279144</v>
      </c>
      <c r="K257" s="16">
        <f t="shared" si="33"/>
        <v>0.99680422140777691</v>
      </c>
    </row>
    <row r="258" spans="1:11" x14ac:dyDescent="0.15">
      <c r="A258" s="7">
        <v>39235.498564814814</v>
      </c>
      <c r="B258">
        <v>40.1</v>
      </c>
      <c r="C258" s="6">
        <f t="shared" si="27"/>
        <v>476.00000000093132</v>
      </c>
      <c r="D258" t="str">
        <f t="shared" si="28"/>
        <v/>
      </c>
      <c r="E258">
        <f t="shared" si="30"/>
        <v>39235.498564814814</v>
      </c>
      <c r="F258" s="4">
        <f t="shared" si="29"/>
        <v>0.5</v>
      </c>
      <c r="G258" s="4">
        <f t="shared" si="31"/>
        <v>0.25</v>
      </c>
      <c r="H258" s="5">
        <f t="shared" si="32"/>
        <v>0.44999996374826806</v>
      </c>
      <c r="I258" s="14">
        <f t="shared" si="34"/>
        <v>83.551952518389101</v>
      </c>
      <c r="J258" s="19">
        <f t="shared" si="35"/>
        <v>996190.01040530985</v>
      </c>
      <c r="K258" s="16">
        <f t="shared" si="33"/>
        <v>0.99688783188763119</v>
      </c>
    </row>
    <row r="259" spans="1:11" x14ac:dyDescent="0.15">
      <c r="A259" s="7">
        <v>39235.49858796296</v>
      </c>
      <c r="B259">
        <v>40</v>
      </c>
      <c r="C259" s="6">
        <f t="shared" si="27"/>
        <v>477.99999983981252</v>
      </c>
      <c r="D259" t="str">
        <f t="shared" si="28"/>
        <v/>
      </c>
      <c r="E259">
        <f t="shared" si="30"/>
        <v>39235.49858796296</v>
      </c>
      <c r="F259" s="4">
        <f t="shared" si="29"/>
        <v>0.39999999999999858</v>
      </c>
      <c r="G259" s="4">
        <f t="shared" si="31"/>
        <v>0.19999999999999929</v>
      </c>
      <c r="H259" s="5">
        <f t="shared" si="32"/>
        <v>0.44999996374826806</v>
      </c>
      <c r="I259" s="14">
        <f t="shared" si="34"/>
        <v>83.551952518389101</v>
      </c>
      <c r="J259" s="19">
        <f t="shared" si="35"/>
        <v>996273.56235782825</v>
      </c>
      <c r="K259" s="16">
        <f t="shared" si="33"/>
        <v>0.99697144236748547</v>
      </c>
    </row>
    <row r="260" spans="1:11" x14ac:dyDescent="0.15">
      <c r="A260" s="7">
        <v>39235.498611111114</v>
      </c>
      <c r="B260">
        <v>40</v>
      </c>
      <c r="C260" s="6">
        <f t="shared" si="27"/>
        <v>480.00000030733645</v>
      </c>
      <c r="D260" t="str">
        <f t="shared" si="28"/>
        <v/>
      </c>
      <c r="E260">
        <f t="shared" si="30"/>
        <v>39235.498611111114</v>
      </c>
      <c r="F260" s="4">
        <f t="shared" si="29"/>
        <v>0.39999999999999858</v>
      </c>
      <c r="G260" s="4">
        <f t="shared" si="31"/>
        <v>0.19999999999999929</v>
      </c>
      <c r="H260" s="5">
        <f t="shared" si="32"/>
        <v>0.40000009350478505</v>
      </c>
      <c r="I260" s="14">
        <f t="shared" si="34"/>
        <v>74.268425582715679</v>
      </c>
      <c r="J260" s="19">
        <f t="shared" si="35"/>
        <v>996347.83078341093</v>
      </c>
      <c r="K260" s="16">
        <f t="shared" si="33"/>
        <v>0.99704576281738311</v>
      </c>
    </row>
    <row r="261" spans="1:11" x14ac:dyDescent="0.15">
      <c r="A261" s="7">
        <v>39235.49863425926</v>
      </c>
      <c r="B261">
        <v>40</v>
      </c>
      <c r="C261" s="6">
        <f t="shared" si="27"/>
        <v>482.00000014621764</v>
      </c>
      <c r="D261" t="str">
        <f t="shared" si="28"/>
        <v/>
      </c>
      <c r="E261">
        <f t="shared" si="30"/>
        <v>39235.49863425926</v>
      </c>
      <c r="F261" s="4">
        <f t="shared" si="29"/>
        <v>0.39999999999999858</v>
      </c>
      <c r="G261" s="4">
        <f t="shared" si="31"/>
        <v>0.19999999999999929</v>
      </c>
      <c r="H261" s="5">
        <f t="shared" si="32"/>
        <v>0.39999996777623748</v>
      </c>
      <c r="I261" s="14">
        <f t="shared" si="34"/>
        <v>74.26840223856793</v>
      </c>
      <c r="J261" s="19">
        <f t="shared" si="35"/>
        <v>996422.09918564954</v>
      </c>
      <c r="K261" s="16">
        <f t="shared" si="33"/>
        <v>0.99712008324392032</v>
      </c>
    </row>
    <row r="262" spans="1:11" x14ac:dyDescent="0.15">
      <c r="A262" s="7">
        <v>39235.498657407406</v>
      </c>
      <c r="B262">
        <v>40</v>
      </c>
      <c r="C262" s="6">
        <f t="shared" si="27"/>
        <v>483.99999998509884</v>
      </c>
      <c r="D262" t="str">
        <f t="shared" si="28"/>
        <v/>
      </c>
      <c r="E262">
        <f t="shared" si="30"/>
        <v>39235.498657407406</v>
      </c>
      <c r="F262" s="4">
        <f t="shared" si="29"/>
        <v>0.39999999999999858</v>
      </c>
      <c r="G262" s="4">
        <f t="shared" si="31"/>
        <v>0.19999999999999929</v>
      </c>
      <c r="H262" s="5">
        <f t="shared" si="32"/>
        <v>0.39999996777623748</v>
      </c>
      <c r="I262" s="14">
        <f t="shared" si="34"/>
        <v>74.26840223856793</v>
      </c>
      <c r="J262" s="19">
        <f t="shared" si="35"/>
        <v>996496.36758788815</v>
      </c>
      <c r="K262" s="16">
        <f t="shared" si="33"/>
        <v>0.99719440367045742</v>
      </c>
    </row>
    <row r="263" spans="1:11" x14ac:dyDescent="0.15">
      <c r="A263" s="7">
        <v>39235.498680555553</v>
      </c>
      <c r="B263">
        <v>39.799999999999997</v>
      </c>
      <c r="C263" s="6">
        <f t="shared" si="27"/>
        <v>485.99999982398003</v>
      </c>
      <c r="D263" t="str">
        <f t="shared" si="28"/>
        <v/>
      </c>
      <c r="E263">
        <f t="shared" si="30"/>
        <v>39235.498680555553</v>
      </c>
      <c r="F263" s="4">
        <f t="shared" si="29"/>
        <v>0.19999999999999574</v>
      </c>
      <c r="G263" s="4">
        <f t="shared" si="31"/>
        <v>9.9999999999997868E-2</v>
      </c>
      <c r="H263" s="5">
        <f t="shared" si="32"/>
        <v>0.29999997583217636</v>
      </c>
      <c r="I263" s="14">
        <f t="shared" si="34"/>
        <v>55.701301678925624</v>
      </c>
      <c r="J263" s="19">
        <f t="shared" si="35"/>
        <v>996552.06888956705</v>
      </c>
      <c r="K263" s="16">
        <f t="shared" si="33"/>
        <v>0.99725014399036027</v>
      </c>
    </row>
    <row r="264" spans="1:11" x14ac:dyDescent="0.15">
      <c r="A264" s="7">
        <v>39235.498703703706</v>
      </c>
      <c r="B264">
        <v>40</v>
      </c>
      <c r="C264" s="6">
        <f t="shared" si="27"/>
        <v>488.00000029150397</v>
      </c>
      <c r="D264" t="str">
        <f t="shared" si="28"/>
        <v/>
      </c>
      <c r="E264">
        <f t="shared" si="30"/>
        <v>39235.498703703706</v>
      </c>
      <c r="F264" s="4">
        <f t="shared" si="29"/>
        <v>0.39999999999999858</v>
      </c>
      <c r="G264" s="4">
        <f t="shared" si="31"/>
        <v>0.19999999999999929</v>
      </c>
      <c r="H264" s="5">
        <f t="shared" si="32"/>
        <v>0.30000007012858704</v>
      </c>
      <c r="I264" s="14">
        <f t="shared" si="34"/>
        <v>55.701319187036432</v>
      </c>
      <c r="J264" s="19">
        <f t="shared" si="35"/>
        <v>996607.77020875411</v>
      </c>
      <c r="K264" s="16">
        <f t="shared" si="33"/>
        <v>0.99730588432778355</v>
      </c>
    </row>
    <row r="265" spans="1:11" x14ac:dyDescent="0.15">
      <c r="A265" s="7">
        <v>39235.498726851853</v>
      </c>
      <c r="B265">
        <v>39.799999999999997</v>
      </c>
      <c r="C265" s="6">
        <f t="shared" si="27"/>
        <v>490.00000013038516</v>
      </c>
      <c r="D265" t="str">
        <f t="shared" si="28"/>
        <v/>
      </c>
      <c r="E265">
        <f t="shared" si="30"/>
        <v>39235.498726851853</v>
      </c>
      <c r="F265" s="4">
        <f t="shared" si="29"/>
        <v>0.19999999999999574</v>
      </c>
      <c r="G265" s="4">
        <f t="shared" si="31"/>
        <v>9.9999999999997868E-2</v>
      </c>
      <c r="H265" s="5">
        <f t="shared" si="32"/>
        <v>0.29999997583217636</v>
      </c>
      <c r="I265" s="14">
        <f t="shared" si="34"/>
        <v>55.701301678925624</v>
      </c>
      <c r="J265" s="19">
        <f t="shared" si="35"/>
        <v>996663.47151043301</v>
      </c>
      <c r="K265" s="16">
        <f t="shared" si="33"/>
        <v>0.99736162464768641</v>
      </c>
    </row>
    <row r="266" spans="1:11" x14ac:dyDescent="0.15">
      <c r="A266" s="7">
        <v>39235.498749999999</v>
      </c>
      <c r="B266">
        <v>40</v>
      </c>
      <c r="C266" s="6">
        <f t="shared" si="27"/>
        <v>491.99999996926636</v>
      </c>
      <c r="D266" t="str">
        <f t="shared" si="28"/>
        <v/>
      </c>
      <c r="E266">
        <f t="shared" si="30"/>
        <v>39235.498749999999</v>
      </c>
      <c r="F266" s="4">
        <f t="shared" si="29"/>
        <v>0.39999999999999858</v>
      </c>
      <c r="G266" s="4">
        <f t="shared" si="31"/>
        <v>0.19999999999999929</v>
      </c>
      <c r="H266" s="5">
        <f t="shared" si="32"/>
        <v>0.29999997583217636</v>
      </c>
      <c r="I266" s="14">
        <f t="shared" si="34"/>
        <v>55.701301678925624</v>
      </c>
      <c r="J266" s="19">
        <f t="shared" si="35"/>
        <v>996719.17281211191</v>
      </c>
      <c r="K266" s="16">
        <f t="shared" si="33"/>
        <v>0.99741736496758926</v>
      </c>
    </row>
    <row r="267" spans="1:11" x14ac:dyDescent="0.15">
      <c r="A267" s="7">
        <v>39235.498773148145</v>
      </c>
      <c r="B267">
        <v>40</v>
      </c>
      <c r="C267" s="6">
        <f t="shared" si="27"/>
        <v>493.99999980814755</v>
      </c>
      <c r="D267" t="str">
        <f t="shared" si="28"/>
        <v/>
      </c>
      <c r="E267">
        <f t="shared" si="30"/>
        <v>39235.498773148145</v>
      </c>
      <c r="F267" s="4">
        <f t="shared" si="29"/>
        <v>0.39999999999999858</v>
      </c>
      <c r="G267" s="4">
        <f t="shared" si="31"/>
        <v>0.19999999999999929</v>
      </c>
      <c r="H267" s="5">
        <f t="shared" si="32"/>
        <v>0.39999996777623748</v>
      </c>
      <c r="I267" s="14">
        <f t="shared" si="34"/>
        <v>74.26840223856793</v>
      </c>
      <c r="J267" s="19">
        <f t="shared" si="35"/>
        <v>996793.44121435052</v>
      </c>
      <c r="K267" s="16">
        <f t="shared" si="33"/>
        <v>0.99749168539412636</v>
      </c>
    </row>
    <row r="268" spans="1:11" x14ac:dyDescent="0.15">
      <c r="A268" s="7">
        <v>39235.498796296299</v>
      </c>
      <c r="B268">
        <v>40</v>
      </c>
      <c r="C268" s="6">
        <f t="shared" si="27"/>
        <v>496.00000027567148</v>
      </c>
      <c r="D268" t="str">
        <f t="shared" si="28"/>
        <v/>
      </c>
      <c r="E268">
        <f t="shared" si="30"/>
        <v>39235.498796296299</v>
      </c>
      <c r="F268" s="4">
        <f t="shared" si="29"/>
        <v>0.39999999999999858</v>
      </c>
      <c r="G268" s="4">
        <f t="shared" si="31"/>
        <v>0.19999999999999929</v>
      </c>
      <c r="H268" s="5">
        <f t="shared" si="32"/>
        <v>0.40000009350478505</v>
      </c>
      <c r="I268" s="14">
        <f t="shared" si="34"/>
        <v>74.268425582715679</v>
      </c>
      <c r="J268" s="19">
        <f t="shared" si="35"/>
        <v>996867.70963993319</v>
      </c>
      <c r="K268" s="16">
        <f t="shared" si="33"/>
        <v>0.997566005844024</v>
      </c>
    </row>
    <row r="269" spans="1:11" x14ac:dyDescent="0.15">
      <c r="A269" s="7">
        <v>39235.498819444445</v>
      </c>
      <c r="B269">
        <v>39.799999999999997</v>
      </c>
      <c r="C269" s="6">
        <f t="shared" si="27"/>
        <v>498.00000011455268</v>
      </c>
      <c r="D269" t="str">
        <f t="shared" si="28"/>
        <v/>
      </c>
      <c r="E269">
        <f t="shared" si="30"/>
        <v>39235.498819444445</v>
      </c>
      <c r="F269" s="4">
        <f t="shared" si="29"/>
        <v>0.19999999999999574</v>
      </c>
      <c r="G269" s="4">
        <f t="shared" si="31"/>
        <v>9.9999999999997868E-2</v>
      </c>
      <c r="H269" s="5">
        <f t="shared" si="32"/>
        <v>0.29999997583217636</v>
      </c>
      <c r="I269" s="14">
        <f t="shared" si="34"/>
        <v>55.701301678925624</v>
      </c>
      <c r="J269" s="19">
        <f t="shared" si="35"/>
        <v>996923.41094161209</v>
      </c>
      <c r="K269" s="16">
        <f t="shared" si="33"/>
        <v>0.99762174616392685</v>
      </c>
    </row>
    <row r="270" spans="1:11" x14ac:dyDescent="0.15">
      <c r="A270" s="7">
        <v>39235.498842592591</v>
      </c>
      <c r="B270">
        <v>39.799999999999997</v>
      </c>
      <c r="C270" s="6">
        <f t="shared" si="27"/>
        <v>499.99999995343387</v>
      </c>
      <c r="D270" t="str">
        <f t="shared" si="28"/>
        <v/>
      </c>
      <c r="E270">
        <f t="shared" si="30"/>
        <v>39235.498842592591</v>
      </c>
      <c r="F270" s="4">
        <f t="shared" si="29"/>
        <v>0.19999999999999574</v>
      </c>
      <c r="G270" s="4">
        <f t="shared" si="31"/>
        <v>9.9999999999997868E-2</v>
      </c>
      <c r="H270" s="5">
        <f t="shared" si="32"/>
        <v>0.19999998388811518</v>
      </c>
      <c r="I270" s="14">
        <f t="shared" si="34"/>
        <v>37.134201119283311</v>
      </c>
      <c r="J270" s="19">
        <f t="shared" si="35"/>
        <v>996960.5451427314</v>
      </c>
      <c r="K270" s="16">
        <f t="shared" si="33"/>
        <v>0.99765890637719545</v>
      </c>
    </row>
    <row r="271" spans="1:11" x14ac:dyDescent="0.15">
      <c r="A271" s="7">
        <v>39235.498865740738</v>
      </c>
      <c r="B271">
        <v>39.799999999999997</v>
      </c>
      <c r="C271" s="6">
        <f t="shared" si="27"/>
        <v>501.99999979231507</v>
      </c>
      <c r="D271" t="str">
        <f t="shared" si="28"/>
        <v/>
      </c>
      <c r="E271">
        <f t="shared" si="30"/>
        <v>39235.498865740738</v>
      </c>
      <c r="F271" s="4">
        <f t="shared" si="29"/>
        <v>0.19999999999999574</v>
      </c>
      <c r="G271" s="4">
        <f t="shared" si="31"/>
        <v>9.9999999999997868E-2</v>
      </c>
      <c r="H271" s="5">
        <f t="shared" si="32"/>
        <v>0.19999998388811518</v>
      </c>
      <c r="I271" s="14">
        <f t="shared" si="34"/>
        <v>37.134201119283311</v>
      </c>
      <c r="J271" s="19">
        <f t="shared" si="35"/>
        <v>996997.6793438507</v>
      </c>
      <c r="K271" s="16">
        <f t="shared" si="33"/>
        <v>0.99769606659046406</v>
      </c>
    </row>
    <row r="272" spans="1:11" x14ac:dyDescent="0.15">
      <c r="A272" s="7">
        <v>39235.498888888891</v>
      </c>
      <c r="B272">
        <v>39.799999999999997</v>
      </c>
      <c r="C272" s="6">
        <f t="shared" si="27"/>
        <v>504.000000259839</v>
      </c>
      <c r="D272" t="str">
        <f t="shared" si="28"/>
        <v/>
      </c>
      <c r="E272">
        <f t="shared" si="30"/>
        <v>39235.498888888891</v>
      </c>
      <c r="F272" s="4">
        <f t="shared" si="29"/>
        <v>0.19999999999999574</v>
      </c>
      <c r="G272" s="4">
        <f t="shared" si="31"/>
        <v>9.9999999999997868E-2</v>
      </c>
      <c r="H272" s="5">
        <f t="shared" si="32"/>
        <v>0.20000004675238897</v>
      </c>
      <c r="I272" s="14">
        <f t="shared" si="34"/>
        <v>37.134212791357179</v>
      </c>
      <c r="J272" s="19">
        <f t="shared" si="35"/>
        <v>997034.81355664204</v>
      </c>
      <c r="K272" s="16">
        <f t="shared" si="33"/>
        <v>0.99773322681541288</v>
      </c>
    </row>
    <row r="273" spans="1:11" x14ac:dyDescent="0.15">
      <c r="A273" s="7">
        <v>39235.498912037037</v>
      </c>
      <c r="B273">
        <v>40</v>
      </c>
      <c r="C273" s="6">
        <f t="shared" si="27"/>
        <v>506.00000009872019</v>
      </c>
      <c r="D273" t="str">
        <f t="shared" si="28"/>
        <v/>
      </c>
      <c r="E273">
        <f t="shared" si="30"/>
        <v>39235.498912037037</v>
      </c>
      <c r="F273" s="4">
        <f t="shared" si="29"/>
        <v>0.39999999999999858</v>
      </c>
      <c r="G273" s="4">
        <f t="shared" si="31"/>
        <v>0.19999999999999929</v>
      </c>
      <c r="H273" s="5">
        <f t="shared" si="32"/>
        <v>0.29999997583217636</v>
      </c>
      <c r="I273" s="14">
        <f t="shared" si="34"/>
        <v>55.701301678925624</v>
      </c>
      <c r="J273" s="19">
        <f t="shared" si="35"/>
        <v>997090.51485832094</v>
      </c>
      <c r="K273" s="16">
        <f t="shared" si="33"/>
        <v>0.99778896713531562</v>
      </c>
    </row>
    <row r="274" spans="1:11" x14ac:dyDescent="0.15">
      <c r="A274" s="7">
        <v>39235.498935185184</v>
      </c>
      <c r="B274">
        <v>40</v>
      </c>
      <c r="C274" s="6">
        <f t="shared" si="27"/>
        <v>507.99999993760139</v>
      </c>
      <c r="D274" t="str">
        <f t="shared" si="28"/>
        <v/>
      </c>
      <c r="E274">
        <f t="shared" si="30"/>
        <v>39235.498935185184</v>
      </c>
      <c r="F274" s="4">
        <f t="shared" si="29"/>
        <v>0.39999999999999858</v>
      </c>
      <c r="G274" s="4">
        <f t="shared" si="31"/>
        <v>0.19999999999999929</v>
      </c>
      <c r="H274" s="5">
        <f t="shared" si="32"/>
        <v>0.39999996777623748</v>
      </c>
      <c r="I274" s="14">
        <f t="shared" si="34"/>
        <v>74.26840223856793</v>
      </c>
      <c r="J274" s="19">
        <f t="shared" si="35"/>
        <v>997164.78326055955</v>
      </c>
      <c r="K274" s="16">
        <f t="shared" si="33"/>
        <v>0.99786328756185283</v>
      </c>
    </row>
    <row r="275" spans="1:11" x14ac:dyDescent="0.15">
      <c r="A275" s="7">
        <v>39235.49895833333</v>
      </c>
      <c r="B275">
        <v>39.799999999999997</v>
      </c>
      <c r="C275" s="6">
        <f t="shared" si="27"/>
        <v>509.99999977648258</v>
      </c>
      <c r="D275" t="str">
        <f t="shared" si="28"/>
        <v/>
      </c>
      <c r="E275">
        <f t="shared" si="30"/>
        <v>39235.49895833333</v>
      </c>
      <c r="F275" s="4">
        <f t="shared" si="29"/>
        <v>0.19999999999999574</v>
      </c>
      <c r="G275" s="4">
        <f t="shared" si="31"/>
        <v>9.9999999999997868E-2</v>
      </c>
      <c r="H275" s="5">
        <f t="shared" si="32"/>
        <v>0.29999997583217636</v>
      </c>
      <c r="I275" s="14">
        <f t="shared" si="34"/>
        <v>55.701301678925624</v>
      </c>
      <c r="J275" s="19">
        <f t="shared" si="35"/>
        <v>997220.48456223845</v>
      </c>
      <c r="K275" s="16">
        <f t="shared" si="33"/>
        <v>0.99791902788175568</v>
      </c>
    </row>
    <row r="276" spans="1:11" x14ac:dyDescent="0.15">
      <c r="A276" s="7">
        <v>39235.498981481483</v>
      </c>
      <c r="B276">
        <v>39.799999999999997</v>
      </c>
      <c r="C276" s="6">
        <f t="shared" ref="C276:C295" si="36">(A276-$B$4)*24*60*60</f>
        <v>512.00000024400651</v>
      </c>
      <c r="D276" t="str">
        <f t="shared" ref="D276:D295" si="37">IF(F276=$B$8,A276,"")</f>
        <v/>
      </c>
      <c r="E276">
        <f t="shared" si="30"/>
        <v>39235.498981481483</v>
      </c>
      <c r="F276" s="4">
        <f t="shared" ref="F276:F295" si="38">IF((B276-$B$6)&gt;0,B276-$B$6,0)</f>
        <v>0.19999999999999574</v>
      </c>
      <c r="G276" s="4">
        <f t="shared" si="31"/>
        <v>9.9999999999997868E-2</v>
      </c>
      <c r="H276" s="5">
        <f t="shared" si="32"/>
        <v>0.20000004675238897</v>
      </c>
      <c r="I276" s="14">
        <f t="shared" si="34"/>
        <v>37.134212791357179</v>
      </c>
      <c r="J276" s="19">
        <f t="shared" si="35"/>
        <v>997257.61877502978</v>
      </c>
      <c r="K276" s="16">
        <f t="shared" si="33"/>
        <v>0.9979561881067045</v>
      </c>
    </row>
    <row r="277" spans="1:11" x14ac:dyDescent="0.15">
      <c r="A277" s="7">
        <v>39235.49900462963</v>
      </c>
      <c r="B277">
        <v>39.799999999999997</v>
      </c>
      <c r="C277" s="6">
        <f t="shared" si="36"/>
        <v>514.00000008288771</v>
      </c>
      <c r="D277" t="str">
        <f t="shared" si="37"/>
        <v/>
      </c>
      <c r="E277">
        <f t="shared" ref="E277:E340" si="39">IF(B277-$B$6&gt;0,A277," ")</f>
        <v>39235.49900462963</v>
      </c>
      <c r="F277" s="4">
        <f t="shared" si="38"/>
        <v>0.19999999999999574</v>
      </c>
      <c r="G277" s="4">
        <f t="shared" ref="G277:G295" si="40">F277/2</f>
        <v>9.9999999999997868E-2</v>
      </c>
      <c r="H277" s="5">
        <f t="shared" ref="H277:H295" si="41">AVERAGE(G276:G277)*(C277-C276)</f>
        <v>0.19999998388811518</v>
      </c>
      <c r="I277" s="14">
        <f t="shared" si="34"/>
        <v>37.134201119283311</v>
      </c>
      <c r="J277" s="19">
        <f t="shared" si="35"/>
        <v>997294.75297614909</v>
      </c>
      <c r="K277" s="16">
        <f t="shared" ref="K277:K295" si="42">J277/($B$12*1000)</f>
        <v>0.99799334831997311</v>
      </c>
    </row>
    <row r="278" spans="1:11" x14ac:dyDescent="0.15">
      <c r="A278" s="7">
        <v>39235.499027777776</v>
      </c>
      <c r="B278">
        <v>39.799999999999997</v>
      </c>
      <c r="C278" s="6">
        <f t="shared" si="36"/>
        <v>515.9999999217689</v>
      </c>
      <c r="D278" t="str">
        <f t="shared" si="37"/>
        <v/>
      </c>
      <c r="E278">
        <f t="shared" si="39"/>
        <v>39235.499027777776</v>
      </c>
      <c r="F278" s="4">
        <f t="shared" si="38"/>
        <v>0.19999999999999574</v>
      </c>
      <c r="G278" s="4">
        <f t="shared" si="40"/>
        <v>9.9999999999997868E-2</v>
      </c>
      <c r="H278" s="5">
        <f t="shared" si="41"/>
        <v>0.19999998388811518</v>
      </c>
      <c r="I278" s="14">
        <f t="shared" ref="I278:I295" si="43">H278*$B$14</f>
        <v>37.134201119283311</v>
      </c>
      <c r="J278" s="19">
        <f t="shared" ref="J278:J295" si="44">J277+I278</f>
        <v>997331.88717726839</v>
      </c>
      <c r="K278" s="16">
        <f t="shared" si="42"/>
        <v>0.99803050853324171</v>
      </c>
    </row>
    <row r="279" spans="1:11" x14ac:dyDescent="0.15">
      <c r="A279" s="7">
        <v>39235.499050925922</v>
      </c>
      <c r="B279">
        <v>39.799999999999997</v>
      </c>
      <c r="C279" s="6">
        <f t="shared" si="36"/>
        <v>517.9999997606501</v>
      </c>
      <c r="D279" t="str">
        <f t="shared" si="37"/>
        <v/>
      </c>
      <c r="E279">
        <f t="shared" si="39"/>
        <v>39235.499050925922</v>
      </c>
      <c r="F279" s="4">
        <f t="shared" si="38"/>
        <v>0.19999999999999574</v>
      </c>
      <c r="G279" s="4">
        <f t="shared" si="40"/>
        <v>9.9999999999997868E-2</v>
      </c>
      <c r="H279" s="5">
        <f t="shared" si="41"/>
        <v>0.19999998388811518</v>
      </c>
      <c r="I279" s="14">
        <f t="shared" si="43"/>
        <v>37.134201119283311</v>
      </c>
      <c r="J279" s="19">
        <f t="shared" si="44"/>
        <v>997369.0213783877</v>
      </c>
      <c r="K279" s="16">
        <f t="shared" si="42"/>
        <v>0.99806766874651021</v>
      </c>
    </row>
    <row r="280" spans="1:11" x14ac:dyDescent="0.15">
      <c r="A280" s="7">
        <v>39235.499074074076</v>
      </c>
      <c r="B280">
        <v>39.799999999999997</v>
      </c>
      <c r="C280" s="6">
        <f t="shared" si="36"/>
        <v>520.00000022817403</v>
      </c>
      <c r="D280" t="str">
        <f t="shared" si="37"/>
        <v/>
      </c>
      <c r="E280">
        <f t="shared" si="39"/>
        <v>39235.499074074076</v>
      </c>
      <c r="F280" s="4">
        <f t="shared" si="38"/>
        <v>0.19999999999999574</v>
      </c>
      <c r="G280" s="4">
        <f t="shared" si="40"/>
        <v>9.9999999999997868E-2</v>
      </c>
      <c r="H280" s="5">
        <f t="shared" si="41"/>
        <v>0.20000004675238897</v>
      </c>
      <c r="I280" s="14">
        <f t="shared" si="43"/>
        <v>37.134212791357179</v>
      </c>
      <c r="J280" s="19">
        <f t="shared" si="44"/>
        <v>997406.15559117903</v>
      </c>
      <c r="K280" s="16">
        <f t="shared" si="42"/>
        <v>0.99810482897145902</v>
      </c>
    </row>
    <row r="281" spans="1:11" x14ac:dyDescent="0.15">
      <c r="A281" s="7">
        <v>39235.499097222222</v>
      </c>
      <c r="B281">
        <v>39.799999999999997</v>
      </c>
      <c r="C281" s="6">
        <f t="shared" si="36"/>
        <v>522.00000006705523</v>
      </c>
      <c r="D281" t="str">
        <f t="shared" si="37"/>
        <v/>
      </c>
      <c r="E281">
        <f t="shared" si="39"/>
        <v>39235.499097222222</v>
      </c>
      <c r="F281" s="4">
        <f t="shared" si="38"/>
        <v>0.19999999999999574</v>
      </c>
      <c r="G281" s="4">
        <f t="shared" si="40"/>
        <v>9.9999999999997868E-2</v>
      </c>
      <c r="H281" s="5">
        <f t="shared" si="41"/>
        <v>0.19999998388811518</v>
      </c>
      <c r="I281" s="14">
        <f t="shared" si="43"/>
        <v>37.134201119283311</v>
      </c>
      <c r="J281" s="19">
        <f t="shared" si="44"/>
        <v>997443.28979229834</v>
      </c>
      <c r="K281" s="16">
        <f t="shared" si="42"/>
        <v>0.99814198918472763</v>
      </c>
    </row>
    <row r="282" spans="1:11" x14ac:dyDescent="0.15">
      <c r="A282" s="7">
        <v>39235.499120370368</v>
      </c>
      <c r="B282">
        <v>39.799999999999997</v>
      </c>
      <c r="C282" s="6">
        <f t="shared" si="36"/>
        <v>523.99999990593642</v>
      </c>
      <c r="D282" t="str">
        <f t="shared" si="37"/>
        <v/>
      </c>
      <c r="E282">
        <f t="shared" si="39"/>
        <v>39235.499120370368</v>
      </c>
      <c r="F282" s="4">
        <f t="shared" si="38"/>
        <v>0.19999999999999574</v>
      </c>
      <c r="G282" s="4">
        <f t="shared" si="40"/>
        <v>9.9999999999997868E-2</v>
      </c>
      <c r="H282" s="5">
        <f t="shared" si="41"/>
        <v>0.19999998388811518</v>
      </c>
      <c r="I282" s="14">
        <f t="shared" si="43"/>
        <v>37.134201119283311</v>
      </c>
      <c r="J282" s="19">
        <f t="shared" si="44"/>
        <v>997480.42399341764</v>
      </c>
      <c r="K282" s="16">
        <f t="shared" si="42"/>
        <v>0.99817914939799623</v>
      </c>
    </row>
    <row r="283" spans="1:11" x14ac:dyDescent="0.15">
      <c r="A283" s="7">
        <v>39235.499143518522</v>
      </c>
      <c r="B283">
        <v>39.799999999999997</v>
      </c>
      <c r="C283" s="6">
        <f t="shared" si="36"/>
        <v>526.00000037346035</v>
      </c>
      <c r="D283" t="str">
        <f t="shared" si="37"/>
        <v/>
      </c>
      <c r="E283">
        <f t="shared" si="39"/>
        <v>39235.499143518522</v>
      </c>
      <c r="F283" s="4">
        <f t="shared" si="38"/>
        <v>0.19999999999999574</v>
      </c>
      <c r="G283" s="4">
        <f t="shared" si="40"/>
        <v>9.9999999999997868E-2</v>
      </c>
      <c r="H283" s="5">
        <f t="shared" si="41"/>
        <v>0.20000004675238897</v>
      </c>
      <c r="I283" s="14">
        <f t="shared" si="43"/>
        <v>37.134212791357179</v>
      </c>
      <c r="J283" s="19">
        <f t="shared" si="44"/>
        <v>997517.55820620898</v>
      </c>
      <c r="K283" s="16">
        <f t="shared" si="42"/>
        <v>0.99821630962294505</v>
      </c>
    </row>
    <row r="284" spans="1:11" x14ac:dyDescent="0.15">
      <c r="A284" s="7">
        <v>39235.499166666668</v>
      </c>
      <c r="B284">
        <v>39.799999999999997</v>
      </c>
      <c r="C284" s="6">
        <f t="shared" si="36"/>
        <v>528.00000021234155</v>
      </c>
      <c r="D284" t="str">
        <f t="shared" si="37"/>
        <v/>
      </c>
      <c r="E284">
        <f t="shared" si="39"/>
        <v>39235.499166666668</v>
      </c>
      <c r="F284" s="4">
        <f t="shared" si="38"/>
        <v>0.19999999999999574</v>
      </c>
      <c r="G284" s="4">
        <f t="shared" si="40"/>
        <v>9.9999999999997868E-2</v>
      </c>
      <c r="H284" s="5">
        <f t="shared" si="41"/>
        <v>0.19999998388811518</v>
      </c>
      <c r="I284" s="14">
        <f t="shared" si="43"/>
        <v>37.134201119283311</v>
      </c>
      <c r="J284" s="19">
        <f t="shared" si="44"/>
        <v>997554.69240732829</v>
      </c>
      <c r="K284" s="16">
        <f t="shared" si="42"/>
        <v>0.99825346983621366</v>
      </c>
    </row>
    <row r="285" spans="1:11" x14ac:dyDescent="0.15">
      <c r="A285" s="7">
        <v>39235.499189814815</v>
      </c>
      <c r="B285">
        <v>39.799999999999997</v>
      </c>
      <c r="C285" s="6">
        <f t="shared" si="36"/>
        <v>530.00000005122274</v>
      </c>
      <c r="D285" t="str">
        <f t="shared" si="37"/>
        <v/>
      </c>
      <c r="E285">
        <f t="shared" si="39"/>
        <v>39235.499189814815</v>
      </c>
      <c r="F285" s="4">
        <f t="shared" si="38"/>
        <v>0.19999999999999574</v>
      </c>
      <c r="G285" s="4">
        <f t="shared" si="40"/>
        <v>9.9999999999997868E-2</v>
      </c>
      <c r="H285" s="5">
        <f t="shared" si="41"/>
        <v>0.19999998388811518</v>
      </c>
      <c r="I285" s="14">
        <f t="shared" si="43"/>
        <v>37.134201119283311</v>
      </c>
      <c r="J285" s="19">
        <f t="shared" si="44"/>
        <v>997591.82660844759</v>
      </c>
      <c r="K285" s="16">
        <f t="shared" si="42"/>
        <v>0.99829063004948226</v>
      </c>
    </row>
    <row r="286" spans="1:11" x14ac:dyDescent="0.15">
      <c r="A286" s="7">
        <v>39235.499212962961</v>
      </c>
      <c r="B286">
        <v>39.799999999999997</v>
      </c>
      <c r="C286" s="6">
        <f t="shared" si="36"/>
        <v>531.99999989010394</v>
      </c>
      <c r="D286" t="str">
        <f t="shared" si="37"/>
        <v/>
      </c>
      <c r="E286">
        <f t="shared" si="39"/>
        <v>39235.499212962961</v>
      </c>
      <c r="F286" s="4">
        <f t="shared" si="38"/>
        <v>0.19999999999999574</v>
      </c>
      <c r="G286" s="4">
        <f t="shared" si="40"/>
        <v>9.9999999999997868E-2</v>
      </c>
      <c r="H286" s="5">
        <f t="shared" si="41"/>
        <v>0.19999998388811518</v>
      </c>
      <c r="I286" s="14">
        <f t="shared" si="43"/>
        <v>37.134201119283311</v>
      </c>
      <c r="J286" s="19">
        <f t="shared" si="44"/>
        <v>997628.9608095669</v>
      </c>
      <c r="K286" s="16">
        <f t="shared" si="42"/>
        <v>0.99832779026275087</v>
      </c>
    </row>
    <row r="287" spans="1:11" x14ac:dyDescent="0.15">
      <c r="A287" s="7">
        <v>39235.499236111114</v>
      </c>
      <c r="B287">
        <v>39.799999999999997</v>
      </c>
      <c r="C287" s="6">
        <f t="shared" si="36"/>
        <v>534.00000035762787</v>
      </c>
      <c r="D287" t="str">
        <f t="shared" si="37"/>
        <v/>
      </c>
      <c r="E287">
        <f t="shared" si="39"/>
        <v>39235.499236111114</v>
      </c>
      <c r="F287" s="4">
        <f t="shared" si="38"/>
        <v>0.19999999999999574</v>
      </c>
      <c r="G287" s="4">
        <f t="shared" si="40"/>
        <v>9.9999999999997868E-2</v>
      </c>
      <c r="H287" s="5">
        <f t="shared" si="41"/>
        <v>0.20000004675238897</v>
      </c>
      <c r="I287" s="14">
        <f t="shared" si="43"/>
        <v>37.134212791357179</v>
      </c>
      <c r="J287" s="19">
        <f t="shared" si="44"/>
        <v>997666.09502235823</v>
      </c>
      <c r="K287" s="16">
        <f t="shared" si="42"/>
        <v>0.99836495048769958</v>
      </c>
    </row>
    <row r="288" spans="1:11" x14ac:dyDescent="0.15">
      <c r="A288" s="7">
        <v>39235.499259259261</v>
      </c>
      <c r="B288">
        <v>39.799999999999997</v>
      </c>
      <c r="C288" s="6">
        <f t="shared" si="36"/>
        <v>536.00000019650906</v>
      </c>
      <c r="D288" t="str">
        <f t="shared" si="37"/>
        <v/>
      </c>
      <c r="E288">
        <f t="shared" si="39"/>
        <v>39235.499259259261</v>
      </c>
      <c r="F288" s="4">
        <f t="shared" si="38"/>
        <v>0.19999999999999574</v>
      </c>
      <c r="G288" s="4">
        <f t="shared" si="40"/>
        <v>9.9999999999997868E-2</v>
      </c>
      <c r="H288" s="5">
        <f t="shared" si="41"/>
        <v>0.19999998388811518</v>
      </c>
      <c r="I288" s="14">
        <f t="shared" si="43"/>
        <v>37.134201119283311</v>
      </c>
      <c r="J288" s="19">
        <f t="shared" si="44"/>
        <v>997703.22922347754</v>
      </c>
      <c r="K288" s="16">
        <f t="shared" si="42"/>
        <v>0.99840211070096818</v>
      </c>
    </row>
    <row r="289" spans="1:11" x14ac:dyDescent="0.15">
      <c r="A289" s="7">
        <v>39235.499282407407</v>
      </c>
      <c r="B289">
        <v>39.799999999999997</v>
      </c>
      <c r="C289" s="6">
        <f t="shared" si="36"/>
        <v>538.00000003539026</v>
      </c>
      <c r="D289" t="str">
        <f t="shared" si="37"/>
        <v/>
      </c>
      <c r="E289">
        <f t="shared" si="39"/>
        <v>39235.499282407407</v>
      </c>
      <c r="F289" s="4">
        <f t="shared" si="38"/>
        <v>0.19999999999999574</v>
      </c>
      <c r="G289" s="4">
        <f t="shared" si="40"/>
        <v>9.9999999999997868E-2</v>
      </c>
      <c r="H289" s="5">
        <f t="shared" si="41"/>
        <v>0.19999998388811518</v>
      </c>
      <c r="I289" s="14">
        <f t="shared" si="43"/>
        <v>37.134201119283311</v>
      </c>
      <c r="J289" s="19">
        <f t="shared" si="44"/>
        <v>997740.36342459684</v>
      </c>
      <c r="K289" s="16">
        <f t="shared" si="42"/>
        <v>0.99843927091423679</v>
      </c>
    </row>
    <row r="290" spans="1:11" x14ac:dyDescent="0.15">
      <c r="A290" s="7">
        <v>39235.499305555553</v>
      </c>
      <c r="B290">
        <v>39.799999999999997</v>
      </c>
      <c r="C290" s="6">
        <f t="shared" si="36"/>
        <v>539.99999987427145</v>
      </c>
      <c r="D290" t="str">
        <f t="shared" si="37"/>
        <v/>
      </c>
      <c r="E290">
        <f t="shared" si="39"/>
        <v>39235.499305555553</v>
      </c>
      <c r="F290" s="4">
        <f t="shared" si="38"/>
        <v>0.19999999999999574</v>
      </c>
      <c r="G290" s="4">
        <f t="shared" si="40"/>
        <v>9.9999999999997868E-2</v>
      </c>
      <c r="H290" s="5">
        <f t="shared" si="41"/>
        <v>0.19999998388811518</v>
      </c>
      <c r="I290" s="14">
        <f t="shared" si="43"/>
        <v>37.134201119283311</v>
      </c>
      <c r="J290" s="19">
        <f t="shared" si="44"/>
        <v>997777.49762571615</v>
      </c>
      <c r="K290" s="16">
        <f t="shared" si="42"/>
        <v>0.99847643112750539</v>
      </c>
    </row>
    <row r="291" spans="1:11" x14ac:dyDescent="0.15">
      <c r="A291" s="7">
        <v>39235.499328703707</v>
      </c>
      <c r="B291">
        <v>39.799999999999997</v>
      </c>
      <c r="C291" s="6">
        <f t="shared" si="36"/>
        <v>542.00000034179538</v>
      </c>
      <c r="D291" t="str">
        <f t="shared" si="37"/>
        <v/>
      </c>
      <c r="E291">
        <f t="shared" si="39"/>
        <v>39235.499328703707</v>
      </c>
      <c r="F291" s="4">
        <f t="shared" si="38"/>
        <v>0.19999999999999574</v>
      </c>
      <c r="G291" s="4">
        <f t="shared" si="40"/>
        <v>9.9999999999997868E-2</v>
      </c>
      <c r="H291" s="5">
        <f t="shared" si="41"/>
        <v>0.20000004675238897</v>
      </c>
      <c r="I291" s="14">
        <f t="shared" si="43"/>
        <v>37.134212791357179</v>
      </c>
      <c r="J291" s="19">
        <f t="shared" si="44"/>
        <v>997814.63183850748</v>
      </c>
      <c r="K291" s="16">
        <f t="shared" si="42"/>
        <v>0.99851359135245421</v>
      </c>
    </row>
    <row r="292" spans="1:11" x14ac:dyDescent="0.15">
      <c r="A292" s="7">
        <v>39235.499351851853</v>
      </c>
      <c r="B292">
        <v>39.799999999999997</v>
      </c>
      <c r="C292" s="6">
        <f t="shared" si="36"/>
        <v>544.00000018067658</v>
      </c>
      <c r="D292" t="str">
        <f t="shared" si="37"/>
        <v/>
      </c>
      <c r="E292">
        <f t="shared" si="39"/>
        <v>39235.499351851853</v>
      </c>
      <c r="F292" s="4">
        <f t="shared" si="38"/>
        <v>0.19999999999999574</v>
      </c>
      <c r="G292" s="4">
        <f t="shared" si="40"/>
        <v>9.9999999999997868E-2</v>
      </c>
      <c r="H292" s="5">
        <f t="shared" si="41"/>
        <v>0.19999998388811518</v>
      </c>
      <c r="I292" s="14">
        <f t="shared" si="43"/>
        <v>37.134201119283311</v>
      </c>
      <c r="J292" s="19">
        <f t="shared" si="44"/>
        <v>997851.76603962679</v>
      </c>
      <c r="K292" s="16">
        <f t="shared" si="42"/>
        <v>0.99855075156572282</v>
      </c>
    </row>
    <row r="293" spans="1:11" x14ac:dyDescent="0.15">
      <c r="A293" s="7">
        <v>39235.499374999999</v>
      </c>
      <c r="B293">
        <v>39.799999999999997</v>
      </c>
      <c r="C293" s="6">
        <f t="shared" si="36"/>
        <v>546.00000001955777</v>
      </c>
      <c r="D293" t="str">
        <f t="shared" si="37"/>
        <v/>
      </c>
      <c r="E293">
        <f t="shared" si="39"/>
        <v>39235.499374999999</v>
      </c>
      <c r="F293" s="4">
        <f t="shared" si="38"/>
        <v>0.19999999999999574</v>
      </c>
      <c r="G293" s="4">
        <f t="shared" si="40"/>
        <v>9.9999999999997868E-2</v>
      </c>
      <c r="H293" s="5">
        <f t="shared" si="41"/>
        <v>0.19999998388811518</v>
      </c>
      <c r="I293" s="14">
        <f t="shared" si="43"/>
        <v>37.134201119283311</v>
      </c>
      <c r="J293" s="19">
        <f t="shared" si="44"/>
        <v>997888.90024074609</v>
      </c>
      <c r="K293" s="16">
        <f t="shared" si="42"/>
        <v>0.99858791177899142</v>
      </c>
    </row>
    <row r="294" spans="1:11" x14ac:dyDescent="0.15">
      <c r="A294" s="7">
        <v>39235.499398148146</v>
      </c>
      <c r="B294">
        <v>39.799999999999997</v>
      </c>
      <c r="C294" s="6">
        <f t="shared" si="36"/>
        <v>547.99999985843897</v>
      </c>
      <c r="D294" t="str">
        <f t="shared" si="37"/>
        <v/>
      </c>
      <c r="E294">
        <f t="shared" si="39"/>
        <v>39235.499398148146</v>
      </c>
      <c r="F294" s="4">
        <f t="shared" si="38"/>
        <v>0.19999999999999574</v>
      </c>
      <c r="G294" s="4">
        <f t="shared" si="40"/>
        <v>9.9999999999997868E-2</v>
      </c>
      <c r="H294" s="5">
        <f t="shared" si="41"/>
        <v>0.19999998388811518</v>
      </c>
      <c r="I294" s="14">
        <f t="shared" si="43"/>
        <v>37.134201119283311</v>
      </c>
      <c r="J294" s="19">
        <f t="shared" si="44"/>
        <v>997926.0344418654</v>
      </c>
      <c r="K294" s="16">
        <f t="shared" si="42"/>
        <v>0.99862507199226003</v>
      </c>
    </row>
    <row r="295" spans="1:11" x14ac:dyDescent="0.15">
      <c r="A295" s="7">
        <v>39235.499421296299</v>
      </c>
      <c r="B295">
        <v>39.799999999999997</v>
      </c>
      <c r="C295" s="6">
        <f t="shared" si="36"/>
        <v>550.0000003259629</v>
      </c>
      <c r="D295" t="str">
        <f t="shared" si="37"/>
        <v/>
      </c>
      <c r="E295">
        <f t="shared" si="39"/>
        <v>39235.499421296299</v>
      </c>
      <c r="F295" s="4">
        <f t="shared" si="38"/>
        <v>0.19999999999999574</v>
      </c>
      <c r="G295" s="4">
        <f t="shared" si="40"/>
        <v>9.9999999999997868E-2</v>
      </c>
      <c r="H295" s="5">
        <f t="shared" si="41"/>
        <v>0.20000004675238897</v>
      </c>
      <c r="I295" s="14">
        <f t="shared" si="43"/>
        <v>37.134212791357179</v>
      </c>
      <c r="J295" s="19">
        <f t="shared" si="44"/>
        <v>997963.16865465674</v>
      </c>
      <c r="K295" s="16">
        <f t="shared" si="42"/>
        <v>0.99866223221720873</v>
      </c>
    </row>
    <row r="296" spans="1:11" x14ac:dyDescent="0.15">
      <c r="A296" s="7">
        <v>39235.499444444446</v>
      </c>
      <c r="B296">
        <v>39.799999999999997</v>
      </c>
      <c r="C296" s="6">
        <f t="shared" ref="C296:C359" si="45">(A296-$B$4)*24*60*60</f>
        <v>552.0000001648441</v>
      </c>
      <c r="D296" t="str">
        <f t="shared" ref="D296:D359" si="46">IF(F296=$B$8,A296,"")</f>
        <v/>
      </c>
      <c r="E296">
        <f t="shared" si="39"/>
        <v>39235.499444444446</v>
      </c>
      <c r="F296" s="4">
        <f t="shared" ref="F296:F359" si="47">IF((B296-$B$6)&gt;0,B296-$B$6,0)</f>
        <v>0.19999999999999574</v>
      </c>
      <c r="G296" s="4">
        <f t="shared" ref="G296:G359" si="48">F296/2</f>
        <v>9.9999999999997868E-2</v>
      </c>
      <c r="H296" s="5">
        <f t="shared" ref="H296:H359" si="49">AVERAGE(G295:G296)*(C296-C295)</f>
        <v>0.19999998388811518</v>
      </c>
      <c r="I296" s="14">
        <f t="shared" ref="I296:I359" si="50">H296*$B$14</f>
        <v>37.134201119283311</v>
      </c>
      <c r="J296" s="19">
        <f t="shared" ref="J296:J359" si="51">J295+I296</f>
        <v>998000.30285577604</v>
      </c>
      <c r="K296" s="16">
        <f t="shared" ref="K296:K359" si="52">J296/($B$12*1000)</f>
        <v>0.99869939243047734</v>
      </c>
    </row>
    <row r="297" spans="1:11" x14ac:dyDescent="0.15">
      <c r="A297" s="7">
        <v>39235.499467592592</v>
      </c>
      <c r="B297">
        <v>39.799999999999997</v>
      </c>
      <c r="C297" s="6">
        <f t="shared" si="45"/>
        <v>554.00000000372529</v>
      </c>
      <c r="D297" t="str">
        <f t="shared" si="46"/>
        <v/>
      </c>
      <c r="E297">
        <f t="shared" si="39"/>
        <v>39235.499467592592</v>
      </c>
      <c r="F297" s="4">
        <f t="shared" si="47"/>
        <v>0.19999999999999574</v>
      </c>
      <c r="G297" s="4">
        <f t="shared" si="48"/>
        <v>9.9999999999997868E-2</v>
      </c>
      <c r="H297" s="5">
        <f t="shared" si="49"/>
        <v>0.19999998388811518</v>
      </c>
      <c r="I297" s="14">
        <f t="shared" si="50"/>
        <v>37.134201119283311</v>
      </c>
      <c r="J297" s="19">
        <f t="shared" si="51"/>
        <v>998037.43705689535</v>
      </c>
      <c r="K297" s="16">
        <f t="shared" si="52"/>
        <v>0.99873655264374595</v>
      </c>
    </row>
    <row r="298" spans="1:11" x14ac:dyDescent="0.15">
      <c r="A298" s="7">
        <v>39235.499490740738</v>
      </c>
      <c r="B298">
        <v>39.799999999999997</v>
      </c>
      <c r="C298" s="6">
        <f t="shared" si="45"/>
        <v>555.99999984260648</v>
      </c>
      <c r="D298" t="str">
        <f t="shared" si="46"/>
        <v/>
      </c>
      <c r="E298">
        <f t="shared" si="39"/>
        <v>39235.499490740738</v>
      </c>
      <c r="F298" s="4">
        <f t="shared" si="47"/>
        <v>0.19999999999999574</v>
      </c>
      <c r="G298" s="4">
        <f t="shared" si="48"/>
        <v>9.9999999999997868E-2</v>
      </c>
      <c r="H298" s="5">
        <f t="shared" si="49"/>
        <v>0.19999998388811518</v>
      </c>
      <c r="I298" s="14">
        <f t="shared" si="50"/>
        <v>37.134201119283311</v>
      </c>
      <c r="J298" s="19">
        <f t="shared" si="51"/>
        <v>998074.57125801465</v>
      </c>
      <c r="K298" s="16">
        <f t="shared" si="52"/>
        <v>0.99877371285701455</v>
      </c>
    </row>
    <row r="299" spans="1:11" x14ac:dyDescent="0.15">
      <c r="A299" s="7">
        <v>39235.499513888892</v>
      </c>
      <c r="B299">
        <v>39.799999999999997</v>
      </c>
      <c r="C299" s="6">
        <f t="shared" si="45"/>
        <v>558.00000031013042</v>
      </c>
      <c r="D299" t="str">
        <f t="shared" si="46"/>
        <v/>
      </c>
      <c r="E299">
        <f t="shared" si="39"/>
        <v>39235.499513888892</v>
      </c>
      <c r="F299" s="4">
        <f t="shared" si="47"/>
        <v>0.19999999999999574</v>
      </c>
      <c r="G299" s="4">
        <f t="shared" si="48"/>
        <v>9.9999999999997868E-2</v>
      </c>
      <c r="H299" s="5">
        <f t="shared" si="49"/>
        <v>0.20000004675238897</v>
      </c>
      <c r="I299" s="14">
        <f t="shared" si="50"/>
        <v>37.134212791357179</v>
      </c>
      <c r="J299" s="19">
        <f t="shared" si="51"/>
        <v>998111.70547080599</v>
      </c>
      <c r="K299" s="16">
        <f t="shared" si="52"/>
        <v>0.99881087308196337</v>
      </c>
    </row>
    <row r="300" spans="1:11" x14ac:dyDescent="0.15">
      <c r="A300" s="7">
        <v>39235.499537037038</v>
      </c>
      <c r="B300">
        <v>39.799999999999997</v>
      </c>
      <c r="C300" s="6">
        <f t="shared" si="45"/>
        <v>560.00000014901161</v>
      </c>
      <c r="D300" t="str">
        <f t="shared" si="46"/>
        <v/>
      </c>
      <c r="E300">
        <f t="shared" si="39"/>
        <v>39235.499537037038</v>
      </c>
      <c r="F300" s="4">
        <f t="shared" si="47"/>
        <v>0.19999999999999574</v>
      </c>
      <c r="G300" s="4">
        <f t="shared" si="48"/>
        <v>9.9999999999997868E-2</v>
      </c>
      <c r="H300" s="5">
        <f t="shared" si="49"/>
        <v>0.19999998388811518</v>
      </c>
      <c r="I300" s="14">
        <f t="shared" si="50"/>
        <v>37.134201119283311</v>
      </c>
      <c r="J300" s="19">
        <f t="shared" si="51"/>
        <v>998148.83967192529</v>
      </c>
      <c r="K300" s="16">
        <f t="shared" si="52"/>
        <v>0.99884803329523197</v>
      </c>
    </row>
    <row r="301" spans="1:11" x14ac:dyDescent="0.15">
      <c r="A301" s="7">
        <v>39235.499560185184</v>
      </c>
      <c r="B301">
        <v>39.799999999999997</v>
      </c>
      <c r="C301" s="6">
        <f t="shared" si="45"/>
        <v>561.99999998789281</v>
      </c>
      <c r="D301" t="str">
        <f t="shared" si="46"/>
        <v/>
      </c>
      <c r="E301">
        <f t="shared" si="39"/>
        <v>39235.499560185184</v>
      </c>
      <c r="F301" s="4">
        <f t="shared" si="47"/>
        <v>0.19999999999999574</v>
      </c>
      <c r="G301" s="4">
        <f t="shared" si="48"/>
        <v>9.9999999999997868E-2</v>
      </c>
      <c r="H301" s="5">
        <f t="shared" si="49"/>
        <v>0.19999998388811518</v>
      </c>
      <c r="I301" s="14">
        <f t="shared" si="50"/>
        <v>37.134201119283311</v>
      </c>
      <c r="J301" s="19">
        <f t="shared" si="51"/>
        <v>998185.9738730446</v>
      </c>
      <c r="K301" s="16">
        <f t="shared" si="52"/>
        <v>0.99888519350850058</v>
      </c>
    </row>
    <row r="302" spans="1:11" x14ac:dyDescent="0.15">
      <c r="A302" s="7">
        <v>39235.499583333331</v>
      </c>
      <c r="B302">
        <v>39.799999999999997</v>
      </c>
      <c r="C302" s="6">
        <f t="shared" si="45"/>
        <v>563.999999826774</v>
      </c>
      <c r="D302" t="str">
        <f t="shared" si="46"/>
        <v/>
      </c>
      <c r="E302">
        <f t="shared" si="39"/>
        <v>39235.499583333331</v>
      </c>
      <c r="F302" s="4">
        <f t="shared" si="47"/>
        <v>0.19999999999999574</v>
      </c>
      <c r="G302" s="4">
        <f t="shared" si="48"/>
        <v>9.9999999999997868E-2</v>
      </c>
      <c r="H302" s="5">
        <f t="shared" si="49"/>
        <v>0.19999998388811518</v>
      </c>
      <c r="I302" s="14">
        <f t="shared" si="50"/>
        <v>37.134201119283311</v>
      </c>
      <c r="J302" s="19">
        <f t="shared" si="51"/>
        <v>998223.1080741639</v>
      </c>
      <c r="K302" s="16">
        <f t="shared" si="52"/>
        <v>0.99892235372176919</v>
      </c>
    </row>
    <row r="303" spans="1:11" x14ac:dyDescent="0.15">
      <c r="A303" s="7">
        <v>39235.499606481484</v>
      </c>
      <c r="B303">
        <v>39.6</v>
      </c>
      <c r="C303" s="6">
        <f t="shared" si="45"/>
        <v>566.00000029429793</v>
      </c>
      <c r="D303" t="str">
        <f t="shared" si="46"/>
        <v/>
      </c>
      <c r="E303" t="str">
        <f t="shared" si="39"/>
        <v xml:space="preserve"> </v>
      </c>
      <c r="F303" s="4">
        <f t="shared" si="47"/>
        <v>0</v>
      </c>
      <c r="G303" s="4">
        <f t="shared" si="48"/>
        <v>0</v>
      </c>
      <c r="H303" s="5">
        <f t="shared" si="49"/>
        <v>0.10000002337619449</v>
      </c>
      <c r="I303" s="14">
        <f t="shared" si="50"/>
        <v>18.567106395678589</v>
      </c>
      <c r="J303" s="19">
        <f t="shared" si="51"/>
        <v>998241.67518055963</v>
      </c>
      <c r="K303" s="16">
        <f t="shared" si="52"/>
        <v>0.99894093383424365</v>
      </c>
    </row>
    <row r="304" spans="1:11" x14ac:dyDescent="0.15">
      <c r="A304" s="7">
        <v>39235.49962962963</v>
      </c>
      <c r="B304">
        <v>39.799999999999997</v>
      </c>
      <c r="C304" s="6">
        <f t="shared" si="45"/>
        <v>568.00000013317913</v>
      </c>
      <c r="D304" t="str">
        <f t="shared" si="46"/>
        <v/>
      </c>
      <c r="E304">
        <f t="shared" si="39"/>
        <v>39235.49962962963</v>
      </c>
      <c r="F304" s="4">
        <f t="shared" si="47"/>
        <v>0.19999999999999574</v>
      </c>
      <c r="G304" s="4">
        <f t="shared" si="48"/>
        <v>9.9999999999997868E-2</v>
      </c>
      <c r="H304" s="5">
        <f t="shared" si="49"/>
        <v>9.9999991944057592E-2</v>
      </c>
      <c r="I304" s="14">
        <f t="shared" si="50"/>
        <v>18.567100559641656</v>
      </c>
      <c r="J304" s="19">
        <f t="shared" si="51"/>
        <v>998260.24228111922</v>
      </c>
      <c r="K304" s="16">
        <f t="shared" si="52"/>
        <v>0.99895951394087779</v>
      </c>
    </row>
    <row r="305" spans="1:11" x14ac:dyDescent="0.15">
      <c r="A305" s="7">
        <v>39235.499652777777</v>
      </c>
      <c r="B305">
        <v>39.799999999999997</v>
      </c>
      <c r="C305" s="6">
        <f t="shared" si="45"/>
        <v>569.99999997206032</v>
      </c>
      <c r="D305" t="str">
        <f t="shared" si="46"/>
        <v/>
      </c>
      <c r="E305">
        <f t="shared" si="39"/>
        <v>39235.499652777777</v>
      </c>
      <c r="F305" s="4">
        <f t="shared" si="47"/>
        <v>0.19999999999999574</v>
      </c>
      <c r="G305" s="4">
        <f t="shared" si="48"/>
        <v>9.9999999999997868E-2</v>
      </c>
      <c r="H305" s="5">
        <f t="shared" si="49"/>
        <v>0.19999998388811518</v>
      </c>
      <c r="I305" s="14">
        <f t="shared" si="50"/>
        <v>37.134201119283311</v>
      </c>
      <c r="J305" s="19">
        <f t="shared" si="51"/>
        <v>998297.37648223853</v>
      </c>
      <c r="K305" s="16">
        <f t="shared" si="52"/>
        <v>0.99899667415414639</v>
      </c>
    </row>
    <row r="306" spans="1:11" x14ac:dyDescent="0.15">
      <c r="A306" s="7">
        <v>39235.499675925923</v>
      </c>
      <c r="B306">
        <v>39.799999999999997</v>
      </c>
      <c r="C306" s="6">
        <f t="shared" si="45"/>
        <v>571.99999981094152</v>
      </c>
      <c r="D306" t="str">
        <f t="shared" si="46"/>
        <v/>
      </c>
      <c r="E306">
        <f t="shared" si="39"/>
        <v>39235.499675925923</v>
      </c>
      <c r="F306" s="4">
        <f t="shared" si="47"/>
        <v>0.19999999999999574</v>
      </c>
      <c r="G306" s="4">
        <f t="shared" si="48"/>
        <v>9.9999999999997868E-2</v>
      </c>
      <c r="H306" s="5">
        <f t="shared" si="49"/>
        <v>0.19999998388811518</v>
      </c>
      <c r="I306" s="14">
        <f t="shared" si="50"/>
        <v>37.134201119283311</v>
      </c>
      <c r="J306" s="19">
        <f t="shared" si="51"/>
        <v>998334.51068335783</v>
      </c>
      <c r="K306" s="16">
        <f t="shared" si="52"/>
        <v>0.999033834367415</v>
      </c>
    </row>
    <row r="307" spans="1:11" x14ac:dyDescent="0.15">
      <c r="A307" s="7">
        <v>39235.499699074076</v>
      </c>
      <c r="B307">
        <v>39.799999999999997</v>
      </c>
      <c r="C307" s="6">
        <f t="shared" si="45"/>
        <v>574.00000027846545</v>
      </c>
      <c r="D307" t="str">
        <f t="shared" si="46"/>
        <v/>
      </c>
      <c r="E307">
        <f t="shared" si="39"/>
        <v>39235.499699074076</v>
      </c>
      <c r="F307" s="4">
        <f t="shared" si="47"/>
        <v>0.19999999999999574</v>
      </c>
      <c r="G307" s="4">
        <f t="shared" si="48"/>
        <v>9.9999999999997868E-2</v>
      </c>
      <c r="H307" s="5">
        <f t="shared" si="49"/>
        <v>0.20000004675238897</v>
      </c>
      <c r="I307" s="14">
        <f t="shared" si="50"/>
        <v>37.134212791357179</v>
      </c>
      <c r="J307" s="19">
        <f t="shared" si="51"/>
        <v>998371.64489614917</v>
      </c>
      <c r="K307" s="16">
        <f t="shared" si="52"/>
        <v>0.99907099459236381</v>
      </c>
    </row>
    <row r="308" spans="1:11" x14ac:dyDescent="0.15">
      <c r="A308" s="7">
        <v>39235.499722222223</v>
      </c>
      <c r="B308">
        <v>39.799999999999997</v>
      </c>
      <c r="C308" s="6">
        <f t="shared" si="45"/>
        <v>576.00000011734664</v>
      </c>
      <c r="D308" t="str">
        <f t="shared" si="46"/>
        <v/>
      </c>
      <c r="E308">
        <f t="shared" si="39"/>
        <v>39235.499722222223</v>
      </c>
      <c r="F308" s="4">
        <f t="shared" si="47"/>
        <v>0.19999999999999574</v>
      </c>
      <c r="G308" s="4">
        <f t="shared" si="48"/>
        <v>9.9999999999997868E-2</v>
      </c>
      <c r="H308" s="5">
        <f t="shared" si="49"/>
        <v>0.19999998388811518</v>
      </c>
      <c r="I308" s="14">
        <f t="shared" si="50"/>
        <v>37.134201119283311</v>
      </c>
      <c r="J308" s="19">
        <f t="shared" si="51"/>
        <v>998408.77909726847</v>
      </c>
      <c r="K308" s="16">
        <f t="shared" si="52"/>
        <v>0.99910815480563242</v>
      </c>
    </row>
    <row r="309" spans="1:11" x14ac:dyDescent="0.15">
      <c r="A309" s="7">
        <v>39235.499745370369</v>
      </c>
      <c r="B309">
        <v>39.799999999999997</v>
      </c>
      <c r="C309" s="6">
        <f t="shared" si="45"/>
        <v>577.99999995622784</v>
      </c>
      <c r="D309" t="str">
        <f t="shared" si="46"/>
        <v/>
      </c>
      <c r="E309">
        <f t="shared" si="39"/>
        <v>39235.499745370369</v>
      </c>
      <c r="F309" s="4">
        <f t="shared" si="47"/>
        <v>0.19999999999999574</v>
      </c>
      <c r="G309" s="4">
        <f t="shared" si="48"/>
        <v>9.9999999999997868E-2</v>
      </c>
      <c r="H309" s="5">
        <f t="shared" si="49"/>
        <v>0.19999998388811518</v>
      </c>
      <c r="I309" s="14">
        <f t="shared" si="50"/>
        <v>37.134201119283311</v>
      </c>
      <c r="J309" s="19">
        <f t="shared" si="51"/>
        <v>998445.91329838778</v>
      </c>
      <c r="K309" s="16">
        <f t="shared" si="52"/>
        <v>0.99914531501890103</v>
      </c>
    </row>
    <row r="310" spans="1:11" x14ac:dyDescent="0.15">
      <c r="A310" s="7">
        <v>39235.499768518515</v>
      </c>
      <c r="B310">
        <v>39.700000000000003</v>
      </c>
      <c r="C310" s="6">
        <f t="shared" si="45"/>
        <v>579.99999979510903</v>
      </c>
      <c r="D310" t="str">
        <f t="shared" si="46"/>
        <v/>
      </c>
      <c r="E310">
        <f t="shared" si="39"/>
        <v>39235.499768518515</v>
      </c>
      <c r="F310" s="4">
        <f t="shared" si="47"/>
        <v>0.10000000000000142</v>
      </c>
      <c r="G310" s="4">
        <f t="shared" si="48"/>
        <v>5.0000000000000711E-2</v>
      </c>
      <c r="H310" s="5">
        <f t="shared" si="49"/>
        <v>0.14999998791608818</v>
      </c>
      <c r="I310" s="14">
        <f t="shared" si="50"/>
        <v>27.850650839462812</v>
      </c>
      <c r="J310" s="19">
        <f t="shared" si="51"/>
        <v>998473.76394922729</v>
      </c>
      <c r="K310" s="16">
        <f t="shared" si="52"/>
        <v>0.99917318517885245</v>
      </c>
    </row>
    <row r="311" spans="1:11" x14ac:dyDescent="0.15">
      <c r="A311" s="7">
        <v>39235.499791666669</v>
      </c>
      <c r="B311">
        <v>39.700000000000003</v>
      </c>
      <c r="C311" s="6">
        <f t="shared" si="45"/>
        <v>582.00000026263297</v>
      </c>
      <c r="D311" t="str">
        <f t="shared" si="46"/>
        <v/>
      </c>
      <c r="E311">
        <f t="shared" si="39"/>
        <v>39235.499791666669</v>
      </c>
      <c r="F311" s="4">
        <f t="shared" si="47"/>
        <v>0.10000000000000142</v>
      </c>
      <c r="G311" s="4">
        <f t="shared" si="48"/>
        <v>5.0000000000000711E-2</v>
      </c>
      <c r="H311" s="5">
        <f t="shared" si="49"/>
        <v>0.10000002337619804</v>
      </c>
      <c r="I311" s="14">
        <f t="shared" si="50"/>
        <v>18.56710639567925</v>
      </c>
      <c r="J311" s="19">
        <f t="shared" si="51"/>
        <v>998492.33105562301</v>
      </c>
      <c r="K311" s="16">
        <f t="shared" si="52"/>
        <v>0.99919176529132692</v>
      </c>
    </row>
    <row r="312" spans="1:11" x14ac:dyDescent="0.15">
      <c r="A312" s="7">
        <v>39235.499814814815</v>
      </c>
      <c r="B312">
        <v>39.700000000000003</v>
      </c>
      <c r="C312" s="6">
        <f t="shared" si="45"/>
        <v>584.00000010151416</v>
      </c>
      <c r="D312" t="str">
        <f t="shared" si="46"/>
        <v/>
      </c>
      <c r="E312">
        <f t="shared" si="39"/>
        <v>39235.499814814815</v>
      </c>
      <c r="F312" s="4">
        <f t="shared" si="47"/>
        <v>0.10000000000000142</v>
      </c>
      <c r="G312" s="4">
        <f t="shared" si="48"/>
        <v>5.0000000000000711E-2</v>
      </c>
      <c r="H312" s="5">
        <f t="shared" si="49"/>
        <v>9.9999991944061145E-2</v>
      </c>
      <c r="I312" s="14">
        <f t="shared" si="50"/>
        <v>18.567100559642313</v>
      </c>
      <c r="J312" s="19">
        <f t="shared" si="51"/>
        <v>998510.89815618261</v>
      </c>
      <c r="K312" s="16">
        <f t="shared" si="52"/>
        <v>0.99921034539796116</v>
      </c>
    </row>
    <row r="313" spans="1:11" x14ac:dyDescent="0.15">
      <c r="A313" s="7">
        <v>39235.499837962961</v>
      </c>
      <c r="B313">
        <v>39.700000000000003</v>
      </c>
      <c r="C313" s="6">
        <f t="shared" si="45"/>
        <v>585.99999994039536</v>
      </c>
      <c r="D313" t="str">
        <f t="shared" si="46"/>
        <v/>
      </c>
      <c r="E313">
        <f t="shared" si="39"/>
        <v>39235.499837962961</v>
      </c>
      <c r="F313" s="4">
        <f t="shared" si="47"/>
        <v>0.10000000000000142</v>
      </c>
      <c r="G313" s="4">
        <f t="shared" si="48"/>
        <v>5.0000000000000711E-2</v>
      </c>
      <c r="H313" s="5">
        <f t="shared" si="49"/>
        <v>9.9999991944061145E-2</v>
      </c>
      <c r="I313" s="14">
        <f t="shared" si="50"/>
        <v>18.567100559642313</v>
      </c>
      <c r="J313" s="19">
        <f t="shared" si="51"/>
        <v>998529.4652567422</v>
      </c>
      <c r="K313" s="16">
        <f t="shared" si="52"/>
        <v>0.99922892550459541</v>
      </c>
    </row>
    <row r="314" spans="1:11" x14ac:dyDescent="0.15">
      <c r="A314" s="7">
        <v>39235.499861111108</v>
      </c>
      <c r="B314">
        <v>39.799999999999997</v>
      </c>
      <c r="C314" s="6">
        <f t="shared" si="45"/>
        <v>587.99999977927655</v>
      </c>
      <c r="D314" t="str">
        <f t="shared" si="46"/>
        <v/>
      </c>
      <c r="E314">
        <f t="shared" si="39"/>
        <v>39235.499861111108</v>
      </c>
      <c r="F314" s="4">
        <f t="shared" si="47"/>
        <v>0.19999999999999574</v>
      </c>
      <c r="G314" s="4">
        <f t="shared" si="48"/>
        <v>9.9999999999997868E-2</v>
      </c>
      <c r="H314" s="5">
        <f t="shared" si="49"/>
        <v>0.14999998791608818</v>
      </c>
      <c r="I314" s="14">
        <f t="shared" si="50"/>
        <v>27.850650839462812</v>
      </c>
      <c r="J314" s="19">
        <f t="shared" si="51"/>
        <v>998557.31590758171</v>
      </c>
      <c r="K314" s="16">
        <f t="shared" si="52"/>
        <v>0.99925679566454684</v>
      </c>
    </row>
    <row r="315" spans="1:11" x14ac:dyDescent="0.15">
      <c r="A315" s="7">
        <v>39235.499884259261</v>
      </c>
      <c r="B315">
        <v>39.700000000000003</v>
      </c>
      <c r="C315" s="6">
        <f t="shared" si="45"/>
        <v>590.00000024680048</v>
      </c>
      <c r="D315" t="str">
        <f t="shared" si="46"/>
        <v/>
      </c>
      <c r="E315">
        <f t="shared" si="39"/>
        <v>39235.499884259261</v>
      </c>
      <c r="F315" s="4">
        <f t="shared" si="47"/>
        <v>0.10000000000000142</v>
      </c>
      <c r="G315" s="4">
        <f t="shared" si="48"/>
        <v>5.0000000000000711E-2</v>
      </c>
      <c r="H315" s="5">
        <f t="shared" si="49"/>
        <v>0.15000003506429352</v>
      </c>
      <c r="I315" s="14">
        <f t="shared" si="50"/>
        <v>27.850659593518216</v>
      </c>
      <c r="J315" s="19">
        <f t="shared" si="51"/>
        <v>998585.16656717518</v>
      </c>
      <c r="K315" s="16">
        <f t="shared" si="52"/>
        <v>0.99928466583325848</v>
      </c>
    </row>
    <row r="316" spans="1:11" x14ac:dyDescent="0.15">
      <c r="A316" s="7">
        <v>39235.499907407408</v>
      </c>
      <c r="B316">
        <v>39.6</v>
      </c>
      <c r="C316" s="6">
        <f t="shared" si="45"/>
        <v>592.00000008568168</v>
      </c>
      <c r="D316" t="str">
        <f t="shared" si="46"/>
        <v/>
      </c>
      <c r="E316" t="str">
        <f t="shared" si="39"/>
        <v xml:space="preserve"> </v>
      </c>
      <c r="F316" s="4">
        <f t="shared" si="47"/>
        <v>0</v>
      </c>
      <c r="G316" s="4">
        <f t="shared" si="48"/>
        <v>0</v>
      </c>
      <c r="H316" s="5">
        <f t="shared" si="49"/>
        <v>4.9999995972030573E-2</v>
      </c>
      <c r="I316" s="14">
        <f t="shared" si="50"/>
        <v>9.2835502798211564</v>
      </c>
      <c r="J316" s="19">
        <f t="shared" si="51"/>
        <v>998594.45011745498</v>
      </c>
      <c r="K316" s="16">
        <f t="shared" si="52"/>
        <v>0.99929395588657555</v>
      </c>
    </row>
    <row r="317" spans="1:11" x14ac:dyDescent="0.15">
      <c r="A317" s="7">
        <v>39235.499930555554</v>
      </c>
      <c r="B317">
        <v>39.6</v>
      </c>
      <c r="C317" s="6">
        <f t="shared" si="45"/>
        <v>593.99999992456287</v>
      </c>
      <c r="D317" t="str">
        <f t="shared" si="46"/>
        <v/>
      </c>
      <c r="E317" t="str">
        <f t="shared" si="39"/>
        <v xml:space="preserve"> </v>
      </c>
      <c r="F317" s="4">
        <f t="shared" si="47"/>
        <v>0</v>
      </c>
      <c r="G317" s="4">
        <f t="shared" si="48"/>
        <v>0</v>
      </c>
      <c r="H317" s="5">
        <f t="shared" si="49"/>
        <v>0</v>
      </c>
      <c r="I317" s="14">
        <f t="shared" si="50"/>
        <v>0</v>
      </c>
      <c r="J317" s="19">
        <f t="shared" si="51"/>
        <v>998594.45011745498</v>
      </c>
      <c r="K317" s="16">
        <f t="shared" si="52"/>
        <v>0.99929395588657555</v>
      </c>
    </row>
    <row r="318" spans="1:11" x14ac:dyDescent="0.15">
      <c r="A318" s="7">
        <v>39235.4999537037</v>
      </c>
      <c r="B318">
        <v>39.700000000000003</v>
      </c>
      <c r="C318" s="6">
        <f t="shared" si="45"/>
        <v>595.99999976344407</v>
      </c>
      <c r="D318" t="str">
        <f t="shared" si="46"/>
        <v/>
      </c>
      <c r="E318">
        <f t="shared" si="39"/>
        <v>39235.4999537037</v>
      </c>
      <c r="F318" s="4">
        <f t="shared" si="47"/>
        <v>0.10000000000000142</v>
      </c>
      <c r="G318" s="4">
        <f t="shared" si="48"/>
        <v>5.0000000000000711E-2</v>
      </c>
      <c r="H318" s="5">
        <f t="shared" si="49"/>
        <v>4.9999995972030573E-2</v>
      </c>
      <c r="I318" s="14">
        <f t="shared" si="50"/>
        <v>9.2835502798211564</v>
      </c>
      <c r="J318" s="19">
        <f t="shared" si="51"/>
        <v>998603.73366773478</v>
      </c>
      <c r="K318" s="16">
        <f t="shared" si="52"/>
        <v>0.99930324593989273</v>
      </c>
    </row>
    <row r="319" spans="1:11" x14ac:dyDescent="0.15">
      <c r="A319" s="7">
        <v>39235.499976851854</v>
      </c>
      <c r="B319">
        <v>39.700000000000003</v>
      </c>
      <c r="C319" s="6">
        <f t="shared" si="45"/>
        <v>598.000000230968</v>
      </c>
      <c r="D319" t="str">
        <f t="shared" si="46"/>
        <v/>
      </c>
      <c r="E319">
        <f t="shared" si="39"/>
        <v>39235.499976851854</v>
      </c>
      <c r="F319" s="4">
        <f t="shared" si="47"/>
        <v>0.10000000000000142</v>
      </c>
      <c r="G319" s="4">
        <f t="shared" si="48"/>
        <v>5.0000000000000711E-2</v>
      </c>
      <c r="H319" s="5">
        <f t="shared" si="49"/>
        <v>0.10000002337619804</v>
      </c>
      <c r="I319" s="14">
        <f t="shared" si="50"/>
        <v>18.56710639567925</v>
      </c>
      <c r="J319" s="19">
        <f t="shared" si="51"/>
        <v>998622.3007741305</v>
      </c>
      <c r="K319" s="16">
        <f t="shared" si="52"/>
        <v>0.99932182605236719</v>
      </c>
    </row>
    <row r="320" spans="1:11" x14ac:dyDescent="0.15">
      <c r="A320" s="7">
        <v>39235.5</v>
      </c>
      <c r="B320">
        <v>39.6</v>
      </c>
      <c r="C320" s="6">
        <f t="shared" si="45"/>
        <v>600.00000006984919</v>
      </c>
      <c r="D320" t="str">
        <f t="shared" si="46"/>
        <v/>
      </c>
      <c r="E320" t="str">
        <f t="shared" si="39"/>
        <v xml:space="preserve"> </v>
      </c>
      <c r="F320" s="4">
        <f t="shared" si="47"/>
        <v>0</v>
      </c>
      <c r="G320" s="4">
        <f t="shared" si="48"/>
        <v>0</v>
      </c>
      <c r="H320" s="5">
        <f t="shared" si="49"/>
        <v>4.9999995972030573E-2</v>
      </c>
      <c r="I320" s="14">
        <f t="shared" si="50"/>
        <v>9.2835502798211564</v>
      </c>
      <c r="J320" s="19">
        <f t="shared" si="51"/>
        <v>998631.5843244103</v>
      </c>
      <c r="K320" s="16">
        <f t="shared" si="52"/>
        <v>0.99933111610568426</v>
      </c>
    </row>
    <row r="321" spans="1:11" x14ac:dyDescent="0.15">
      <c r="A321" s="7">
        <v>39235.500023148146</v>
      </c>
      <c r="B321">
        <v>39.700000000000003</v>
      </c>
      <c r="C321" s="6">
        <f t="shared" si="45"/>
        <v>601.99999990873039</v>
      </c>
      <c r="D321" t="str">
        <f t="shared" si="46"/>
        <v/>
      </c>
      <c r="E321">
        <f t="shared" si="39"/>
        <v>39235.500023148146</v>
      </c>
      <c r="F321" s="4">
        <f t="shared" si="47"/>
        <v>0.10000000000000142</v>
      </c>
      <c r="G321" s="4">
        <f t="shared" si="48"/>
        <v>5.0000000000000711E-2</v>
      </c>
      <c r="H321" s="5">
        <f t="shared" si="49"/>
        <v>4.9999995972030573E-2</v>
      </c>
      <c r="I321" s="14">
        <f t="shared" si="50"/>
        <v>9.2835502798211564</v>
      </c>
      <c r="J321" s="19">
        <f t="shared" si="51"/>
        <v>998640.8678746901</v>
      </c>
      <c r="K321" s="16">
        <f t="shared" si="52"/>
        <v>0.99934040615900144</v>
      </c>
    </row>
    <row r="322" spans="1:11" x14ac:dyDescent="0.15">
      <c r="A322" s="7">
        <v>39235.5000462963</v>
      </c>
      <c r="B322">
        <v>39.799999999999997</v>
      </c>
      <c r="C322" s="6">
        <f t="shared" si="45"/>
        <v>604.00000037625432</v>
      </c>
      <c r="D322" t="str">
        <f t="shared" si="46"/>
        <v/>
      </c>
      <c r="E322">
        <f t="shared" si="39"/>
        <v>39235.5000462963</v>
      </c>
      <c r="F322" s="4">
        <f t="shared" si="47"/>
        <v>0.19999999999999574</v>
      </c>
      <c r="G322" s="4">
        <f t="shared" si="48"/>
        <v>9.9999999999997868E-2</v>
      </c>
      <c r="H322" s="5">
        <f t="shared" si="49"/>
        <v>0.15000003506429352</v>
      </c>
      <c r="I322" s="14">
        <f t="shared" si="50"/>
        <v>27.850659593518216</v>
      </c>
      <c r="J322" s="19">
        <f t="shared" si="51"/>
        <v>998668.71853428357</v>
      </c>
      <c r="K322" s="16">
        <f t="shared" si="52"/>
        <v>0.99936827632771297</v>
      </c>
    </row>
    <row r="323" spans="1:11" x14ac:dyDescent="0.15">
      <c r="A323" s="7">
        <v>39235.500069444446</v>
      </c>
      <c r="B323">
        <v>39.799999999999997</v>
      </c>
      <c r="C323" s="6">
        <f t="shared" si="45"/>
        <v>606.00000021513551</v>
      </c>
      <c r="D323" t="str">
        <f t="shared" si="46"/>
        <v/>
      </c>
      <c r="E323">
        <f t="shared" si="39"/>
        <v>39235.500069444446</v>
      </c>
      <c r="F323" s="4">
        <f t="shared" si="47"/>
        <v>0.19999999999999574</v>
      </c>
      <c r="G323" s="4">
        <f t="shared" si="48"/>
        <v>9.9999999999997868E-2</v>
      </c>
      <c r="H323" s="5">
        <f t="shared" si="49"/>
        <v>0.19999998388811518</v>
      </c>
      <c r="I323" s="14">
        <f t="shared" si="50"/>
        <v>37.134201119283311</v>
      </c>
      <c r="J323" s="19">
        <f t="shared" si="51"/>
        <v>998705.85273540288</v>
      </c>
      <c r="K323" s="16">
        <f t="shared" si="52"/>
        <v>0.99940543654098157</v>
      </c>
    </row>
    <row r="324" spans="1:11" x14ac:dyDescent="0.15">
      <c r="A324" s="7">
        <v>39235.500092592592</v>
      </c>
      <c r="B324">
        <v>39.700000000000003</v>
      </c>
      <c r="C324" s="6">
        <f t="shared" si="45"/>
        <v>608.00000005401671</v>
      </c>
      <c r="D324" t="str">
        <f t="shared" si="46"/>
        <v/>
      </c>
      <c r="E324">
        <f t="shared" si="39"/>
        <v>39235.500092592592</v>
      </c>
      <c r="F324" s="4">
        <f t="shared" si="47"/>
        <v>0.10000000000000142</v>
      </c>
      <c r="G324" s="4">
        <f t="shared" si="48"/>
        <v>5.0000000000000711E-2</v>
      </c>
      <c r="H324" s="5">
        <f t="shared" si="49"/>
        <v>0.14999998791608818</v>
      </c>
      <c r="I324" s="14">
        <f t="shared" si="50"/>
        <v>27.850650839462812</v>
      </c>
      <c r="J324" s="19">
        <f t="shared" si="51"/>
        <v>998733.70338624239</v>
      </c>
      <c r="K324" s="16">
        <f t="shared" si="52"/>
        <v>0.999433306700933</v>
      </c>
    </row>
    <row r="325" spans="1:11" x14ac:dyDescent="0.15">
      <c r="A325" s="7">
        <v>39235.500115740739</v>
      </c>
      <c r="B325">
        <v>39.700000000000003</v>
      </c>
      <c r="C325" s="6">
        <f t="shared" si="45"/>
        <v>609.9999998928979</v>
      </c>
      <c r="D325" t="str">
        <f t="shared" si="46"/>
        <v/>
      </c>
      <c r="E325">
        <f t="shared" si="39"/>
        <v>39235.500115740739</v>
      </c>
      <c r="F325" s="4">
        <f t="shared" si="47"/>
        <v>0.10000000000000142</v>
      </c>
      <c r="G325" s="4">
        <f t="shared" si="48"/>
        <v>5.0000000000000711E-2</v>
      </c>
      <c r="H325" s="5">
        <f t="shared" si="49"/>
        <v>9.9999991944061145E-2</v>
      </c>
      <c r="I325" s="14">
        <f t="shared" si="50"/>
        <v>18.567100559642313</v>
      </c>
      <c r="J325" s="19">
        <f t="shared" si="51"/>
        <v>998752.27048680198</v>
      </c>
      <c r="K325" s="16">
        <f t="shared" si="52"/>
        <v>0.99945188680756725</v>
      </c>
    </row>
    <row r="326" spans="1:11" x14ac:dyDescent="0.15">
      <c r="A326" s="7">
        <v>39235.500138888892</v>
      </c>
      <c r="B326">
        <v>39.700000000000003</v>
      </c>
      <c r="C326" s="6">
        <f t="shared" si="45"/>
        <v>612.00000036042184</v>
      </c>
      <c r="D326" t="str">
        <f t="shared" si="46"/>
        <v/>
      </c>
      <c r="E326">
        <f t="shared" si="39"/>
        <v>39235.500138888892</v>
      </c>
      <c r="F326" s="4">
        <f t="shared" si="47"/>
        <v>0.10000000000000142</v>
      </c>
      <c r="G326" s="4">
        <f t="shared" si="48"/>
        <v>5.0000000000000711E-2</v>
      </c>
      <c r="H326" s="5">
        <f t="shared" si="49"/>
        <v>0.10000002337619804</v>
      </c>
      <c r="I326" s="14">
        <f t="shared" si="50"/>
        <v>18.56710639567925</v>
      </c>
      <c r="J326" s="19">
        <f t="shared" si="51"/>
        <v>998770.83759319771</v>
      </c>
      <c r="K326" s="16">
        <f t="shared" si="52"/>
        <v>0.99947046692004171</v>
      </c>
    </row>
    <row r="327" spans="1:11" x14ac:dyDescent="0.15">
      <c r="A327" s="7">
        <v>39235.500162037039</v>
      </c>
      <c r="B327">
        <v>39.700000000000003</v>
      </c>
      <c r="C327" s="6">
        <f t="shared" si="45"/>
        <v>614.00000019930303</v>
      </c>
      <c r="D327" t="str">
        <f t="shared" si="46"/>
        <v/>
      </c>
      <c r="E327">
        <f t="shared" si="39"/>
        <v>39235.500162037039</v>
      </c>
      <c r="F327" s="4">
        <f t="shared" si="47"/>
        <v>0.10000000000000142</v>
      </c>
      <c r="G327" s="4">
        <f t="shared" si="48"/>
        <v>5.0000000000000711E-2</v>
      </c>
      <c r="H327" s="5">
        <f t="shared" si="49"/>
        <v>9.9999991944061145E-2</v>
      </c>
      <c r="I327" s="14">
        <f t="shared" si="50"/>
        <v>18.567100559642313</v>
      </c>
      <c r="J327" s="19">
        <f t="shared" si="51"/>
        <v>998789.4046937573</v>
      </c>
      <c r="K327" s="16">
        <f t="shared" si="52"/>
        <v>0.99948904702667596</v>
      </c>
    </row>
    <row r="328" spans="1:11" x14ac:dyDescent="0.15">
      <c r="A328" s="7">
        <v>39235.500185185185</v>
      </c>
      <c r="B328">
        <v>39.700000000000003</v>
      </c>
      <c r="C328" s="6">
        <f t="shared" si="45"/>
        <v>616.00000003818423</v>
      </c>
      <c r="D328" t="str">
        <f t="shared" si="46"/>
        <v/>
      </c>
      <c r="E328">
        <f t="shared" si="39"/>
        <v>39235.500185185185</v>
      </c>
      <c r="F328" s="4">
        <f t="shared" si="47"/>
        <v>0.10000000000000142</v>
      </c>
      <c r="G328" s="4">
        <f t="shared" si="48"/>
        <v>5.0000000000000711E-2</v>
      </c>
      <c r="H328" s="5">
        <f t="shared" si="49"/>
        <v>9.9999991944061145E-2</v>
      </c>
      <c r="I328" s="14">
        <f t="shared" si="50"/>
        <v>18.567100559642313</v>
      </c>
      <c r="J328" s="19">
        <f t="shared" si="51"/>
        <v>998807.97179431689</v>
      </c>
      <c r="K328" s="16">
        <f t="shared" si="52"/>
        <v>0.99950762713331021</v>
      </c>
    </row>
    <row r="329" spans="1:11" x14ac:dyDescent="0.15">
      <c r="A329" s="7">
        <v>39235.500208333331</v>
      </c>
      <c r="B329">
        <v>39.5</v>
      </c>
      <c r="C329" s="6">
        <f t="shared" si="45"/>
        <v>617.99999987706542</v>
      </c>
      <c r="D329" t="str">
        <f t="shared" si="46"/>
        <v/>
      </c>
      <c r="E329" t="str">
        <f t="shared" si="39"/>
        <v xml:space="preserve"> </v>
      </c>
      <c r="F329" s="4">
        <f t="shared" si="47"/>
        <v>0</v>
      </c>
      <c r="G329" s="4">
        <f t="shared" si="48"/>
        <v>0</v>
      </c>
      <c r="H329" s="5">
        <f t="shared" si="49"/>
        <v>4.9999995972030573E-2</v>
      </c>
      <c r="I329" s="14">
        <f t="shared" si="50"/>
        <v>9.2835502798211564</v>
      </c>
      <c r="J329" s="19">
        <f t="shared" si="51"/>
        <v>998817.25534459669</v>
      </c>
      <c r="K329" s="16">
        <f t="shared" si="52"/>
        <v>0.99951691718662738</v>
      </c>
    </row>
    <row r="330" spans="1:11" x14ac:dyDescent="0.15">
      <c r="A330" s="7">
        <v>39235.500231481485</v>
      </c>
      <c r="B330">
        <v>39.5</v>
      </c>
      <c r="C330" s="6">
        <f t="shared" si="45"/>
        <v>620.00000034458935</v>
      </c>
      <c r="D330" t="str">
        <f t="shared" si="46"/>
        <v/>
      </c>
      <c r="E330" t="str">
        <f t="shared" si="39"/>
        <v xml:space="preserve"> </v>
      </c>
      <c r="F330" s="4">
        <f t="shared" si="47"/>
        <v>0</v>
      </c>
      <c r="G330" s="4">
        <f t="shared" si="48"/>
        <v>0</v>
      </c>
      <c r="H330" s="5">
        <f t="shared" si="49"/>
        <v>0</v>
      </c>
      <c r="I330" s="14">
        <f t="shared" si="50"/>
        <v>0</v>
      </c>
      <c r="J330" s="19">
        <f t="shared" si="51"/>
        <v>998817.25534459669</v>
      </c>
      <c r="K330" s="16">
        <f t="shared" si="52"/>
        <v>0.99951691718662738</v>
      </c>
    </row>
    <row r="331" spans="1:11" x14ac:dyDescent="0.15">
      <c r="A331" s="7">
        <v>39235.500254629631</v>
      </c>
      <c r="B331">
        <v>39.700000000000003</v>
      </c>
      <c r="C331" s="6">
        <f t="shared" si="45"/>
        <v>622.00000018347055</v>
      </c>
      <c r="D331" t="str">
        <f t="shared" si="46"/>
        <v/>
      </c>
      <c r="E331">
        <f t="shared" si="39"/>
        <v>39235.500254629631</v>
      </c>
      <c r="F331" s="4">
        <f t="shared" si="47"/>
        <v>0.10000000000000142</v>
      </c>
      <c r="G331" s="4">
        <f t="shared" si="48"/>
        <v>5.0000000000000711E-2</v>
      </c>
      <c r="H331" s="5">
        <f t="shared" si="49"/>
        <v>4.9999995972030573E-2</v>
      </c>
      <c r="I331" s="14">
        <f t="shared" si="50"/>
        <v>9.2835502798211564</v>
      </c>
      <c r="J331" s="19">
        <f t="shared" si="51"/>
        <v>998826.53889487649</v>
      </c>
      <c r="K331" s="16">
        <f t="shared" si="52"/>
        <v>0.99952620723994445</v>
      </c>
    </row>
    <row r="332" spans="1:11" x14ac:dyDescent="0.15">
      <c r="A332" s="7">
        <v>39235.500277777777</v>
      </c>
      <c r="B332">
        <v>39.700000000000003</v>
      </c>
      <c r="C332" s="6">
        <f t="shared" si="45"/>
        <v>624.00000002235174</v>
      </c>
      <c r="D332" t="str">
        <f t="shared" si="46"/>
        <v/>
      </c>
      <c r="E332">
        <f t="shared" si="39"/>
        <v>39235.500277777777</v>
      </c>
      <c r="F332" s="4">
        <f t="shared" si="47"/>
        <v>0.10000000000000142</v>
      </c>
      <c r="G332" s="4">
        <f t="shared" si="48"/>
        <v>5.0000000000000711E-2</v>
      </c>
      <c r="H332" s="5">
        <f t="shared" si="49"/>
        <v>9.9999991944061145E-2</v>
      </c>
      <c r="I332" s="14">
        <f t="shared" si="50"/>
        <v>18.567100559642313</v>
      </c>
      <c r="J332" s="19">
        <f t="shared" si="51"/>
        <v>998845.10599543608</v>
      </c>
      <c r="K332" s="16">
        <f t="shared" si="52"/>
        <v>0.9995447873465787</v>
      </c>
    </row>
    <row r="333" spans="1:11" x14ac:dyDescent="0.15">
      <c r="A333" s="7">
        <v>39235.500300925924</v>
      </c>
      <c r="B333">
        <v>39.700000000000003</v>
      </c>
      <c r="C333" s="6">
        <f t="shared" si="45"/>
        <v>625.99999986123294</v>
      </c>
      <c r="D333" t="str">
        <f t="shared" si="46"/>
        <v/>
      </c>
      <c r="E333">
        <f t="shared" si="39"/>
        <v>39235.500300925924</v>
      </c>
      <c r="F333" s="4">
        <f t="shared" si="47"/>
        <v>0.10000000000000142</v>
      </c>
      <c r="G333" s="4">
        <f t="shared" si="48"/>
        <v>5.0000000000000711E-2</v>
      </c>
      <c r="H333" s="5">
        <f t="shared" si="49"/>
        <v>9.9999991944061145E-2</v>
      </c>
      <c r="I333" s="14">
        <f t="shared" si="50"/>
        <v>18.567100559642313</v>
      </c>
      <c r="J333" s="19">
        <f t="shared" si="51"/>
        <v>998863.67309599568</v>
      </c>
      <c r="K333" s="16">
        <f t="shared" si="52"/>
        <v>0.99956336745321295</v>
      </c>
    </row>
    <row r="334" spans="1:11" x14ac:dyDescent="0.15">
      <c r="A334" s="7">
        <v>39235.500324074077</v>
      </c>
      <c r="B334">
        <v>39.700000000000003</v>
      </c>
      <c r="C334" s="6">
        <f t="shared" si="45"/>
        <v>628.00000032875687</v>
      </c>
      <c r="D334" t="str">
        <f t="shared" si="46"/>
        <v/>
      </c>
      <c r="E334">
        <f t="shared" si="39"/>
        <v>39235.500324074077</v>
      </c>
      <c r="F334" s="4">
        <f t="shared" si="47"/>
        <v>0.10000000000000142</v>
      </c>
      <c r="G334" s="4">
        <f t="shared" si="48"/>
        <v>5.0000000000000711E-2</v>
      </c>
      <c r="H334" s="5">
        <f t="shared" si="49"/>
        <v>0.10000002337619804</v>
      </c>
      <c r="I334" s="14">
        <f t="shared" si="50"/>
        <v>18.56710639567925</v>
      </c>
      <c r="J334" s="19">
        <f t="shared" si="51"/>
        <v>998882.2402023914</v>
      </c>
      <c r="K334" s="16">
        <f t="shared" si="52"/>
        <v>0.99958194756568741</v>
      </c>
    </row>
    <row r="335" spans="1:11" x14ac:dyDescent="0.15">
      <c r="A335" s="7">
        <v>39235.500347222223</v>
      </c>
      <c r="B335">
        <v>39.700000000000003</v>
      </c>
      <c r="C335" s="6">
        <f t="shared" si="45"/>
        <v>630.00000016763806</v>
      </c>
      <c r="D335" t="str">
        <f t="shared" si="46"/>
        <v/>
      </c>
      <c r="E335">
        <f t="shared" si="39"/>
        <v>39235.500347222223</v>
      </c>
      <c r="F335" s="4">
        <f t="shared" si="47"/>
        <v>0.10000000000000142</v>
      </c>
      <c r="G335" s="4">
        <f t="shared" si="48"/>
        <v>5.0000000000000711E-2</v>
      </c>
      <c r="H335" s="5">
        <f t="shared" si="49"/>
        <v>9.9999991944061145E-2</v>
      </c>
      <c r="I335" s="14">
        <f t="shared" si="50"/>
        <v>18.567100559642313</v>
      </c>
      <c r="J335" s="19">
        <f t="shared" si="51"/>
        <v>998900.807302951</v>
      </c>
      <c r="K335" s="16">
        <f t="shared" si="52"/>
        <v>0.99960052767232166</v>
      </c>
    </row>
    <row r="336" spans="1:11" x14ac:dyDescent="0.15">
      <c r="A336" s="7">
        <v>39235.50037037037</v>
      </c>
      <c r="B336">
        <v>39.700000000000003</v>
      </c>
      <c r="C336" s="6">
        <f t="shared" si="45"/>
        <v>632.00000000651926</v>
      </c>
      <c r="D336" t="str">
        <f t="shared" si="46"/>
        <v/>
      </c>
      <c r="E336">
        <f t="shared" si="39"/>
        <v>39235.50037037037</v>
      </c>
      <c r="F336" s="4">
        <f t="shared" si="47"/>
        <v>0.10000000000000142</v>
      </c>
      <c r="G336" s="4">
        <f t="shared" si="48"/>
        <v>5.0000000000000711E-2</v>
      </c>
      <c r="H336" s="5">
        <f t="shared" si="49"/>
        <v>9.9999991944061145E-2</v>
      </c>
      <c r="I336" s="14">
        <f t="shared" si="50"/>
        <v>18.567100559642313</v>
      </c>
      <c r="J336" s="19">
        <f t="shared" si="51"/>
        <v>998919.37440351059</v>
      </c>
      <c r="K336" s="16">
        <f t="shared" si="52"/>
        <v>0.99961910777895591</v>
      </c>
    </row>
    <row r="337" spans="1:11" x14ac:dyDescent="0.15">
      <c r="A337" s="7">
        <v>39235.500393518516</v>
      </c>
      <c r="B337">
        <v>39.700000000000003</v>
      </c>
      <c r="C337" s="6">
        <f t="shared" si="45"/>
        <v>633.99999984540045</v>
      </c>
      <c r="D337" t="str">
        <f t="shared" si="46"/>
        <v/>
      </c>
      <c r="E337">
        <f t="shared" si="39"/>
        <v>39235.500393518516</v>
      </c>
      <c r="F337" s="4">
        <f t="shared" si="47"/>
        <v>0.10000000000000142</v>
      </c>
      <c r="G337" s="4">
        <f t="shared" si="48"/>
        <v>5.0000000000000711E-2</v>
      </c>
      <c r="H337" s="5">
        <f t="shared" si="49"/>
        <v>9.9999991944061145E-2</v>
      </c>
      <c r="I337" s="14">
        <f t="shared" si="50"/>
        <v>18.567100559642313</v>
      </c>
      <c r="J337" s="19">
        <f t="shared" si="51"/>
        <v>998937.94150407019</v>
      </c>
      <c r="K337" s="16">
        <f t="shared" si="52"/>
        <v>0.99963768788559015</v>
      </c>
    </row>
    <row r="338" spans="1:11" x14ac:dyDescent="0.15">
      <c r="A338" s="7">
        <v>39235.500416666669</v>
      </c>
      <c r="B338">
        <v>39.6</v>
      </c>
      <c r="C338" s="6">
        <f t="shared" si="45"/>
        <v>636.00000031292439</v>
      </c>
      <c r="D338" t="str">
        <f t="shared" si="46"/>
        <v/>
      </c>
      <c r="E338" t="str">
        <f t="shared" si="39"/>
        <v xml:space="preserve"> </v>
      </c>
      <c r="F338" s="4">
        <f t="shared" si="47"/>
        <v>0</v>
      </c>
      <c r="G338" s="4">
        <f t="shared" si="48"/>
        <v>0</v>
      </c>
      <c r="H338" s="5">
        <f t="shared" si="49"/>
        <v>5.0000011688099019E-2</v>
      </c>
      <c r="I338" s="14">
        <f t="shared" si="50"/>
        <v>9.2835531978396251</v>
      </c>
      <c r="J338" s="19">
        <f t="shared" si="51"/>
        <v>998947.22505726805</v>
      </c>
      <c r="K338" s="16">
        <f t="shared" si="52"/>
        <v>0.99964697794182733</v>
      </c>
    </row>
    <row r="339" spans="1:11" x14ac:dyDescent="0.15">
      <c r="A339" s="7">
        <v>39235.500439814816</v>
      </c>
      <c r="B339">
        <v>39.700000000000003</v>
      </c>
      <c r="C339" s="6">
        <f t="shared" si="45"/>
        <v>638.00000015180558</v>
      </c>
      <c r="D339" t="str">
        <f t="shared" si="46"/>
        <v/>
      </c>
      <c r="E339">
        <f t="shared" si="39"/>
        <v>39235.500439814816</v>
      </c>
      <c r="F339" s="4">
        <f t="shared" si="47"/>
        <v>0.10000000000000142</v>
      </c>
      <c r="G339" s="4">
        <f t="shared" si="48"/>
        <v>5.0000000000000711E-2</v>
      </c>
      <c r="H339" s="5">
        <f t="shared" si="49"/>
        <v>4.9999995972030573E-2</v>
      </c>
      <c r="I339" s="14">
        <f t="shared" si="50"/>
        <v>9.2835502798211564</v>
      </c>
      <c r="J339" s="19">
        <f t="shared" si="51"/>
        <v>998956.50860754785</v>
      </c>
      <c r="K339" s="16">
        <f t="shared" si="52"/>
        <v>0.9996562679951444</v>
      </c>
    </row>
    <row r="340" spans="1:11" x14ac:dyDescent="0.15">
      <c r="A340" s="7">
        <v>39235.500462962962</v>
      </c>
      <c r="B340">
        <v>39.700000000000003</v>
      </c>
      <c r="C340" s="6">
        <f t="shared" si="45"/>
        <v>639.99999999068677</v>
      </c>
      <c r="D340" t="str">
        <f t="shared" si="46"/>
        <v/>
      </c>
      <c r="E340">
        <f t="shared" si="39"/>
        <v>39235.500462962962</v>
      </c>
      <c r="F340" s="4">
        <f t="shared" si="47"/>
        <v>0.10000000000000142</v>
      </c>
      <c r="G340" s="4">
        <f t="shared" si="48"/>
        <v>5.0000000000000711E-2</v>
      </c>
      <c r="H340" s="5">
        <f t="shared" si="49"/>
        <v>9.9999991944061145E-2</v>
      </c>
      <c r="I340" s="14">
        <f t="shared" si="50"/>
        <v>18.567100559642313</v>
      </c>
      <c r="J340" s="19">
        <f t="shared" si="51"/>
        <v>998975.07570810744</v>
      </c>
      <c r="K340" s="16">
        <f t="shared" si="52"/>
        <v>0.99967484810177865</v>
      </c>
    </row>
    <row r="341" spans="1:11" x14ac:dyDescent="0.15">
      <c r="A341" s="7">
        <v>39235.500486111108</v>
      </c>
      <c r="B341">
        <v>39.700000000000003</v>
      </c>
      <c r="C341" s="6">
        <f t="shared" si="45"/>
        <v>641.99999982956797</v>
      </c>
      <c r="D341" t="str">
        <f t="shared" si="46"/>
        <v/>
      </c>
      <c r="E341">
        <f t="shared" ref="E341:E404" si="53">IF(B341-$B$6&gt;0,A341," ")</f>
        <v>39235.500486111108</v>
      </c>
      <c r="F341" s="4">
        <f t="shared" si="47"/>
        <v>0.10000000000000142</v>
      </c>
      <c r="G341" s="4">
        <f t="shared" si="48"/>
        <v>5.0000000000000711E-2</v>
      </c>
      <c r="H341" s="5">
        <f t="shared" si="49"/>
        <v>9.9999991944061145E-2</v>
      </c>
      <c r="I341" s="14">
        <f t="shared" si="50"/>
        <v>18.567100559642313</v>
      </c>
      <c r="J341" s="19">
        <f t="shared" si="51"/>
        <v>998993.64280866703</v>
      </c>
      <c r="K341" s="16">
        <f t="shared" si="52"/>
        <v>0.99969342820841289</v>
      </c>
    </row>
    <row r="342" spans="1:11" x14ac:dyDescent="0.15">
      <c r="A342" s="7">
        <v>39235.500509259262</v>
      </c>
      <c r="B342">
        <v>39.700000000000003</v>
      </c>
      <c r="C342" s="6">
        <f t="shared" si="45"/>
        <v>644.0000002970919</v>
      </c>
      <c r="D342" t="str">
        <f t="shared" si="46"/>
        <v/>
      </c>
      <c r="E342">
        <f t="shared" si="53"/>
        <v>39235.500509259262</v>
      </c>
      <c r="F342" s="4">
        <f t="shared" si="47"/>
        <v>0.10000000000000142</v>
      </c>
      <c r="G342" s="4">
        <f t="shared" si="48"/>
        <v>5.0000000000000711E-2</v>
      </c>
      <c r="H342" s="5">
        <f t="shared" si="49"/>
        <v>0.10000002337619804</v>
      </c>
      <c r="I342" s="14">
        <f t="shared" si="50"/>
        <v>18.56710639567925</v>
      </c>
      <c r="J342" s="19">
        <f t="shared" si="51"/>
        <v>999012.20991506276</v>
      </c>
      <c r="K342" s="16">
        <f t="shared" si="52"/>
        <v>0.99971200832088736</v>
      </c>
    </row>
    <row r="343" spans="1:11" x14ac:dyDescent="0.15">
      <c r="A343" s="7">
        <v>39235.500532407408</v>
      </c>
      <c r="B343">
        <v>39.700000000000003</v>
      </c>
      <c r="C343" s="6">
        <f t="shared" si="45"/>
        <v>646.0000001359731</v>
      </c>
      <c r="D343" t="str">
        <f t="shared" si="46"/>
        <v/>
      </c>
      <c r="E343">
        <f t="shared" si="53"/>
        <v>39235.500532407408</v>
      </c>
      <c r="F343" s="4">
        <f t="shared" si="47"/>
        <v>0.10000000000000142</v>
      </c>
      <c r="G343" s="4">
        <f t="shared" si="48"/>
        <v>5.0000000000000711E-2</v>
      </c>
      <c r="H343" s="5">
        <f t="shared" si="49"/>
        <v>9.9999991944061145E-2</v>
      </c>
      <c r="I343" s="14">
        <f t="shared" si="50"/>
        <v>18.567100559642313</v>
      </c>
      <c r="J343" s="19">
        <f t="shared" si="51"/>
        <v>999030.77701562236</v>
      </c>
      <c r="K343" s="16">
        <f t="shared" si="52"/>
        <v>0.9997305884275216</v>
      </c>
    </row>
    <row r="344" spans="1:11" x14ac:dyDescent="0.15">
      <c r="A344" s="7">
        <v>39235.500555555554</v>
      </c>
      <c r="B344">
        <v>39.700000000000003</v>
      </c>
      <c r="C344" s="6">
        <f t="shared" si="45"/>
        <v>647.99999997485429</v>
      </c>
      <c r="D344" t="str">
        <f t="shared" si="46"/>
        <v/>
      </c>
      <c r="E344">
        <f t="shared" si="53"/>
        <v>39235.500555555554</v>
      </c>
      <c r="F344" s="4">
        <f t="shared" si="47"/>
        <v>0.10000000000000142</v>
      </c>
      <c r="G344" s="4">
        <f t="shared" si="48"/>
        <v>5.0000000000000711E-2</v>
      </c>
      <c r="H344" s="5">
        <f t="shared" si="49"/>
        <v>9.9999991944061145E-2</v>
      </c>
      <c r="I344" s="14">
        <f t="shared" si="50"/>
        <v>18.567100559642313</v>
      </c>
      <c r="J344" s="19">
        <f t="shared" si="51"/>
        <v>999049.34411618195</v>
      </c>
      <c r="K344" s="16">
        <f t="shared" si="52"/>
        <v>0.99974916853415585</v>
      </c>
    </row>
    <row r="345" spans="1:11" x14ac:dyDescent="0.15">
      <c r="A345" s="7">
        <v>39235.500578703701</v>
      </c>
      <c r="B345">
        <v>39.700000000000003</v>
      </c>
      <c r="C345" s="6">
        <f t="shared" si="45"/>
        <v>649.99999981373549</v>
      </c>
      <c r="D345" t="str">
        <f t="shared" si="46"/>
        <v/>
      </c>
      <c r="E345">
        <f t="shared" si="53"/>
        <v>39235.500578703701</v>
      </c>
      <c r="F345" s="4">
        <f t="shared" si="47"/>
        <v>0.10000000000000142</v>
      </c>
      <c r="G345" s="4">
        <f t="shared" si="48"/>
        <v>5.0000000000000711E-2</v>
      </c>
      <c r="H345" s="5">
        <f t="shared" si="49"/>
        <v>9.9999991944061145E-2</v>
      </c>
      <c r="I345" s="14">
        <f t="shared" si="50"/>
        <v>18.567100559642313</v>
      </c>
      <c r="J345" s="19">
        <f t="shared" si="51"/>
        <v>999067.91121674154</v>
      </c>
      <c r="K345" s="16">
        <f t="shared" si="52"/>
        <v>0.9997677486407901</v>
      </c>
    </row>
    <row r="346" spans="1:11" x14ac:dyDescent="0.15">
      <c r="A346" s="7">
        <v>39235.500601851854</v>
      </c>
      <c r="B346">
        <v>39.700000000000003</v>
      </c>
      <c r="C346" s="6">
        <f t="shared" si="45"/>
        <v>652.00000028125942</v>
      </c>
      <c r="D346" t="str">
        <f t="shared" si="46"/>
        <v/>
      </c>
      <c r="E346">
        <f t="shared" si="53"/>
        <v>39235.500601851854</v>
      </c>
      <c r="F346" s="4">
        <f t="shared" si="47"/>
        <v>0.10000000000000142</v>
      </c>
      <c r="G346" s="4">
        <f t="shared" si="48"/>
        <v>5.0000000000000711E-2</v>
      </c>
      <c r="H346" s="5">
        <f t="shared" si="49"/>
        <v>0.10000002337619804</v>
      </c>
      <c r="I346" s="14">
        <f t="shared" si="50"/>
        <v>18.56710639567925</v>
      </c>
      <c r="J346" s="19">
        <f t="shared" si="51"/>
        <v>999086.47832313727</v>
      </c>
      <c r="K346" s="16">
        <f t="shared" si="52"/>
        <v>0.99978632875326456</v>
      </c>
    </row>
    <row r="347" spans="1:11" x14ac:dyDescent="0.15">
      <c r="A347" s="7">
        <v>39235.500625000001</v>
      </c>
      <c r="B347">
        <v>39.6</v>
      </c>
      <c r="C347" s="6">
        <f t="shared" si="45"/>
        <v>654.00000012014061</v>
      </c>
      <c r="D347" t="str">
        <f t="shared" si="46"/>
        <v/>
      </c>
      <c r="E347" t="str">
        <f t="shared" si="53"/>
        <v xml:space="preserve"> </v>
      </c>
      <c r="F347" s="4">
        <f t="shared" si="47"/>
        <v>0</v>
      </c>
      <c r="G347" s="4">
        <f t="shared" si="48"/>
        <v>0</v>
      </c>
      <c r="H347" s="5">
        <f t="shared" si="49"/>
        <v>4.9999995972030573E-2</v>
      </c>
      <c r="I347" s="14">
        <f t="shared" si="50"/>
        <v>9.2835502798211564</v>
      </c>
      <c r="J347" s="19">
        <f t="shared" si="51"/>
        <v>999095.76187341707</v>
      </c>
      <c r="K347" s="16">
        <f t="shared" si="52"/>
        <v>0.99979561880658163</v>
      </c>
    </row>
    <row r="348" spans="1:11" x14ac:dyDescent="0.15">
      <c r="A348" s="7">
        <v>39235.500648148147</v>
      </c>
      <c r="B348">
        <v>39.5</v>
      </c>
      <c r="C348" s="6">
        <f t="shared" si="45"/>
        <v>655.99999995902181</v>
      </c>
      <c r="D348" t="str">
        <f t="shared" si="46"/>
        <v/>
      </c>
      <c r="E348" t="str">
        <f t="shared" si="53"/>
        <v xml:space="preserve"> </v>
      </c>
      <c r="F348" s="4">
        <f t="shared" si="47"/>
        <v>0</v>
      </c>
      <c r="G348" s="4">
        <f t="shared" si="48"/>
        <v>0</v>
      </c>
      <c r="H348" s="5">
        <f t="shared" si="49"/>
        <v>0</v>
      </c>
      <c r="I348" s="14">
        <f t="shared" si="50"/>
        <v>0</v>
      </c>
      <c r="J348" s="19">
        <f t="shared" si="51"/>
        <v>999095.76187341707</v>
      </c>
      <c r="K348" s="16">
        <f t="shared" si="52"/>
        <v>0.99979561880658163</v>
      </c>
    </row>
    <row r="349" spans="1:11" x14ac:dyDescent="0.15">
      <c r="A349" s="7">
        <v>39235.500671296293</v>
      </c>
      <c r="B349">
        <v>39.6</v>
      </c>
      <c r="C349" s="6">
        <f t="shared" si="45"/>
        <v>657.999999797903</v>
      </c>
      <c r="D349" t="str">
        <f t="shared" si="46"/>
        <v/>
      </c>
      <c r="E349" t="str">
        <f t="shared" si="53"/>
        <v xml:space="preserve"> </v>
      </c>
      <c r="F349" s="4">
        <f t="shared" si="47"/>
        <v>0</v>
      </c>
      <c r="G349" s="4">
        <f t="shared" si="48"/>
        <v>0</v>
      </c>
      <c r="H349" s="5">
        <f t="shared" si="49"/>
        <v>0</v>
      </c>
      <c r="I349" s="14">
        <f t="shared" si="50"/>
        <v>0</v>
      </c>
      <c r="J349" s="19">
        <f t="shared" si="51"/>
        <v>999095.76187341707</v>
      </c>
      <c r="K349" s="16">
        <f t="shared" si="52"/>
        <v>0.99979561880658163</v>
      </c>
    </row>
    <row r="350" spans="1:11" x14ac:dyDescent="0.15">
      <c r="A350" s="7">
        <v>39235.500694444447</v>
      </c>
      <c r="B350">
        <v>39.6</v>
      </c>
      <c r="C350" s="6">
        <f t="shared" si="45"/>
        <v>660.00000026542693</v>
      </c>
      <c r="D350" t="str">
        <f t="shared" si="46"/>
        <v/>
      </c>
      <c r="E350" t="str">
        <f t="shared" si="53"/>
        <v xml:space="preserve"> </v>
      </c>
      <c r="F350" s="4">
        <f t="shared" si="47"/>
        <v>0</v>
      </c>
      <c r="G350" s="4">
        <f t="shared" si="48"/>
        <v>0</v>
      </c>
      <c r="H350" s="5">
        <f t="shared" si="49"/>
        <v>0</v>
      </c>
      <c r="I350" s="14">
        <f t="shared" si="50"/>
        <v>0</v>
      </c>
      <c r="J350" s="19">
        <f t="shared" si="51"/>
        <v>999095.76187341707</v>
      </c>
      <c r="K350" s="16">
        <f t="shared" si="52"/>
        <v>0.99979561880658163</v>
      </c>
    </row>
    <row r="351" spans="1:11" x14ac:dyDescent="0.15">
      <c r="A351" s="7">
        <v>39235.500717592593</v>
      </c>
      <c r="B351">
        <v>39.5</v>
      </c>
      <c r="C351" s="6">
        <f t="shared" si="45"/>
        <v>662.00000010430813</v>
      </c>
      <c r="D351" t="str">
        <f t="shared" si="46"/>
        <v/>
      </c>
      <c r="E351" t="str">
        <f t="shared" si="53"/>
        <v xml:space="preserve"> </v>
      </c>
      <c r="F351" s="4">
        <f t="shared" si="47"/>
        <v>0</v>
      </c>
      <c r="G351" s="4">
        <f t="shared" si="48"/>
        <v>0</v>
      </c>
      <c r="H351" s="5">
        <f t="shared" si="49"/>
        <v>0</v>
      </c>
      <c r="I351" s="14">
        <f t="shared" si="50"/>
        <v>0</v>
      </c>
      <c r="J351" s="19">
        <f t="shared" si="51"/>
        <v>999095.76187341707</v>
      </c>
      <c r="K351" s="16">
        <f t="shared" si="52"/>
        <v>0.99979561880658163</v>
      </c>
    </row>
    <row r="352" spans="1:11" x14ac:dyDescent="0.15">
      <c r="A352" s="7">
        <v>39235.500740740739</v>
      </c>
      <c r="B352">
        <v>39.5</v>
      </c>
      <c r="C352" s="6">
        <f t="shared" si="45"/>
        <v>663.99999994318932</v>
      </c>
      <c r="D352" t="str">
        <f t="shared" si="46"/>
        <v/>
      </c>
      <c r="E352" t="str">
        <f t="shared" si="53"/>
        <v xml:space="preserve"> </v>
      </c>
      <c r="F352" s="4">
        <f t="shared" si="47"/>
        <v>0</v>
      </c>
      <c r="G352" s="4">
        <f t="shared" si="48"/>
        <v>0</v>
      </c>
      <c r="H352" s="5">
        <f t="shared" si="49"/>
        <v>0</v>
      </c>
      <c r="I352" s="14">
        <f t="shared" si="50"/>
        <v>0</v>
      </c>
      <c r="J352" s="19">
        <f t="shared" si="51"/>
        <v>999095.76187341707</v>
      </c>
      <c r="K352" s="16">
        <f t="shared" si="52"/>
        <v>0.99979561880658163</v>
      </c>
    </row>
    <row r="353" spans="1:11" x14ac:dyDescent="0.15">
      <c r="A353" s="7">
        <v>39235.500763888886</v>
      </c>
      <c r="B353">
        <v>39.6</v>
      </c>
      <c r="C353" s="6">
        <f t="shared" si="45"/>
        <v>665.99999978207052</v>
      </c>
      <c r="D353" t="str">
        <f t="shared" si="46"/>
        <v/>
      </c>
      <c r="E353" t="str">
        <f t="shared" si="53"/>
        <v xml:space="preserve"> </v>
      </c>
      <c r="F353" s="4">
        <f t="shared" si="47"/>
        <v>0</v>
      </c>
      <c r="G353" s="4">
        <f t="shared" si="48"/>
        <v>0</v>
      </c>
      <c r="H353" s="5">
        <f t="shared" si="49"/>
        <v>0</v>
      </c>
      <c r="I353" s="14">
        <f t="shared" si="50"/>
        <v>0</v>
      </c>
      <c r="J353" s="19">
        <f t="shared" si="51"/>
        <v>999095.76187341707</v>
      </c>
      <c r="K353" s="16">
        <f t="shared" si="52"/>
        <v>0.99979561880658163</v>
      </c>
    </row>
    <row r="354" spans="1:11" x14ac:dyDescent="0.15">
      <c r="A354" s="7">
        <v>39235.500787037039</v>
      </c>
      <c r="B354">
        <v>39.6</v>
      </c>
      <c r="C354" s="6">
        <f t="shared" si="45"/>
        <v>668.00000024959445</v>
      </c>
      <c r="D354" t="str">
        <f t="shared" si="46"/>
        <v/>
      </c>
      <c r="E354" t="str">
        <f t="shared" si="53"/>
        <v xml:space="preserve"> </v>
      </c>
      <c r="F354" s="4">
        <f t="shared" si="47"/>
        <v>0</v>
      </c>
      <c r="G354" s="4">
        <f t="shared" si="48"/>
        <v>0</v>
      </c>
      <c r="H354" s="5">
        <f t="shared" si="49"/>
        <v>0</v>
      </c>
      <c r="I354" s="14">
        <f t="shared" si="50"/>
        <v>0</v>
      </c>
      <c r="J354" s="19">
        <f t="shared" si="51"/>
        <v>999095.76187341707</v>
      </c>
      <c r="K354" s="16">
        <f t="shared" si="52"/>
        <v>0.99979561880658163</v>
      </c>
    </row>
    <row r="355" spans="1:11" x14ac:dyDescent="0.15">
      <c r="A355" s="7">
        <v>39235.500810185185</v>
      </c>
      <c r="B355">
        <v>39.6</v>
      </c>
      <c r="C355" s="6">
        <f t="shared" si="45"/>
        <v>670.00000008847564</v>
      </c>
      <c r="D355" t="str">
        <f t="shared" si="46"/>
        <v/>
      </c>
      <c r="E355" t="str">
        <f t="shared" si="53"/>
        <v xml:space="preserve"> </v>
      </c>
      <c r="F355" s="4">
        <f t="shared" si="47"/>
        <v>0</v>
      </c>
      <c r="G355" s="4">
        <f t="shared" si="48"/>
        <v>0</v>
      </c>
      <c r="H355" s="5">
        <f t="shared" si="49"/>
        <v>0</v>
      </c>
      <c r="I355" s="14">
        <f t="shared" si="50"/>
        <v>0</v>
      </c>
      <c r="J355" s="19">
        <f t="shared" si="51"/>
        <v>999095.76187341707</v>
      </c>
      <c r="K355" s="16">
        <f t="shared" si="52"/>
        <v>0.99979561880658163</v>
      </c>
    </row>
    <row r="356" spans="1:11" x14ac:dyDescent="0.15">
      <c r="A356" s="7">
        <v>39235.500833333332</v>
      </c>
      <c r="B356">
        <v>39.700000000000003</v>
      </c>
      <c r="C356" s="6">
        <f t="shared" si="45"/>
        <v>671.99999992735684</v>
      </c>
      <c r="D356" t="str">
        <f t="shared" si="46"/>
        <v/>
      </c>
      <c r="E356">
        <f t="shared" si="53"/>
        <v>39235.500833333332</v>
      </c>
      <c r="F356" s="4">
        <f t="shared" si="47"/>
        <v>0.10000000000000142</v>
      </c>
      <c r="G356" s="4">
        <f t="shared" si="48"/>
        <v>5.0000000000000711E-2</v>
      </c>
      <c r="H356" s="5">
        <f t="shared" si="49"/>
        <v>4.9999995972030573E-2</v>
      </c>
      <c r="I356" s="14">
        <f t="shared" si="50"/>
        <v>9.2835502798211564</v>
      </c>
      <c r="J356" s="19">
        <f t="shared" si="51"/>
        <v>999105.04542369687</v>
      </c>
      <c r="K356" s="16">
        <f t="shared" si="52"/>
        <v>0.99980490885989881</v>
      </c>
    </row>
    <row r="357" spans="1:11" x14ac:dyDescent="0.15">
      <c r="A357" s="7">
        <v>39235.500856481478</v>
      </c>
      <c r="B357">
        <v>39.6</v>
      </c>
      <c r="C357" s="6">
        <f t="shared" si="45"/>
        <v>673.99999976623803</v>
      </c>
      <c r="D357" t="str">
        <f t="shared" si="46"/>
        <v/>
      </c>
      <c r="E357" t="str">
        <f t="shared" si="53"/>
        <v xml:space="preserve"> </v>
      </c>
      <c r="F357" s="4">
        <f t="shared" si="47"/>
        <v>0</v>
      </c>
      <c r="G357" s="4">
        <f t="shared" si="48"/>
        <v>0</v>
      </c>
      <c r="H357" s="5">
        <f t="shared" si="49"/>
        <v>4.9999995972030573E-2</v>
      </c>
      <c r="I357" s="14">
        <f t="shared" si="50"/>
        <v>9.2835502798211564</v>
      </c>
      <c r="J357" s="19">
        <f t="shared" si="51"/>
        <v>999114.32897397666</v>
      </c>
      <c r="K357" s="16">
        <f t="shared" si="52"/>
        <v>0.99981419891321588</v>
      </c>
    </row>
    <row r="358" spans="1:11" x14ac:dyDescent="0.15">
      <c r="A358" s="7">
        <v>39235.500879629632</v>
      </c>
      <c r="B358">
        <v>39.700000000000003</v>
      </c>
      <c r="C358" s="6">
        <f t="shared" si="45"/>
        <v>676.00000023376197</v>
      </c>
      <c r="D358" t="str">
        <f t="shared" si="46"/>
        <v/>
      </c>
      <c r="E358">
        <f t="shared" si="53"/>
        <v>39235.500879629632</v>
      </c>
      <c r="F358" s="4">
        <f t="shared" si="47"/>
        <v>0.10000000000000142</v>
      </c>
      <c r="G358" s="4">
        <f t="shared" si="48"/>
        <v>5.0000000000000711E-2</v>
      </c>
      <c r="H358" s="5">
        <f t="shared" si="49"/>
        <v>5.0000011688099019E-2</v>
      </c>
      <c r="I358" s="14">
        <f t="shared" si="50"/>
        <v>9.2835531978396251</v>
      </c>
      <c r="J358" s="19">
        <f t="shared" si="51"/>
        <v>999123.61252717453</v>
      </c>
      <c r="K358" s="16">
        <f t="shared" si="52"/>
        <v>0.99982348896945317</v>
      </c>
    </row>
    <row r="359" spans="1:11" x14ac:dyDescent="0.15">
      <c r="A359" s="7">
        <v>39235.500902777778</v>
      </c>
      <c r="B359">
        <v>39.5</v>
      </c>
      <c r="C359" s="6">
        <f t="shared" si="45"/>
        <v>678.00000007264316</v>
      </c>
      <c r="D359" t="str">
        <f t="shared" si="46"/>
        <v/>
      </c>
      <c r="E359" t="str">
        <f t="shared" si="53"/>
        <v xml:space="preserve"> </v>
      </c>
      <c r="F359" s="4">
        <f t="shared" si="47"/>
        <v>0</v>
      </c>
      <c r="G359" s="4">
        <f t="shared" si="48"/>
        <v>0</v>
      </c>
      <c r="H359" s="5">
        <f t="shared" si="49"/>
        <v>4.9999995972030573E-2</v>
      </c>
      <c r="I359" s="14">
        <f t="shared" si="50"/>
        <v>9.2835502798211564</v>
      </c>
      <c r="J359" s="19">
        <f t="shared" si="51"/>
        <v>999132.89607745432</v>
      </c>
      <c r="K359" s="16">
        <f t="shared" si="52"/>
        <v>0.99983277902277023</v>
      </c>
    </row>
    <row r="360" spans="1:11" x14ac:dyDescent="0.15">
      <c r="A360" s="7">
        <v>39235.500925925924</v>
      </c>
      <c r="B360">
        <v>39.6</v>
      </c>
      <c r="C360" s="6">
        <f t="shared" ref="C360:C423" si="54">(A360-$B$4)*24*60*60</f>
        <v>679.99999991152436</v>
      </c>
      <c r="D360" t="str">
        <f t="shared" ref="D360:D423" si="55">IF(F360=$B$8,A360,"")</f>
        <v/>
      </c>
      <c r="E360" t="str">
        <f t="shared" si="53"/>
        <v xml:space="preserve"> </v>
      </c>
      <c r="F360" s="4">
        <f t="shared" ref="F360:F423" si="56">IF((B360-$B$6)&gt;0,B360-$B$6,0)</f>
        <v>0</v>
      </c>
      <c r="G360" s="4">
        <f t="shared" ref="G360:G423" si="57">F360/2</f>
        <v>0</v>
      </c>
      <c r="H360" s="5">
        <f t="shared" ref="H360:H423" si="58">AVERAGE(G359:G360)*(C360-C359)</f>
        <v>0</v>
      </c>
      <c r="I360" s="14">
        <f t="shared" ref="I360:I423" si="59">H360*$B$14</f>
        <v>0</v>
      </c>
      <c r="J360" s="19">
        <f t="shared" ref="J360:J423" si="60">J359+I360</f>
        <v>999132.89607745432</v>
      </c>
      <c r="K360" s="16">
        <f t="shared" ref="K360:K423" si="61">J360/($B$12*1000)</f>
        <v>0.99983277902277023</v>
      </c>
    </row>
    <row r="361" spans="1:11" x14ac:dyDescent="0.15">
      <c r="A361" s="7">
        <v>39235.500949074078</v>
      </c>
      <c r="B361">
        <v>39.6</v>
      </c>
      <c r="C361" s="6">
        <f t="shared" si="54"/>
        <v>682.00000037904829</v>
      </c>
      <c r="D361" t="str">
        <f t="shared" si="55"/>
        <v/>
      </c>
      <c r="E361" t="str">
        <f t="shared" si="53"/>
        <v xml:space="preserve"> </v>
      </c>
      <c r="F361" s="4">
        <f t="shared" si="56"/>
        <v>0</v>
      </c>
      <c r="G361" s="4">
        <f t="shared" si="57"/>
        <v>0</v>
      </c>
      <c r="H361" s="5">
        <f t="shared" si="58"/>
        <v>0</v>
      </c>
      <c r="I361" s="14">
        <f t="shared" si="59"/>
        <v>0</v>
      </c>
      <c r="J361" s="19">
        <f t="shared" si="60"/>
        <v>999132.89607745432</v>
      </c>
      <c r="K361" s="16">
        <f t="shared" si="61"/>
        <v>0.99983277902277023</v>
      </c>
    </row>
    <row r="362" spans="1:11" x14ac:dyDescent="0.15">
      <c r="A362" s="7">
        <v>39235.500972222224</v>
      </c>
      <c r="B362">
        <v>39.700000000000003</v>
      </c>
      <c r="C362" s="6">
        <f t="shared" si="54"/>
        <v>684.00000021792948</v>
      </c>
      <c r="D362" t="str">
        <f t="shared" si="55"/>
        <v/>
      </c>
      <c r="E362">
        <f t="shared" si="53"/>
        <v>39235.500972222224</v>
      </c>
      <c r="F362" s="4">
        <f t="shared" si="56"/>
        <v>0.10000000000000142</v>
      </c>
      <c r="G362" s="4">
        <f t="shared" si="57"/>
        <v>5.0000000000000711E-2</v>
      </c>
      <c r="H362" s="5">
        <f t="shared" si="58"/>
        <v>4.9999995972030573E-2</v>
      </c>
      <c r="I362" s="14">
        <f t="shared" si="59"/>
        <v>9.2835502798211564</v>
      </c>
      <c r="J362" s="19">
        <f t="shared" si="60"/>
        <v>999142.17962773412</v>
      </c>
      <c r="K362" s="16">
        <f t="shared" si="61"/>
        <v>0.99984206907608741</v>
      </c>
    </row>
    <row r="363" spans="1:11" x14ac:dyDescent="0.15">
      <c r="A363" s="7">
        <v>39235.50099537037</v>
      </c>
      <c r="B363">
        <v>39.5</v>
      </c>
      <c r="C363" s="6">
        <f t="shared" si="54"/>
        <v>686.00000005681068</v>
      </c>
      <c r="D363" t="str">
        <f t="shared" si="55"/>
        <v/>
      </c>
      <c r="E363" t="str">
        <f t="shared" si="53"/>
        <v xml:space="preserve"> </v>
      </c>
      <c r="F363" s="4">
        <f t="shared" si="56"/>
        <v>0</v>
      </c>
      <c r="G363" s="4">
        <f t="shared" si="57"/>
        <v>0</v>
      </c>
      <c r="H363" s="5">
        <f t="shared" si="58"/>
        <v>4.9999995972030573E-2</v>
      </c>
      <c r="I363" s="14">
        <f t="shared" si="59"/>
        <v>9.2835502798211564</v>
      </c>
      <c r="J363" s="19">
        <f t="shared" si="60"/>
        <v>999151.46317801392</v>
      </c>
      <c r="K363" s="16">
        <f t="shared" si="61"/>
        <v>0.99985135912940448</v>
      </c>
    </row>
    <row r="364" spans="1:11" x14ac:dyDescent="0.15">
      <c r="A364" s="7">
        <v>39235.501018518517</v>
      </c>
      <c r="B364">
        <v>39.6</v>
      </c>
      <c r="C364" s="6">
        <f t="shared" si="54"/>
        <v>687.99999989569187</v>
      </c>
      <c r="D364" t="str">
        <f t="shared" si="55"/>
        <v/>
      </c>
      <c r="E364" t="str">
        <f t="shared" si="53"/>
        <v xml:space="preserve"> </v>
      </c>
      <c r="F364" s="4">
        <f t="shared" si="56"/>
        <v>0</v>
      </c>
      <c r="G364" s="4">
        <f t="shared" si="57"/>
        <v>0</v>
      </c>
      <c r="H364" s="5">
        <f t="shared" si="58"/>
        <v>0</v>
      </c>
      <c r="I364" s="14">
        <f t="shared" si="59"/>
        <v>0</v>
      </c>
      <c r="J364" s="19">
        <f t="shared" si="60"/>
        <v>999151.46317801392</v>
      </c>
      <c r="K364" s="16">
        <f t="shared" si="61"/>
        <v>0.99985135912940448</v>
      </c>
    </row>
    <row r="365" spans="1:11" x14ac:dyDescent="0.15">
      <c r="A365" s="7">
        <v>39235.50104166667</v>
      </c>
      <c r="B365">
        <v>39.6</v>
      </c>
      <c r="C365" s="6">
        <f t="shared" si="54"/>
        <v>690.0000003632158</v>
      </c>
      <c r="D365" t="str">
        <f t="shared" si="55"/>
        <v/>
      </c>
      <c r="E365" t="str">
        <f t="shared" si="53"/>
        <v xml:space="preserve"> </v>
      </c>
      <c r="F365" s="4">
        <f t="shared" si="56"/>
        <v>0</v>
      </c>
      <c r="G365" s="4">
        <f t="shared" si="57"/>
        <v>0</v>
      </c>
      <c r="H365" s="5">
        <f t="shared" si="58"/>
        <v>0</v>
      </c>
      <c r="I365" s="14">
        <f t="shared" si="59"/>
        <v>0</v>
      </c>
      <c r="J365" s="19">
        <f t="shared" si="60"/>
        <v>999151.46317801392</v>
      </c>
      <c r="K365" s="16">
        <f t="shared" si="61"/>
        <v>0.99985135912940448</v>
      </c>
    </row>
    <row r="366" spans="1:11" x14ac:dyDescent="0.15">
      <c r="A366" s="7">
        <v>39235.501064814816</v>
      </c>
      <c r="B366">
        <v>39.5</v>
      </c>
      <c r="C366" s="6">
        <f t="shared" si="54"/>
        <v>692.000000202097</v>
      </c>
      <c r="D366" t="str">
        <f t="shared" si="55"/>
        <v/>
      </c>
      <c r="E366" t="str">
        <f t="shared" si="53"/>
        <v xml:space="preserve"> </v>
      </c>
      <c r="F366" s="4">
        <f t="shared" si="56"/>
        <v>0</v>
      </c>
      <c r="G366" s="4">
        <f t="shared" si="57"/>
        <v>0</v>
      </c>
      <c r="H366" s="5">
        <f t="shared" si="58"/>
        <v>0</v>
      </c>
      <c r="I366" s="14">
        <f t="shared" si="59"/>
        <v>0</v>
      </c>
      <c r="J366" s="19">
        <f t="shared" si="60"/>
        <v>999151.46317801392</v>
      </c>
      <c r="K366" s="16">
        <f t="shared" si="61"/>
        <v>0.99985135912940448</v>
      </c>
    </row>
    <row r="367" spans="1:11" x14ac:dyDescent="0.15">
      <c r="A367" s="7">
        <v>39235.501087962963</v>
      </c>
      <c r="B367">
        <v>39.6</v>
      </c>
      <c r="C367" s="6">
        <f t="shared" si="54"/>
        <v>694.00000004097819</v>
      </c>
      <c r="D367" t="str">
        <f t="shared" si="55"/>
        <v/>
      </c>
      <c r="E367" t="str">
        <f t="shared" si="53"/>
        <v xml:space="preserve"> </v>
      </c>
      <c r="F367" s="4">
        <f t="shared" si="56"/>
        <v>0</v>
      </c>
      <c r="G367" s="4">
        <f t="shared" si="57"/>
        <v>0</v>
      </c>
      <c r="H367" s="5">
        <f t="shared" si="58"/>
        <v>0</v>
      </c>
      <c r="I367" s="14">
        <f t="shared" si="59"/>
        <v>0</v>
      </c>
      <c r="J367" s="19">
        <f t="shared" si="60"/>
        <v>999151.46317801392</v>
      </c>
      <c r="K367" s="16">
        <f t="shared" si="61"/>
        <v>0.99985135912940448</v>
      </c>
    </row>
    <row r="368" spans="1:11" x14ac:dyDescent="0.15">
      <c r="A368" s="7">
        <v>39235.501111111109</v>
      </c>
      <c r="B368">
        <v>39.5</v>
      </c>
      <c r="C368" s="6">
        <f t="shared" si="54"/>
        <v>695.99999987985939</v>
      </c>
      <c r="D368" t="str">
        <f t="shared" si="55"/>
        <v/>
      </c>
      <c r="E368" t="str">
        <f t="shared" si="53"/>
        <v xml:space="preserve"> </v>
      </c>
      <c r="F368" s="4">
        <f t="shared" si="56"/>
        <v>0</v>
      </c>
      <c r="G368" s="4">
        <f t="shared" si="57"/>
        <v>0</v>
      </c>
      <c r="H368" s="5">
        <f t="shared" si="58"/>
        <v>0</v>
      </c>
      <c r="I368" s="14">
        <f t="shared" si="59"/>
        <v>0</v>
      </c>
      <c r="J368" s="19">
        <f t="shared" si="60"/>
        <v>999151.46317801392</v>
      </c>
      <c r="K368" s="16">
        <f t="shared" si="61"/>
        <v>0.99985135912940448</v>
      </c>
    </row>
    <row r="369" spans="1:11" x14ac:dyDescent="0.15">
      <c r="A369" s="7">
        <v>39235.501134259262</v>
      </c>
      <c r="B369">
        <v>39.5</v>
      </c>
      <c r="C369" s="6">
        <f t="shared" si="54"/>
        <v>698.00000034738332</v>
      </c>
      <c r="D369" t="str">
        <f t="shared" si="55"/>
        <v/>
      </c>
      <c r="E369" t="str">
        <f t="shared" si="53"/>
        <v xml:space="preserve"> </v>
      </c>
      <c r="F369" s="4">
        <f t="shared" si="56"/>
        <v>0</v>
      </c>
      <c r="G369" s="4">
        <f t="shared" si="57"/>
        <v>0</v>
      </c>
      <c r="H369" s="5">
        <f t="shared" si="58"/>
        <v>0</v>
      </c>
      <c r="I369" s="14">
        <f t="shared" si="59"/>
        <v>0</v>
      </c>
      <c r="J369" s="19">
        <f t="shared" si="60"/>
        <v>999151.46317801392</v>
      </c>
      <c r="K369" s="16">
        <f t="shared" si="61"/>
        <v>0.99985135912940448</v>
      </c>
    </row>
    <row r="370" spans="1:11" x14ac:dyDescent="0.15">
      <c r="A370" s="7">
        <v>39235.501157407409</v>
      </c>
      <c r="B370">
        <v>39.6</v>
      </c>
      <c r="C370" s="6">
        <f t="shared" si="54"/>
        <v>700.00000018626451</v>
      </c>
      <c r="D370" t="str">
        <f t="shared" si="55"/>
        <v/>
      </c>
      <c r="E370" t="str">
        <f t="shared" si="53"/>
        <v xml:space="preserve"> </v>
      </c>
      <c r="F370" s="4">
        <f t="shared" si="56"/>
        <v>0</v>
      </c>
      <c r="G370" s="4">
        <f t="shared" si="57"/>
        <v>0</v>
      </c>
      <c r="H370" s="5">
        <f t="shared" si="58"/>
        <v>0</v>
      </c>
      <c r="I370" s="14">
        <f t="shared" si="59"/>
        <v>0</v>
      </c>
      <c r="J370" s="19">
        <f t="shared" si="60"/>
        <v>999151.46317801392</v>
      </c>
      <c r="K370" s="16">
        <f t="shared" si="61"/>
        <v>0.99985135912940448</v>
      </c>
    </row>
    <row r="371" spans="1:11" x14ac:dyDescent="0.15">
      <c r="A371" s="7">
        <v>39235.501180555555</v>
      </c>
      <c r="B371">
        <v>39.5</v>
      </c>
      <c r="C371" s="6">
        <f t="shared" si="54"/>
        <v>702.00000002514571</v>
      </c>
      <c r="D371" t="str">
        <f t="shared" si="55"/>
        <v/>
      </c>
      <c r="E371" t="str">
        <f t="shared" si="53"/>
        <v xml:space="preserve"> </v>
      </c>
      <c r="F371" s="4">
        <f t="shared" si="56"/>
        <v>0</v>
      </c>
      <c r="G371" s="4">
        <f t="shared" si="57"/>
        <v>0</v>
      </c>
      <c r="H371" s="5">
        <f t="shared" si="58"/>
        <v>0</v>
      </c>
      <c r="I371" s="14">
        <f t="shared" si="59"/>
        <v>0</v>
      </c>
      <c r="J371" s="19">
        <f t="shared" si="60"/>
        <v>999151.46317801392</v>
      </c>
      <c r="K371" s="16">
        <f t="shared" si="61"/>
        <v>0.99985135912940448</v>
      </c>
    </row>
    <row r="372" spans="1:11" x14ac:dyDescent="0.15">
      <c r="A372" s="7">
        <v>39235.501203703701</v>
      </c>
      <c r="B372">
        <v>39.5</v>
      </c>
      <c r="C372" s="6">
        <f t="shared" si="54"/>
        <v>703.9999998640269</v>
      </c>
      <c r="D372" t="str">
        <f t="shared" si="55"/>
        <v/>
      </c>
      <c r="E372" t="str">
        <f t="shared" si="53"/>
        <v xml:space="preserve"> </v>
      </c>
      <c r="F372" s="4">
        <f t="shared" si="56"/>
        <v>0</v>
      </c>
      <c r="G372" s="4">
        <f t="shared" si="57"/>
        <v>0</v>
      </c>
      <c r="H372" s="5">
        <f t="shared" si="58"/>
        <v>0</v>
      </c>
      <c r="I372" s="14">
        <f t="shared" si="59"/>
        <v>0</v>
      </c>
      <c r="J372" s="19">
        <f t="shared" si="60"/>
        <v>999151.46317801392</v>
      </c>
      <c r="K372" s="16">
        <f t="shared" si="61"/>
        <v>0.99985135912940448</v>
      </c>
    </row>
    <row r="373" spans="1:11" x14ac:dyDescent="0.15">
      <c r="A373" s="7">
        <v>39235.501226851855</v>
      </c>
      <c r="B373">
        <v>39.6</v>
      </c>
      <c r="C373" s="6">
        <f t="shared" si="54"/>
        <v>706.00000033155084</v>
      </c>
      <c r="D373" t="str">
        <f t="shared" si="55"/>
        <v/>
      </c>
      <c r="E373" t="str">
        <f t="shared" si="53"/>
        <v xml:space="preserve"> </v>
      </c>
      <c r="F373" s="4">
        <f t="shared" si="56"/>
        <v>0</v>
      </c>
      <c r="G373" s="4">
        <f t="shared" si="57"/>
        <v>0</v>
      </c>
      <c r="H373" s="5">
        <f t="shared" si="58"/>
        <v>0</v>
      </c>
      <c r="I373" s="14">
        <f t="shared" si="59"/>
        <v>0</v>
      </c>
      <c r="J373" s="19">
        <f t="shared" si="60"/>
        <v>999151.46317801392</v>
      </c>
      <c r="K373" s="16">
        <f t="shared" si="61"/>
        <v>0.99985135912940448</v>
      </c>
    </row>
    <row r="374" spans="1:11" x14ac:dyDescent="0.15">
      <c r="A374" s="7">
        <v>39235.501250000001</v>
      </c>
      <c r="B374">
        <v>39.5</v>
      </c>
      <c r="C374" s="6">
        <f t="shared" si="54"/>
        <v>708.00000017043203</v>
      </c>
      <c r="D374" t="str">
        <f t="shared" si="55"/>
        <v/>
      </c>
      <c r="E374" t="str">
        <f t="shared" si="53"/>
        <v xml:space="preserve"> </v>
      </c>
      <c r="F374" s="4">
        <f t="shared" si="56"/>
        <v>0</v>
      </c>
      <c r="G374" s="4">
        <f t="shared" si="57"/>
        <v>0</v>
      </c>
      <c r="H374" s="5">
        <f t="shared" si="58"/>
        <v>0</v>
      </c>
      <c r="I374" s="14">
        <f t="shared" si="59"/>
        <v>0</v>
      </c>
      <c r="J374" s="19">
        <f t="shared" si="60"/>
        <v>999151.46317801392</v>
      </c>
      <c r="K374" s="16">
        <f t="shared" si="61"/>
        <v>0.99985135912940448</v>
      </c>
    </row>
    <row r="375" spans="1:11" x14ac:dyDescent="0.15">
      <c r="A375" s="7">
        <v>39235.501273148147</v>
      </c>
      <c r="B375">
        <v>39.6</v>
      </c>
      <c r="C375" s="6">
        <f t="shared" si="54"/>
        <v>710.00000000931323</v>
      </c>
      <c r="D375" t="str">
        <f t="shared" si="55"/>
        <v/>
      </c>
      <c r="E375" t="str">
        <f t="shared" si="53"/>
        <v xml:space="preserve"> </v>
      </c>
      <c r="F375" s="4">
        <f t="shared" si="56"/>
        <v>0</v>
      </c>
      <c r="G375" s="4">
        <f t="shared" si="57"/>
        <v>0</v>
      </c>
      <c r="H375" s="5">
        <f t="shared" si="58"/>
        <v>0</v>
      </c>
      <c r="I375" s="14">
        <f t="shared" si="59"/>
        <v>0</v>
      </c>
      <c r="J375" s="19">
        <f t="shared" si="60"/>
        <v>999151.46317801392</v>
      </c>
      <c r="K375" s="16">
        <f t="shared" si="61"/>
        <v>0.99985135912940448</v>
      </c>
    </row>
    <row r="376" spans="1:11" x14ac:dyDescent="0.15">
      <c r="A376" s="7">
        <v>39235.501296296294</v>
      </c>
      <c r="B376">
        <v>39.700000000000003</v>
      </c>
      <c r="C376" s="6">
        <f t="shared" si="54"/>
        <v>711.99999984819442</v>
      </c>
      <c r="D376" t="str">
        <f t="shared" si="55"/>
        <v/>
      </c>
      <c r="E376">
        <f t="shared" si="53"/>
        <v>39235.501296296294</v>
      </c>
      <c r="F376" s="4">
        <f t="shared" si="56"/>
        <v>0.10000000000000142</v>
      </c>
      <c r="G376" s="4">
        <f t="shared" si="57"/>
        <v>5.0000000000000711E-2</v>
      </c>
      <c r="H376" s="5">
        <f t="shared" si="58"/>
        <v>4.9999995972030573E-2</v>
      </c>
      <c r="I376" s="14">
        <f t="shared" si="59"/>
        <v>9.2835502798211564</v>
      </c>
      <c r="J376" s="19">
        <f t="shared" si="60"/>
        <v>999160.74672829371</v>
      </c>
      <c r="K376" s="16">
        <f t="shared" si="61"/>
        <v>0.99986064918272166</v>
      </c>
    </row>
    <row r="377" spans="1:11" x14ac:dyDescent="0.15">
      <c r="A377" s="7">
        <v>39235.501319444447</v>
      </c>
      <c r="B377">
        <v>39.700000000000003</v>
      </c>
      <c r="C377" s="6">
        <f t="shared" si="54"/>
        <v>714.00000031571835</v>
      </c>
      <c r="D377" t="str">
        <f t="shared" si="55"/>
        <v/>
      </c>
      <c r="E377">
        <f t="shared" si="53"/>
        <v>39235.501319444447</v>
      </c>
      <c r="F377" s="4">
        <f t="shared" si="56"/>
        <v>0.10000000000000142</v>
      </c>
      <c r="G377" s="4">
        <f t="shared" si="57"/>
        <v>5.0000000000000711E-2</v>
      </c>
      <c r="H377" s="5">
        <f t="shared" si="58"/>
        <v>0.10000002337619804</v>
      </c>
      <c r="I377" s="14">
        <f t="shared" si="59"/>
        <v>18.56710639567925</v>
      </c>
      <c r="J377" s="19">
        <f t="shared" si="60"/>
        <v>999179.31383468944</v>
      </c>
      <c r="K377" s="16">
        <f t="shared" si="61"/>
        <v>0.99987922929519613</v>
      </c>
    </row>
    <row r="378" spans="1:11" x14ac:dyDescent="0.15">
      <c r="A378" s="7">
        <v>39235.501342592594</v>
      </c>
      <c r="B378">
        <v>39.5</v>
      </c>
      <c r="C378" s="6">
        <f t="shared" si="54"/>
        <v>716.00000015459955</v>
      </c>
      <c r="D378" t="str">
        <f t="shared" si="55"/>
        <v/>
      </c>
      <c r="E378" t="str">
        <f t="shared" si="53"/>
        <v xml:space="preserve"> </v>
      </c>
      <c r="F378" s="4">
        <f t="shared" si="56"/>
        <v>0</v>
      </c>
      <c r="G378" s="4">
        <f t="shared" si="57"/>
        <v>0</v>
      </c>
      <c r="H378" s="5">
        <f t="shared" si="58"/>
        <v>4.9999995972030573E-2</v>
      </c>
      <c r="I378" s="14">
        <f t="shared" si="59"/>
        <v>9.2835502798211564</v>
      </c>
      <c r="J378" s="19">
        <f t="shared" si="60"/>
        <v>999188.59738496924</v>
      </c>
      <c r="K378" s="16">
        <f t="shared" si="61"/>
        <v>0.99988851934851319</v>
      </c>
    </row>
    <row r="379" spans="1:11" x14ac:dyDescent="0.15">
      <c r="A379" s="7">
        <v>39235.50136574074</v>
      </c>
      <c r="B379">
        <v>39.700000000000003</v>
      </c>
      <c r="C379" s="6">
        <f t="shared" si="54"/>
        <v>717.99999999348074</v>
      </c>
      <c r="D379" t="str">
        <f t="shared" si="55"/>
        <v/>
      </c>
      <c r="E379">
        <f t="shared" si="53"/>
        <v>39235.50136574074</v>
      </c>
      <c r="F379" s="4">
        <f t="shared" si="56"/>
        <v>0.10000000000000142</v>
      </c>
      <c r="G379" s="4">
        <f t="shared" si="57"/>
        <v>5.0000000000000711E-2</v>
      </c>
      <c r="H379" s="5">
        <f t="shared" si="58"/>
        <v>4.9999995972030573E-2</v>
      </c>
      <c r="I379" s="14">
        <f t="shared" si="59"/>
        <v>9.2835502798211564</v>
      </c>
      <c r="J379" s="19">
        <f t="shared" si="60"/>
        <v>999197.88093524904</v>
      </c>
      <c r="K379" s="16">
        <f t="shared" si="61"/>
        <v>0.99989780940183026</v>
      </c>
    </row>
    <row r="380" spans="1:11" x14ac:dyDescent="0.15">
      <c r="A380" s="7">
        <v>39235.501388888886</v>
      </c>
      <c r="B380">
        <v>39.5</v>
      </c>
      <c r="C380" s="6">
        <f t="shared" si="54"/>
        <v>719.99999983236194</v>
      </c>
      <c r="D380" t="str">
        <f t="shared" si="55"/>
        <v/>
      </c>
      <c r="E380" t="str">
        <f t="shared" si="53"/>
        <v xml:space="preserve"> </v>
      </c>
      <c r="F380" s="4">
        <f t="shared" si="56"/>
        <v>0</v>
      </c>
      <c r="G380" s="4">
        <f t="shared" si="57"/>
        <v>0</v>
      </c>
      <c r="H380" s="5">
        <f t="shared" si="58"/>
        <v>4.9999995972030573E-2</v>
      </c>
      <c r="I380" s="14">
        <f t="shared" si="59"/>
        <v>9.2835502798211564</v>
      </c>
      <c r="J380" s="19">
        <f t="shared" si="60"/>
        <v>999207.16448552883</v>
      </c>
      <c r="K380" s="16">
        <f t="shared" si="61"/>
        <v>0.99990709945514744</v>
      </c>
    </row>
    <row r="381" spans="1:11" x14ac:dyDescent="0.15">
      <c r="A381" s="7">
        <v>39235.50141203704</v>
      </c>
      <c r="B381">
        <v>39.6</v>
      </c>
      <c r="C381" s="6">
        <f t="shared" si="54"/>
        <v>722.00000029988587</v>
      </c>
      <c r="D381" t="str">
        <f t="shared" si="55"/>
        <v/>
      </c>
      <c r="E381" t="str">
        <f t="shared" si="53"/>
        <v xml:space="preserve"> </v>
      </c>
      <c r="F381" s="4">
        <f t="shared" si="56"/>
        <v>0</v>
      </c>
      <c r="G381" s="4">
        <f t="shared" si="57"/>
        <v>0</v>
      </c>
      <c r="H381" s="5">
        <f t="shared" si="58"/>
        <v>0</v>
      </c>
      <c r="I381" s="14">
        <f t="shared" si="59"/>
        <v>0</v>
      </c>
      <c r="J381" s="19">
        <f t="shared" si="60"/>
        <v>999207.16448552883</v>
      </c>
      <c r="K381" s="16">
        <f t="shared" si="61"/>
        <v>0.99990709945514744</v>
      </c>
    </row>
    <row r="382" spans="1:11" x14ac:dyDescent="0.15">
      <c r="A382" s="7">
        <v>39235.501435185186</v>
      </c>
      <c r="B382">
        <v>39.5</v>
      </c>
      <c r="C382" s="6">
        <f t="shared" si="54"/>
        <v>724.00000013876706</v>
      </c>
      <c r="D382" t="str">
        <f t="shared" si="55"/>
        <v/>
      </c>
      <c r="E382" t="str">
        <f t="shared" si="53"/>
        <v xml:space="preserve"> </v>
      </c>
      <c r="F382" s="4">
        <f t="shared" si="56"/>
        <v>0</v>
      </c>
      <c r="G382" s="4">
        <f t="shared" si="57"/>
        <v>0</v>
      </c>
      <c r="H382" s="5">
        <f t="shared" si="58"/>
        <v>0</v>
      </c>
      <c r="I382" s="14">
        <f t="shared" si="59"/>
        <v>0</v>
      </c>
      <c r="J382" s="19">
        <f t="shared" si="60"/>
        <v>999207.16448552883</v>
      </c>
      <c r="K382" s="16">
        <f t="shared" si="61"/>
        <v>0.99990709945514744</v>
      </c>
    </row>
    <row r="383" spans="1:11" x14ac:dyDescent="0.15">
      <c r="A383" s="7">
        <v>39235.501458333332</v>
      </c>
      <c r="B383">
        <v>39.6</v>
      </c>
      <c r="C383" s="6">
        <f t="shared" si="54"/>
        <v>725.99999997764826</v>
      </c>
      <c r="D383" t="str">
        <f t="shared" si="55"/>
        <v/>
      </c>
      <c r="E383" t="str">
        <f t="shared" si="53"/>
        <v xml:space="preserve"> </v>
      </c>
      <c r="F383" s="4">
        <f t="shared" si="56"/>
        <v>0</v>
      </c>
      <c r="G383" s="4">
        <f t="shared" si="57"/>
        <v>0</v>
      </c>
      <c r="H383" s="5">
        <f t="shared" si="58"/>
        <v>0</v>
      </c>
      <c r="I383" s="14">
        <f t="shared" si="59"/>
        <v>0</v>
      </c>
      <c r="J383" s="19">
        <f t="shared" si="60"/>
        <v>999207.16448552883</v>
      </c>
      <c r="K383" s="16">
        <f t="shared" si="61"/>
        <v>0.99990709945514744</v>
      </c>
    </row>
    <row r="384" spans="1:11" x14ac:dyDescent="0.15">
      <c r="A384" s="7">
        <v>39235.501481481479</v>
      </c>
      <c r="B384">
        <v>39.700000000000003</v>
      </c>
      <c r="C384" s="6">
        <f t="shared" si="54"/>
        <v>727.99999981652945</v>
      </c>
      <c r="D384" t="str">
        <f t="shared" si="55"/>
        <v/>
      </c>
      <c r="E384">
        <f t="shared" si="53"/>
        <v>39235.501481481479</v>
      </c>
      <c r="F384" s="4">
        <f t="shared" si="56"/>
        <v>0.10000000000000142</v>
      </c>
      <c r="G384" s="4">
        <f t="shared" si="57"/>
        <v>5.0000000000000711E-2</v>
      </c>
      <c r="H384" s="5">
        <f t="shared" si="58"/>
        <v>4.9999995972030573E-2</v>
      </c>
      <c r="I384" s="14">
        <f t="shared" si="59"/>
        <v>9.2835502798211564</v>
      </c>
      <c r="J384" s="19">
        <f t="shared" si="60"/>
        <v>999216.44803580863</v>
      </c>
      <c r="K384" s="16">
        <f t="shared" si="61"/>
        <v>0.99991638950846451</v>
      </c>
    </row>
    <row r="385" spans="1:11" x14ac:dyDescent="0.15">
      <c r="A385" s="7">
        <v>39235.501504629632</v>
      </c>
      <c r="B385">
        <v>39.700000000000003</v>
      </c>
      <c r="C385" s="6">
        <f t="shared" si="54"/>
        <v>730.00000028405339</v>
      </c>
      <c r="D385" t="str">
        <f t="shared" si="55"/>
        <v/>
      </c>
      <c r="E385">
        <f t="shared" si="53"/>
        <v>39235.501504629632</v>
      </c>
      <c r="F385" s="4">
        <f t="shared" si="56"/>
        <v>0.10000000000000142</v>
      </c>
      <c r="G385" s="4">
        <f t="shared" si="57"/>
        <v>5.0000000000000711E-2</v>
      </c>
      <c r="H385" s="5">
        <f t="shared" si="58"/>
        <v>0.10000002337619804</v>
      </c>
      <c r="I385" s="14">
        <f t="shared" si="59"/>
        <v>18.56710639567925</v>
      </c>
      <c r="J385" s="19">
        <f t="shared" si="60"/>
        <v>999235.01514220436</v>
      </c>
      <c r="K385" s="16">
        <f t="shared" si="61"/>
        <v>0.99993496962093897</v>
      </c>
    </row>
    <row r="386" spans="1:11" x14ac:dyDescent="0.15">
      <c r="A386" s="7">
        <v>39235.501527777778</v>
      </c>
      <c r="B386">
        <v>39.5</v>
      </c>
      <c r="C386" s="6">
        <f t="shared" si="54"/>
        <v>732.00000012293458</v>
      </c>
      <c r="D386" t="str">
        <f t="shared" si="55"/>
        <v/>
      </c>
      <c r="E386" t="str">
        <f t="shared" si="53"/>
        <v xml:space="preserve"> </v>
      </c>
      <c r="F386" s="4">
        <f t="shared" si="56"/>
        <v>0</v>
      </c>
      <c r="G386" s="4">
        <f t="shared" si="57"/>
        <v>0</v>
      </c>
      <c r="H386" s="5">
        <f t="shared" si="58"/>
        <v>4.9999995972030573E-2</v>
      </c>
      <c r="I386" s="14">
        <f t="shared" si="59"/>
        <v>9.2835502798211564</v>
      </c>
      <c r="J386" s="19">
        <f t="shared" si="60"/>
        <v>999244.29869248415</v>
      </c>
      <c r="K386" s="16">
        <f t="shared" si="61"/>
        <v>0.99994425967425615</v>
      </c>
    </row>
    <row r="387" spans="1:11" x14ac:dyDescent="0.15">
      <c r="A387" s="7">
        <v>39235.501550925925</v>
      </c>
      <c r="B387">
        <v>39.700000000000003</v>
      </c>
      <c r="C387" s="6">
        <f t="shared" si="54"/>
        <v>733.99999996181577</v>
      </c>
      <c r="D387" t="str">
        <f t="shared" si="55"/>
        <v/>
      </c>
      <c r="E387">
        <f t="shared" si="53"/>
        <v>39235.501550925925</v>
      </c>
      <c r="F387" s="4">
        <f t="shared" si="56"/>
        <v>0.10000000000000142</v>
      </c>
      <c r="G387" s="4">
        <f t="shared" si="57"/>
        <v>5.0000000000000711E-2</v>
      </c>
      <c r="H387" s="5">
        <f t="shared" si="58"/>
        <v>4.9999995972030573E-2</v>
      </c>
      <c r="I387" s="14">
        <f t="shared" si="59"/>
        <v>9.2835502798211564</v>
      </c>
      <c r="J387" s="19">
        <f t="shared" si="60"/>
        <v>999253.58224276395</v>
      </c>
      <c r="K387" s="16">
        <f t="shared" si="61"/>
        <v>0.99995354972757322</v>
      </c>
    </row>
    <row r="388" spans="1:11" x14ac:dyDescent="0.15">
      <c r="A388" s="7">
        <v>39235.501574074071</v>
      </c>
      <c r="B388">
        <v>39.6</v>
      </c>
      <c r="C388" s="6">
        <f t="shared" si="54"/>
        <v>735.99999980069697</v>
      </c>
      <c r="D388" t="str">
        <f t="shared" si="55"/>
        <v/>
      </c>
      <c r="E388" t="str">
        <f t="shared" si="53"/>
        <v xml:space="preserve"> </v>
      </c>
      <c r="F388" s="4">
        <f t="shared" si="56"/>
        <v>0</v>
      </c>
      <c r="G388" s="4">
        <f t="shared" si="57"/>
        <v>0</v>
      </c>
      <c r="H388" s="5">
        <f t="shared" si="58"/>
        <v>4.9999995972030573E-2</v>
      </c>
      <c r="I388" s="14">
        <f t="shared" si="59"/>
        <v>9.2835502798211564</v>
      </c>
      <c r="J388" s="19">
        <f t="shared" si="60"/>
        <v>999262.86579304375</v>
      </c>
      <c r="K388" s="16">
        <f t="shared" si="61"/>
        <v>0.9999628397808904</v>
      </c>
    </row>
    <row r="389" spans="1:11" x14ac:dyDescent="0.15">
      <c r="A389" s="7">
        <v>39235.501597222225</v>
      </c>
      <c r="B389">
        <v>39.700000000000003</v>
      </c>
      <c r="C389" s="6">
        <f t="shared" si="54"/>
        <v>738.0000002682209</v>
      </c>
      <c r="D389" t="str">
        <f t="shared" si="55"/>
        <v/>
      </c>
      <c r="E389">
        <f t="shared" si="53"/>
        <v>39235.501597222225</v>
      </c>
      <c r="F389" s="4">
        <f t="shared" si="56"/>
        <v>0.10000000000000142</v>
      </c>
      <c r="G389" s="4">
        <f t="shared" si="57"/>
        <v>5.0000000000000711E-2</v>
      </c>
      <c r="H389" s="5">
        <f t="shared" si="58"/>
        <v>5.0000011688099019E-2</v>
      </c>
      <c r="I389" s="14">
        <f t="shared" si="59"/>
        <v>9.2835531978396251</v>
      </c>
      <c r="J389" s="19">
        <f t="shared" si="60"/>
        <v>999272.14934624161</v>
      </c>
      <c r="K389" s="16">
        <f t="shared" si="61"/>
        <v>0.99997212983712758</v>
      </c>
    </row>
    <row r="390" spans="1:11" x14ac:dyDescent="0.15">
      <c r="A390" s="7">
        <v>39235.501620370371</v>
      </c>
      <c r="B390">
        <v>39.5</v>
      </c>
      <c r="C390" s="6">
        <f t="shared" si="54"/>
        <v>740.0000001071021</v>
      </c>
      <c r="D390" t="str">
        <f t="shared" si="55"/>
        <v/>
      </c>
      <c r="E390" t="str">
        <f t="shared" si="53"/>
        <v xml:space="preserve"> </v>
      </c>
      <c r="F390" s="4">
        <f t="shared" si="56"/>
        <v>0</v>
      </c>
      <c r="G390" s="4">
        <f t="shared" si="57"/>
        <v>0</v>
      </c>
      <c r="H390" s="5">
        <f t="shared" si="58"/>
        <v>4.9999995972030573E-2</v>
      </c>
      <c r="I390" s="14">
        <f t="shared" si="59"/>
        <v>9.2835502798211564</v>
      </c>
      <c r="J390" s="19">
        <f t="shared" si="60"/>
        <v>999281.43289652141</v>
      </c>
      <c r="K390" s="16">
        <f t="shared" si="61"/>
        <v>0.99998141989044476</v>
      </c>
    </row>
    <row r="391" spans="1:11" x14ac:dyDescent="0.15">
      <c r="A391" s="7">
        <v>39235.501643518517</v>
      </c>
      <c r="B391">
        <v>39.6</v>
      </c>
      <c r="C391" s="6">
        <f t="shared" si="54"/>
        <v>741.99999994598329</v>
      </c>
      <c r="D391" t="str">
        <f t="shared" si="55"/>
        <v/>
      </c>
      <c r="E391" t="str">
        <f t="shared" si="53"/>
        <v xml:space="preserve"> </v>
      </c>
      <c r="F391" s="4">
        <f t="shared" si="56"/>
        <v>0</v>
      </c>
      <c r="G391" s="4">
        <f t="shared" si="57"/>
        <v>0</v>
      </c>
      <c r="H391" s="5">
        <f t="shared" si="58"/>
        <v>0</v>
      </c>
      <c r="I391" s="14">
        <f t="shared" si="59"/>
        <v>0</v>
      </c>
      <c r="J391" s="19">
        <f t="shared" si="60"/>
        <v>999281.43289652141</v>
      </c>
      <c r="K391" s="16">
        <f t="shared" si="61"/>
        <v>0.99998141989044476</v>
      </c>
    </row>
    <row r="392" spans="1:11" x14ac:dyDescent="0.15">
      <c r="A392" s="7">
        <v>39235.501666666663</v>
      </c>
      <c r="B392">
        <v>39.5</v>
      </c>
      <c r="C392" s="6">
        <f t="shared" si="54"/>
        <v>743.99999978486449</v>
      </c>
      <c r="D392" t="str">
        <f t="shared" si="55"/>
        <v/>
      </c>
      <c r="E392" t="str">
        <f t="shared" si="53"/>
        <v xml:space="preserve"> </v>
      </c>
      <c r="F392" s="4">
        <f t="shared" si="56"/>
        <v>0</v>
      </c>
      <c r="G392" s="4">
        <f t="shared" si="57"/>
        <v>0</v>
      </c>
      <c r="H392" s="5">
        <f t="shared" si="58"/>
        <v>0</v>
      </c>
      <c r="I392" s="14">
        <f t="shared" si="59"/>
        <v>0</v>
      </c>
      <c r="J392" s="19">
        <f t="shared" si="60"/>
        <v>999281.43289652141</v>
      </c>
      <c r="K392" s="16">
        <f t="shared" si="61"/>
        <v>0.99998141989044476</v>
      </c>
    </row>
    <row r="393" spans="1:11" x14ac:dyDescent="0.15">
      <c r="A393" s="7">
        <v>39235.501689814817</v>
      </c>
      <c r="B393">
        <v>39.5</v>
      </c>
      <c r="C393" s="6">
        <f t="shared" si="54"/>
        <v>746.00000025238842</v>
      </c>
      <c r="D393" t="str">
        <f t="shared" si="55"/>
        <v/>
      </c>
      <c r="E393" t="str">
        <f t="shared" si="53"/>
        <v xml:space="preserve"> </v>
      </c>
      <c r="F393" s="4">
        <f t="shared" si="56"/>
        <v>0</v>
      </c>
      <c r="G393" s="4">
        <f t="shared" si="57"/>
        <v>0</v>
      </c>
      <c r="H393" s="5">
        <f t="shared" si="58"/>
        <v>0</v>
      </c>
      <c r="I393" s="14">
        <f t="shared" si="59"/>
        <v>0</v>
      </c>
      <c r="J393" s="19">
        <f t="shared" si="60"/>
        <v>999281.43289652141</v>
      </c>
      <c r="K393" s="16">
        <f t="shared" si="61"/>
        <v>0.99998141989044476</v>
      </c>
    </row>
    <row r="394" spans="1:11" x14ac:dyDescent="0.15">
      <c r="A394" s="7">
        <v>39235.501712962963</v>
      </c>
      <c r="B394">
        <v>39.6</v>
      </c>
      <c r="C394" s="6">
        <f t="shared" si="54"/>
        <v>748.00000009126961</v>
      </c>
      <c r="D394" t="str">
        <f t="shared" si="55"/>
        <v/>
      </c>
      <c r="E394" t="str">
        <f t="shared" si="53"/>
        <v xml:space="preserve"> </v>
      </c>
      <c r="F394" s="4">
        <f t="shared" si="56"/>
        <v>0</v>
      </c>
      <c r="G394" s="4">
        <f t="shared" si="57"/>
        <v>0</v>
      </c>
      <c r="H394" s="5">
        <f t="shared" si="58"/>
        <v>0</v>
      </c>
      <c r="I394" s="14">
        <f t="shared" si="59"/>
        <v>0</v>
      </c>
      <c r="J394" s="19">
        <f t="shared" si="60"/>
        <v>999281.43289652141</v>
      </c>
      <c r="K394" s="16">
        <f t="shared" si="61"/>
        <v>0.99998141989044476</v>
      </c>
    </row>
    <row r="395" spans="1:11" x14ac:dyDescent="0.15">
      <c r="A395" s="7">
        <v>39235.501736111109</v>
      </c>
      <c r="B395">
        <v>39.5</v>
      </c>
      <c r="C395" s="6">
        <f t="shared" si="54"/>
        <v>749.99999993015081</v>
      </c>
      <c r="D395" t="str">
        <f t="shared" si="55"/>
        <v/>
      </c>
      <c r="E395" t="str">
        <f t="shared" si="53"/>
        <v xml:space="preserve"> </v>
      </c>
      <c r="F395" s="4">
        <f t="shared" si="56"/>
        <v>0</v>
      </c>
      <c r="G395" s="4">
        <f t="shared" si="57"/>
        <v>0</v>
      </c>
      <c r="H395" s="5">
        <f t="shared" si="58"/>
        <v>0</v>
      </c>
      <c r="I395" s="14">
        <f t="shared" si="59"/>
        <v>0</v>
      </c>
      <c r="J395" s="19">
        <f t="shared" si="60"/>
        <v>999281.43289652141</v>
      </c>
      <c r="K395" s="16">
        <f t="shared" si="61"/>
        <v>0.99998141989044476</v>
      </c>
    </row>
    <row r="396" spans="1:11" x14ac:dyDescent="0.15">
      <c r="A396" s="7">
        <v>39235.501759259256</v>
      </c>
      <c r="B396">
        <v>39.5</v>
      </c>
      <c r="C396" s="6">
        <f t="shared" si="54"/>
        <v>751.999999769032</v>
      </c>
      <c r="D396" t="str">
        <f t="shared" si="55"/>
        <v/>
      </c>
      <c r="E396" t="str">
        <f t="shared" si="53"/>
        <v xml:space="preserve"> </v>
      </c>
      <c r="F396" s="4">
        <f t="shared" si="56"/>
        <v>0</v>
      </c>
      <c r="G396" s="4">
        <f t="shared" si="57"/>
        <v>0</v>
      </c>
      <c r="H396" s="5">
        <f t="shared" si="58"/>
        <v>0</v>
      </c>
      <c r="I396" s="14">
        <f t="shared" si="59"/>
        <v>0</v>
      </c>
      <c r="J396" s="19">
        <f t="shared" si="60"/>
        <v>999281.43289652141</v>
      </c>
      <c r="K396" s="16">
        <f t="shared" si="61"/>
        <v>0.99998141989044476</v>
      </c>
    </row>
    <row r="397" spans="1:11" x14ac:dyDescent="0.15">
      <c r="A397" s="7">
        <v>39235.501782407409</v>
      </c>
      <c r="B397">
        <v>39.5</v>
      </c>
      <c r="C397" s="6">
        <f t="shared" si="54"/>
        <v>754.00000023655593</v>
      </c>
      <c r="D397" t="str">
        <f t="shared" si="55"/>
        <v/>
      </c>
      <c r="E397" t="str">
        <f t="shared" si="53"/>
        <v xml:space="preserve"> </v>
      </c>
      <c r="F397" s="4">
        <f t="shared" si="56"/>
        <v>0</v>
      </c>
      <c r="G397" s="4">
        <f t="shared" si="57"/>
        <v>0</v>
      </c>
      <c r="H397" s="5">
        <f t="shared" si="58"/>
        <v>0</v>
      </c>
      <c r="I397" s="14">
        <f t="shared" si="59"/>
        <v>0</v>
      </c>
      <c r="J397" s="19">
        <f t="shared" si="60"/>
        <v>999281.43289652141</v>
      </c>
      <c r="K397" s="16">
        <f t="shared" si="61"/>
        <v>0.99998141989044476</v>
      </c>
    </row>
    <row r="398" spans="1:11" x14ac:dyDescent="0.15">
      <c r="A398" s="7">
        <v>39235.501805555556</v>
      </c>
      <c r="B398">
        <v>39.5</v>
      </c>
      <c r="C398" s="6">
        <f t="shared" si="54"/>
        <v>756.00000007543713</v>
      </c>
      <c r="D398" t="str">
        <f t="shared" si="55"/>
        <v/>
      </c>
      <c r="E398" t="str">
        <f t="shared" si="53"/>
        <v xml:space="preserve"> </v>
      </c>
      <c r="F398" s="4">
        <f t="shared" si="56"/>
        <v>0</v>
      </c>
      <c r="G398" s="4">
        <f t="shared" si="57"/>
        <v>0</v>
      </c>
      <c r="H398" s="5">
        <f t="shared" si="58"/>
        <v>0</v>
      </c>
      <c r="I398" s="14">
        <f t="shared" si="59"/>
        <v>0</v>
      </c>
      <c r="J398" s="19">
        <f t="shared" si="60"/>
        <v>999281.43289652141</v>
      </c>
      <c r="K398" s="16">
        <f t="shared" si="61"/>
        <v>0.99998141989044476</v>
      </c>
    </row>
    <row r="399" spans="1:11" x14ac:dyDescent="0.15">
      <c r="A399" s="7">
        <v>39235.501828703702</v>
      </c>
      <c r="B399">
        <v>39.6</v>
      </c>
      <c r="C399" s="6">
        <f t="shared" si="54"/>
        <v>757.99999991431832</v>
      </c>
      <c r="D399" t="str">
        <f t="shared" si="55"/>
        <v/>
      </c>
      <c r="E399" t="str">
        <f t="shared" si="53"/>
        <v xml:space="preserve"> </v>
      </c>
      <c r="F399" s="4">
        <f t="shared" si="56"/>
        <v>0</v>
      </c>
      <c r="G399" s="4">
        <f t="shared" si="57"/>
        <v>0</v>
      </c>
      <c r="H399" s="5">
        <f t="shared" si="58"/>
        <v>0</v>
      </c>
      <c r="I399" s="14">
        <f t="shared" si="59"/>
        <v>0</v>
      </c>
      <c r="J399" s="19">
        <f t="shared" si="60"/>
        <v>999281.43289652141</v>
      </c>
      <c r="K399" s="16">
        <f t="shared" si="61"/>
        <v>0.99998141989044476</v>
      </c>
    </row>
    <row r="400" spans="1:11" x14ac:dyDescent="0.15">
      <c r="A400" s="7">
        <v>39235.501851851855</v>
      </c>
      <c r="B400">
        <v>39.6</v>
      </c>
      <c r="C400" s="6">
        <f t="shared" si="54"/>
        <v>760.00000038184226</v>
      </c>
      <c r="D400" t="str">
        <f t="shared" si="55"/>
        <v/>
      </c>
      <c r="E400" t="str">
        <f t="shared" si="53"/>
        <v xml:space="preserve"> </v>
      </c>
      <c r="F400" s="4">
        <f t="shared" si="56"/>
        <v>0</v>
      </c>
      <c r="G400" s="4">
        <f t="shared" si="57"/>
        <v>0</v>
      </c>
      <c r="H400" s="5">
        <f t="shared" si="58"/>
        <v>0</v>
      </c>
      <c r="I400" s="14">
        <f t="shared" si="59"/>
        <v>0</v>
      </c>
      <c r="J400" s="19">
        <f t="shared" si="60"/>
        <v>999281.43289652141</v>
      </c>
      <c r="K400" s="16">
        <f t="shared" si="61"/>
        <v>0.99998141989044476</v>
      </c>
    </row>
    <row r="401" spans="1:11" x14ac:dyDescent="0.15">
      <c r="A401" s="7">
        <v>39235.501875000002</v>
      </c>
      <c r="B401">
        <v>39.6</v>
      </c>
      <c r="C401" s="6">
        <f t="shared" si="54"/>
        <v>762.00000022072345</v>
      </c>
      <c r="D401" t="str">
        <f t="shared" si="55"/>
        <v/>
      </c>
      <c r="E401" t="str">
        <f t="shared" si="53"/>
        <v xml:space="preserve"> </v>
      </c>
      <c r="F401" s="4">
        <f t="shared" si="56"/>
        <v>0</v>
      </c>
      <c r="G401" s="4">
        <f t="shared" si="57"/>
        <v>0</v>
      </c>
      <c r="H401" s="5">
        <f t="shared" si="58"/>
        <v>0</v>
      </c>
      <c r="I401" s="14">
        <f t="shared" si="59"/>
        <v>0</v>
      </c>
      <c r="J401" s="19">
        <f t="shared" si="60"/>
        <v>999281.43289652141</v>
      </c>
      <c r="K401" s="16">
        <f t="shared" si="61"/>
        <v>0.99998141989044476</v>
      </c>
    </row>
    <row r="402" spans="1:11" x14ac:dyDescent="0.15">
      <c r="A402" s="7">
        <v>39235.501898148148</v>
      </c>
      <c r="B402">
        <v>39.6</v>
      </c>
      <c r="C402" s="6">
        <f t="shared" si="54"/>
        <v>764.00000005960464</v>
      </c>
      <c r="D402" t="str">
        <f t="shared" si="55"/>
        <v/>
      </c>
      <c r="E402" t="str">
        <f t="shared" si="53"/>
        <v xml:space="preserve"> </v>
      </c>
      <c r="F402" s="4">
        <f t="shared" si="56"/>
        <v>0</v>
      </c>
      <c r="G402" s="4">
        <f t="shared" si="57"/>
        <v>0</v>
      </c>
      <c r="H402" s="5">
        <f t="shared" si="58"/>
        <v>0</v>
      </c>
      <c r="I402" s="14">
        <f t="shared" si="59"/>
        <v>0</v>
      </c>
      <c r="J402" s="19">
        <f t="shared" si="60"/>
        <v>999281.43289652141</v>
      </c>
      <c r="K402" s="16">
        <f t="shared" si="61"/>
        <v>0.99998141989044476</v>
      </c>
    </row>
    <row r="403" spans="1:11" x14ac:dyDescent="0.15">
      <c r="A403" s="7">
        <v>39235.501921296294</v>
      </c>
      <c r="B403">
        <v>39.5</v>
      </c>
      <c r="C403" s="6">
        <f t="shared" si="54"/>
        <v>765.99999989848584</v>
      </c>
      <c r="D403" t="str">
        <f t="shared" si="55"/>
        <v/>
      </c>
      <c r="E403" t="str">
        <f t="shared" si="53"/>
        <v xml:space="preserve"> </v>
      </c>
      <c r="F403" s="4">
        <f t="shared" si="56"/>
        <v>0</v>
      </c>
      <c r="G403" s="4">
        <f t="shared" si="57"/>
        <v>0</v>
      </c>
      <c r="H403" s="5">
        <f t="shared" si="58"/>
        <v>0</v>
      </c>
      <c r="I403" s="14">
        <f t="shared" si="59"/>
        <v>0</v>
      </c>
      <c r="J403" s="19">
        <f t="shared" si="60"/>
        <v>999281.43289652141</v>
      </c>
      <c r="K403" s="16">
        <f t="shared" si="61"/>
        <v>0.99998141989044476</v>
      </c>
    </row>
    <row r="404" spans="1:11" x14ac:dyDescent="0.15">
      <c r="A404" s="7">
        <v>39235.501944444448</v>
      </c>
      <c r="B404">
        <v>39.6</v>
      </c>
      <c r="C404" s="6">
        <f t="shared" si="54"/>
        <v>768.00000036600977</v>
      </c>
      <c r="D404" t="str">
        <f t="shared" si="55"/>
        <v/>
      </c>
      <c r="E404" t="str">
        <f t="shared" si="53"/>
        <v xml:space="preserve"> </v>
      </c>
      <c r="F404" s="4">
        <f t="shared" si="56"/>
        <v>0</v>
      </c>
      <c r="G404" s="4">
        <f t="shared" si="57"/>
        <v>0</v>
      </c>
      <c r="H404" s="5">
        <f t="shared" si="58"/>
        <v>0</v>
      </c>
      <c r="I404" s="14">
        <f t="shared" si="59"/>
        <v>0</v>
      </c>
      <c r="J404" s="19">
        <f t="shared" si="60"/>
        <v>999281.43289652141</v>
      </c>
      <c r="K404" s="16">
        <f t="shared" si="61"/>
        <v>0.99998141989044476</v>
      </c>
    </row>
    <row r="405" spans="1:11" x14ac:dyDescent="0.15">
      <c r="A405" s="7">
        <v>39235.501967592594</v>
      </c>
      <c r="B405">
        <v>39.6</v>
      </c>
      <c r="C405" s="6">
        <f t="shared" si="54"/>
        <v>770.00000020489097</v>
      </c>
      <c r="D405" t="str">
        <f t="shared" si="55"/>
        <v/>
      </c>
      <c r="E405" t="str">
        <f t="shared" ref="E405:E468" si="62">IF(B405-$B$6&gt;0,A405," ")</f>
        <v xml:space="preserve"> </v>
      </c>
      <c r="F405" s="4">
        <f t="shared" si="56"/>
        <v>0</v>
      </c>
      <c r="G405" s="4">
        <f t="shared" si="57"/>
        <v>0</v>
      </c>
      <c r="H405" s="5">
        <f t="shared" si="58"/>
        <v>0</v>
      </c>
      <c r="I405" s="14">
        <f t="shared" si="59"/>
        <v>0</v>
      </c>
      <c r="J405" s="19">
        <f t="shared" si="60"/>
        <v>999281.43289652141</v>
      </c>
      <c r="K405" s="16">
        <f t="shared" si="61"/>
        <v>0.99998141989044476</v>
      </c>
    </row>
    <row r="406" spans="1:11" x14ac:dyDescent="0.15">
      <c r="A406" s="7">
        <v>39235.50199074074</v>
      </c>
      <c r="B406">
        <v>39.6</v>
      </c>
      <c r="C406" s="6">
        <f t="shared" si="54"/>
        <v>772.00000004377216</v>
      </c>
      <c r="D406" t="str">
        <f t="shared" si="55"/>
        <v/>
      </c>
      <c r="E406" t="str">
        <f t="shared" si="62"/>
        <v xml:space="preserve"> </v>
      </c>
      <c r="F406" s="4">
        <f t="shared" si="56"/>
        <v>0</v>
      </c>
      <c r="G406" s="4">
        <f t="shared" si="57"/>
        <v>0</v>
      </c>
      <c r="H406" s="5">
        <f t="shared" si="58"/>
        <v>0</v>
      </c>
      <c r="I406" s="14">
        <f t="shared" si="59"/>
        <v>0</v>
      </c>
      <c r="J406" s="19">
        <f t="shared" si="60"/>
        <v>999281.43289652141</v>
      </c>
      <c r="K406" s="16">
        <f t="shared" si="61"/>
        <v>0.99998141989044476</v>
      </c>
    </row>
    <row r="407" spans="1:11" x14ac:dyDescent="0.15">
      <c r="A407" s="7">
        <v>39235.502013888887</v>
      </c>
      <c r="B407">
        <v>39.5</v>
      </c>
      <c r="C407" s="6">
        <f t="shared" si="54"/>
        <v>773.99999988265336</v>
      </c>
      <c r="D407" t="str">
        <f t="shared" si="55"/>
        <v/>
      </c>
      <c r="E407" t="str">
        <f t="shared" si="62"/>
        <v xml:space="preserve"> </v>
      </c>
      <c r="F407" s="4">
        <f t="shared" si="56"/>
        <v>0</v>
      </c>
      <c r="G407" s="4">
        <f t="shared" si="57"/>
        <v>0</v>
      </c>
      <c r="H407" s="5">
        <f t="shared" si="58"/>
        <v>0</v>
      </c>
      <c r="I407" s="14">
        <f t="shared" si="59"/>
        <v>0</v>
      </c>
      <c r="J407" s="19">
        <f t="shared" si="60"/>
        <v>999281.43289652141</v>
      </c>
      <c r="K407" s="16">
        <f t="shared" si="61"/>
        <v>0.99998141989044476</v>
      </c>
    </row>
    <row r="408" spans="1:11" x14ac:dyDescent="0.15">
      <c r="A408" s="7">
        <v>39235.50203703704</v>
      </c>
      <c r="B408">
        <v>39.6</v>
      </c>
      <c r="C408" s="6">
        <f t="shared" si="54"/>
        <v>776.00000035017729</v>
      </c>
      <c r="D408" t="str">
        <f t="shared" si="55"/>
        <v/>
      </c>
      <c r="E408" t="str">
        <f t="shared" si="62"/>
        <v xml:space="preserve"> </v>
      </c>
      <c r="F408" s="4">
        <f t="shared" si="56"/>
        <v>0</v>
      </c>
      <c r="G408" s="4">
        <f t="shared" si="57"/>
        <v>0</v>
      </c>
      <c r="H408" s="5">
        <f t="shared" si="58"/>
        <v>0</v>
      </c>
      <c r="I408" s="14">
        <f t="shared" si="59"/>
        <v>0</v>
      </c>
      <c r="J408" s="19">
        <f t="shared" si="60"/>
        <v>999281.43289652141</v>
      </c>
      <c r="K408" s="16">
        <f t="shared" si="61"/>
        <v>0.99998141989044476</v>
      </c>
    </row>
    <row r="409" spans="1:11" x14ac:dyDescent="0.15">
      <c r="A409" s="7">
        <v>39235.502060185187</v>
      </c>
      <c r="B409">
        <v>39.6</v>
      </c>
      <c r="C409" s="6">
        <f t="shared" si="54"/>
        <v>778.00000018905848</v>
      </c>
      <c r="D409" t="str">
        <f t="shared" si="55"/>
        <v/>
      </c>
      <c r="E409" t="str">
        <f t="shared" si="62"/>
        <v xml:space="preserve"> </v>
      </c>
      <c r="F409" s="4">
        <f t="shared" si="56"/>
        <v>0</v>
      </c>
      <c r="G409" s="4">
        <f t="shared" si="57"/>
        <v>0</v>
      </c>
      <c r="H409" s="5">
        <f t="shared" si="58"/>
        <v>0</v>
      </c>
      <c r="I409" s="14">
        <f t="shared" si="59"/>
        <v>0</v>
      </c>
      <c r="J409" s="19">
        <f t="shared" si="60"/>
        <v>999281.43289652141</v>
      </c>
      <c r="K409" s="16">
        <f t="shared" si="61"/>
        <v>0.99998141989044476</v>
      </c>
    </row>
    <row r="410" spans="1:11" x14ac:dyDescent="0.15">
      <c r="A410" s="7">
        <v>39235.502083333333</v>
      </c>
      <c r="B410">
        <v>39.5</v>
      </c>
      <c r="C410" s="6">
        <f t="shared" si="54"/>
        <v>780.00000002793968</v>
      </c>
      <c r="D410" t="str">
        <f t="shared" si="55"/>
        <v/>
      </c>
      <c r="E410" t="str">
        <f t="shared" si="62"/>
        <v xml:space="preserve"> </v>
      </c>
      <c r="F410" s="4">
        <f t="shared" si="56"/>
        <v>0</v>
      </c>
      <c r="G410" s="4">
        <f t="shared" si="57"/>
        <v>0</v>
      </c>
      <c r="H410" s="5">
        <f t="shared" si="58"/>
        <v>0</v>
      </c>
      <c r="I410" s="14">
        <f t="shared" si="59"/>
        <v>0</v>
      </c>
      <c r="J410" s="19">
        <f t="shared" si="60"/>
        <v>999281.43289652141</v>
      </c>
      <c r="K410" s="16">
        <f t="shared" si="61"/>
        <v>0.99998141989044476</v>
      </c>
    </row>
    <row r="411" spans="1:11" x14ac:dyDescent="0.15">
      <c r="A411" s="7">
        <v>39235.502106481479</v>
      </c>
      <c r="B411">
        <v>39.5</v>
      </c>
      <c r="C411" s="6">
        <f t="shared" si="54"/>
        <v>781.99999986682087</v>
      </c>
      <c r="D411" t="str">
        <f t="shared" si="55"/>
        <v/>
      </c>
      <c r="E411" t="str">
        <f t="shared" si="62"/>
        <v xml:space="preserve"> </v>
      </c>
      <c r="F411" s="4">
        <f t="shared" si="56"/>
        <v>0</v>
      </c>
      <c r="G411" s="4">
        <f t="shared" si="57"/>
        <v>0</v>
      </c>
      <c r="H411" s="5">
        <f t="shared" si="58"/>
        <v>0</v>
      </c>
      <c r="I411" s="14">
        <f t="shared" si="59"/>
        <v>0</v>
      </c>
      <c r="J411" s="19">
        <f t="shared" si="60"/>
        <v>999281.43289652141</v>
      </c>
      <c r="K411" s="16">
        <f t="shared" si="61"/>
        <v>0.99998141989044476</v>
      </c>
    </row>
    <row r="412" spans="1:11" x14ac:dyDescent="0.15">
      <c r="A412" s="7">
        <v>39235.502129629633</v>
      </c>
      <c r="B412">
        <v>39.5</v>
      </c>
      <c r="C412" s="6">
        <f t="shared" si="54"/>
        <v>784.0000003343448</v>
      </c>
      <c r="D412" t="str">
        <f t="shared" si="55"/>
        <v/>
      </c>
      <c r="E412" t="str">
        <f t="shared" si="62"/>
        <v xml:space="preserve"> </v>
      </c>
      <c r="F412" s="4">
        <f t="shared" si="56"/>
        <v>0</v>
      </c>
      <c r="G412" s="4">
        <f t="shared" si="57"/>
        <v>0</v>
      </c>
      <c r="H412" s="5">
        <f t="shared" si="58"/>
        <v>0</v>
      </c>
      <c r="I412" s="14">
        <f t="shared" si="59"/>
        <v>0</v>
      </c>
      <c r="J412" s="19">
        <f t="shared" si="60"/>
        <v>999281.43289652141</v>
      </c>
      <c r="K412" s="16">
        <f t="shared" si="61"/>
        <v>0.99998141989044476</v>
      </c>
    </row>
    <row r="413" spans="1:11" x14ac:dyDescent="0.15">
      <c r="A413" s="7">
        <v>39235.502152777779</v>
      </c>
      <c r="B413">
        <v>39.5</v>
      </c>
      <c r="C413" s="6">
        <f t="shared" si="54"/>
        <v>786.000000173226</v>
      </c>
      <c r="D413" t="str">
        <f t="shared" si="55"/>
        <v/>
      </c>
      <c r="E413" t="str">
        <f t="shared" si="62"/>
        <v xml:space="preserve"> </v>
      </c>
      <c r="F413" s="4">
        <f t="shared" si="56"/>
        <v>0</v>
      </c>
      <c r="G413" s="4">
        <f t="shared" si="57"/>
        <v>0</v>
      </c>
      <c r="H413" s="5">
        <f t="shared" si="58"/>
        <v>0</v>
      </c>
      <c r="I413" s="14">
        <f t="shared" si="59"/>
        <v>0</v>
      </c>
      <c r="J413" s="19">
        <f t="shared" si="60"/>
        <v>999281.43289652141</v>
      </c>
      <c r="K413" s="16">
        <f t="shared" si="61"/>
        <v>0.99998141989044476</v>
      </c>
    </row>
    <row r="414" spans="1:11" x14ac:dyDescent="0.15">
      <c r="A414" s="7">
        <v>39235.502175925925</v>
      </c>
      <c r="B414">
        <v>39.5</v>
      </c>
      <c r="C414" s="6">
        <f t="shared" si="54"/>
        <v>788.00000001210719</v>
      </c>
      <c r="D414" t="str">
        <f t="shared" si="55"/>
        <v/>
      </c>
      <c r="E414" t="str">
        <f t="shared" si="62"/>
        <v xml:space="preserve"> </v>
      </c>
      <c r="F414" s="4">
        <f t="shared" si="56"/>
        <v>0</v>
      </c>
      <c r="G414" s="4">
        <f t="shared" si="57"/>
        <v>0</v>
      </c>
      <c r="H414" s="5">
        <f t="shared" si="58"/>
        <v>0</v>
      </c>
      <c r="I414" s="14">
        <f t="shared" si="59"/>
        <v>0</v>
      </c>
      <c r="J414" s="19">
        <f t="shared" si="60"/>
        <v>999281.43289652141</v>
      </c>
      <c r="K414" s="16">
        <f t="shared" si="61"/>
        <v>0.99998141989044476</v>
      </c>
    </row>
    <row r="415" spans="1:11" x14ac:dyDescent="0.15">
      <c r="A415" s="7">
        <v>39235.502199074072</v>
      </c>
      <c r="B415">
        <v>39.5</v>
      </c>
      <c r="C415" s="6">
        <f t="shared" si="54"/>
        <v>789.99999985098839</v>
      </c>
      <c r="D415" t="str">
        <f t="shared" si="55"/>
        <v/>
      </c>
      <c r="E415" t="str">
        <f t="shared" si="62"/>
        <v xml:space="preserve"> </v>
      </c>
      <c r="F415" s="4">
        <f t="shared" si="56"/>
        <v>0</v>
      </c>
      <c r="G415" s="4">
        <f t="shared" si="57"/>
        <v>0</v>
      </c>
      <c r="H415" s="5">
        <f t="shared" si="58"/>
        <v>0</v>
      </c>
      <c r="I415" s="14">
        <f t="shared" si="59"/>
        <v>0</v>
      </c>
      <c r="J415" s="19">
        <f t="shared" si="60"/>
        <v>999281.43289652141</v>
      </c>
      <c r="K415" s="16">
        <f t="shared" si="61"/>
        <v>0.99998141989044476</v>
      </c>
    </row>
    <row r="416" spans="1:11" x14ac:dyDescent="0.15">
      <c r="A416" s="7">
        <v>39235.502222222225</v>
      </c>
      <c r="B416">
        <v>39.5</v>
      </c>
      <c r="C416" s="6">
        <f t="shared" si="54"/>
        <v>792.00000031851232</v>
      </c>
      <c r="D416" t="str">
        <f t="shared" si="55"/>
        <v/>
      </c>
      <c r="E416" t="str">
        <f t="shared" si="62"/>
        <v xml:space="preserve"> </v>
      </c>
      <c r="F416" s="4">
        <f t="shared" si="56"/>
        <v>0</v>
      </c>
      <c r="G416" s="4">
        <f t="shared" si="57"/>
        <v>0</v>
      </c>
      <c r="H416" s="5">
        <f t="shared" si="58"/>
        <v>0</v>
      </c>
      <c r="I416" s="14">
        <f t="shared" si="59"/>
        <v>0</v>
      </c>
      <c r="J416" s="19">
        <f t="shared" si="60"/>
        <v>999281.43289652141</v>
      </c>
      <c r="K416" s="16">
        <f t="shared" si="61"/>
        <v>0.99998141989044476</v>
      </c>
    </row>
    <row r="417" spans="1:11" x14ac:dyDescent="0.15">
      <c r="A417" s="7">
        <v>39235.502245370371</v>
      </c>
      <c r="B417">
        <v>39.5</v>
      </c>
      <c r="C417" s="6">
        <f t="shared" si="54"/>
        <v>794.00000015739352</v>
      </c>
      <c r="D417" t="str">
        <f t="shared" si="55"/>
        <v/>
      </c>
      <c r="E417" t="str">
        <f t="shared" si="62"/>
        <v xml:space="preserve"> </v>
      </c>
      <c r="F417" s="4">
        <f t="shared" si="56"/>
        <v>0</v>
      </c>
      <c r="G417" s="4">
        <f t="shared" si="57"/>
        <v>0</v>
      </c>
      <c r="H417" s="5">
        <f t="shared" si="58"/>
        <v>0</v>
      </c>
      <c r="I417" s="14">
        <f t="shared" si="59"/>
        <v>0</v>
      </c>
      <c r="J417" s="19">
        <f t="shared" si="60"/>
        <v>999281.43289652141</v>
      </c>
      <c r="K417" s="16">
        <f t="shared" si="61"/>
        <v>0.99998141989044476</v>
      </c>
    </row>
    <row r="418" spans="1:11" x14ac:dyDescent="0.15">
      <c r="A418" s="7">
        <v>39235.502268518518</v>
      </c>
      <c r="B418">
        <v>39.5</v>
      </c>
      <c r="C418" s="6">
        <f t="shared" si="54"/>
        <v>795.99999999627471</v>
      </c>
      <c r="D418" t="str">
        <f t="shared" si="55"/>
        <v/>
      </c>
      <c r="E418" t="str">
        <f t="shared" si="62"/>
        <v xml:space="preserve"> </v>
      </c>
      <c r="F418" s="4">
        <f t="shared" si="56"/>
        <v>0</v>
      </c>
      <c r="G418" s="4">
        <f t="shared" si="57"/>
        <v>0</v>
      </c>
      <c r="H418" s="5">
        <f t="shared" si="58"/>
        <v>0</v>
      </c>
      <c r="I418" s="14">
        <f t="shared" si="59"/>
        <v>0</v>
      </c>
      <c r="J418" s="19">
        <f t="shared" si="60"/>
        <v>999281.43289652141</v>
      </c>
      <c r="K418" s="16">
        <f t="shared" si="61"/>
        <v>0.99998141989044476</v>
      </c>
    </row>
    <row r="419" spans="1:11" x14ac:dyDescent="0.15">
      <c r="A419" s="7">
        <v>39235.502291666664</v>
      </c>
      <c r="B419">
        <v>39.6</v>
      </c>
      <c r="C419" s="6">
        <f t="shared" si="54"/>
        <v>797.9999998351559</v>
      </c>
      <c r="D419" t="str">
        <f t="shared" si="55"/>
        <v/>
      </c>
      <c r="E419" t="str">
        <f t="shared" si="62"/>
        <v xml:space="preserve"> </v>
      </c>
      <c r="F419" s="4">
        <f t="shared" si="56"/>
        <v>0</v>
      </c>
      <c r="G419" s="4">
        <f t="shared" si="57"/>
        <v>0</v>
      </c>
      <c r="H419" s="5">
        <f t="shared" si="58"/>
        <v>0</v>
      </c>
      <c r="I419" s="14">
        <f t="shared" si="59"/>
        <v>0</v>
      </c>
      <c r="J419" s="19">
        <f t="shared" si="60"/>
        <v>999281.43289652141</v>
      </c>
      <c r="K419" s="16">
        <f t="shared" si="61"/>
        <v>0.99998141989044476</v>
      </c>
    </row>
    <row r="420" spans="1:11" x14ac:dyDescent="0.15">
      <c r="A420" s="7">
        <v>39235.502314814818</v>
      </c>
      <c r="B420">
        <v>39.6</v>
      </c>
      <c r="C420" s="6">
        <f t="shared" si="54"/>
        <v>800.00000030267984</v>
      </c>
      <c r="D420" t="str">
        <f t="shared" si="55"/>
        <v/>
      </c>
      <c r="E420" t="str">
        <f t="shared" si="62"/>
        <v xml:space="preserve"> </v>
      </c>
      <c r="F420" s="4">
        <f t="shared" si="56"/>
        <v>0</v>
      </c>
      <c r="G420" s="4">
        <f t="shared" si="57"/>
        <v>0</v>
      </c>
      <c r="H420" s="5">
        <f t="shared" si="58"/>
        <v>0</v>
      </c>
      <c r="I420" s="14">
        <f t="shared" si="59"/>
        <v>0</v>
      </c>
      <c r="J420" s="19">
        <f t="shared" si="60"/>
        <v>999281.43289652141</v>
      </c>
      <c r="K420" s="16">
        <f t="shared" si="61"/>
        <v>0.99998141989044476</v>
      </c>
    </row>
    <row r="421" spans="1:11" x14ac:dyDescent="0.15">
      <c r="A421" s="7">
        <v>39235.502337962964</v>
      </c>
      <c r="B421">
        <v>39.5</v>
      </c>
      <c r="C421" s="6">
        <f t="shared" si="54"/>
        <v>802.00000014156103</v>
      </c>
      <c r="D421" t="str">
        <f t="shared" si="55"/>
        <v/>
      </c>
      <c r="E421" t="str">
        <f t="shared" si="62"/>
        <v xml:space="preserve"> </v>
      </c>
      <c r="F421" s="4">
        <f t="shared" si="56"/>
        <v>0</v>
      </c>
      <c r="G421" s="4">
        <f t="shared" si="57"/>
        <v>0</v>
      </c>
      <c r="H421" s="5">
        <f t="shared" si="58"/>
        <v>0</v>
      </c>
      <c r="I421" s="14">
        <f t="shared" si="59"/>
        <v>0</v>
      </c>
      <c r="J421" s="19">
        <f t="shared" si="60"/>
        <v>999281.43289652141</v>
      </c>
      <c r="K421" s="16">
        <f t="shared" si="61"/>
        <v>0.99998141989044476</v>
      </c>
    </row>
    <row r="422" spans="1:11" x14ac:dyDescent="0.15">
      <c r="A422" s="7">
        <v>39235.50236111111</v>
      </c>
      <c r="B422">
        <v>39.5</v>
      </c>
      <c r="C422" s="6">
        <f t="shared" si="54"/>
        <v>803.99999998044223</v>
      </c>
      <c r="D422" t="str">
        <f t="shared" si="55"/>
        <v/>
      </c>
      <c r="E422" t="str">
        <f t="shared" si="62"/>
        <v xml:space="preserve"> </v>
      </c>
      <c r="F422" s="4">
        <f t="shared" si="56"/>
        <v>0</v>
      </c>
      <c r="G422" s="4">
        <f t="shared" si="57"/>
        <v>0</v>
      </c>
      <c r="H422" s="5">
        <f t="shared" si="58"/>
        <v>0</v>
      </c>
      <c r="I422" s="14">
        <f t="shared" si="59"/>
        <v>0</v>
      </c>
      <c r="J422" s="19">
        <f t="shared" si="60"/>
        <v>999281.43289652141</v>
      </c>
      <c r="K422" s="16">
        <f t="shared" si="61"/>
        <v>0.99998141989044476</v>
      </c>
    </row>
    <row r="423" spans="1:11" x14ac:dyDescent="0.15">
      <c r="A423" s="7">
        <v>39235.502384259256</v>
      </c>
      <c r="B423">
        <v>39.5</v>
      </c>
      <c r="C423" s="6">
        <f t="shared" si="54"/>
        <v>805.99999981932342</v>
      </c>
      <c r="D423" t="str">
        <f t="shared" si="55"/>
        <v/>
      </c>
      <c r="E423" t="str">
        <f t="shared" si="62"/>
        <v xml:space="preserve"> </v>
      </c>
      <c r="F423" s="4">
        <f t="shared" si="56"/>
        <v>0</v>
      </c>
      <c r="G423" s="4">
        <f t="shared" si="57"/>
        <v>0</v>
      </c>
      <c r="H423" s="5">
        <f t="shared" si="58"/>
        <v>0</v>
      </c>
      <c r="I423" s="14">
        <f t="shared" si="59"/>
        <v>0</v>
      </c>
      <c r="J423" s="19">
        <f t="shared" si="60"/>
        <v>999281.43289652141</v>
      </c>
      <c r="K423" s="16">
        <f t="shared" si="61"/>
        <v>0.99998141989044476</v>
      </c>
    </row>
    <row r="424" spans="1:11" x14ac:dyDescent="0.15">
      <c r="A424" s="7">
        <v>39235.50240740741</v>
      </c>
      <c r="B424">
        <v>39.700000000000003</v>
      </c>
      <c r="C424" s="6">
        <f t="shared" ref="C424:C487" si="63">(A424-$B$4)*24*60*60</f>
        <v>808.00000028684735</v>
      </c>
      <c r="D424" t="str">
        <f t="shared" ref="D424:D487" si="64">IF(F424=$B$8,A424,"")</f>
        <v/>
      </c>
      <c r="E424">
        <f t="shared" si="62"/>
        <v>39235.50240740741</v>
      </c>
      <c r="F424" s="4">
        <f t="shared" ref="F424:F487" si="65">IF((B424-$B$6)&gt;0,B424-$B$6,0)</f>
        <v>0.10000000000000142</v>
      </c>
      <c r="G424" s="4">
        <f t="shared" ref="G424:G487" si="66">F424/2</f>
        <v>5.0000000000000711E-2</v>
      </c>
      <c r="H424" s="5">
        <f t="shared" ref="H424:H487" si="67">AVERAGE(G423:G424)*(C424-C423)</f>
        <v>5.0000011688099019E-2</v>
      </c>
      <c r="I424" s="14">
        <f t="shared" ref="I424:I487" si="68">H424*$B$14</f>
        <v>9.2835531978396251</v>
      </c>
      <c r="J424" s="19">
        <f t="shared" ref="J424:J487" si="69">J423+I424</f>
        <v>999290.71644971927</v>
      </c>
      <c r="K424" s="16">
        <f t="shared" ref="K424:K487" si="70">J424/($B$12*1000)</f>
        <v>0.99999070994668193</v>
      </c>
    </row>
    <row r="425" spans="1:11" x14ac:dyDescent="0.15">
      <c r="A425" s="7">
        <v>39235.502430555556</v>
      </c>
      <c r="B425">
        <v>39.6</v>
      </c>
      <c r="C425" s="6">
        <f t="shared" si="63"/>
        <v>810.00000012572855</v>
      </c>
      <c r="D425" t="str">
        <f t="shared" si="64"/>
        <v/>
      </c>
      <c r="E425" t="str">
        <f t="shared" si="62"/>
        <v xml:space="preserve"> </v>
      </c>
      <c r="F425" s="4">
        <f t="shared" si="65"/>
        <v>0</v>
      </c>
      <c r="G425" s="4">
        <f t="shared" si="66"/>
        <v>0</v>
      </c>
      <c r="H425" s="5">
        <f t="shared" si="67"/>
        <v>4.9999995972030573E-2</v>
      </c>
      <c r="I425" s="14">
        <f t="shared" si="68"/>
        <v>9.2835502798211564</v>
      </c>
      <c r="J425" s="19">
        <f t="shared" si="69"/>
        <v>999299.99999999907</v>
      </c>
      <c r="K425" s="16">
        <f t="shared" si="70"/>
        <v>0.99999999999999911</v>
      </c>
    </row>
    <row r="426" spans="1:11" x14ac:dyDescent="0.15">
      <c r="A426" s="7">
        <v>39235.502453703702</v>
      </c>
      <c r="B426">
        <v>39.6</v>
      </c>
      <c r="C426" s="6">
        <f t="shared" si="63"/>
        <v>811.99999996460974</v>
      </c>
      <c r="D426" t="str">
        <f t="shared" si="64"/>
        <v/>
      </c>
      <c r="E426" t="str">
        <f t="shared" si="62"/>
        <v xml:space="preserve"> </v>
      </c>
      <c r="F426" s="4">
        <f t="shared" si="65"/>
        <v>0</v>
      </c>
      <c r="G426" s="4">
        <f t="shared" si="66"/>
        <v>0</v>
      </c>
      <c r="H426" s="5">
        <f t="shared" si="67"/>
        <v>0</v>
      </c>
      <c r="I426" s="14">
        <f t="shared" si="68"/>
        <v>0</v>
      </c>
      <c r="J426" s="19">
        <f t="shared" si="69"/>
        <v>999299.99999999907</v>
      </c>
      <c r="K426" s="16">
        <f t="shared" si="70"/>
        <v>0.99999999999999911</v>
      </c>
    </row>
    <row r="427" spans="1:11" x14ac:dyDescent="0.15">
      <c r="A427" s="7">
        <v>39235.502476851849</v>
      </c>
      <c r="B427">
        <v>39.5</v>
      </c>
      <c r="C427" s="6">
        <f t="shared" si="63"/>
        <v>813.99999980349094</v>
      </c>
      <c r="D427" t="str">
        <f t="shared" si="64"/>
        <v/>
      </c>
      <c r="E427" t="str">
        <f t="shared" si="62"/>
        <v xml:space="preserve"> </v>
      </c>
      <c r="F427" s="4">
        <f t="shared" si="65"/>
        <v>0</v>
      </c>
      <c r="G427" s="4">
        <f t="shared" si="66"/>
        <v>0</v>
      </c>
      <c r="H427" s="5">
        <f t="shared" si="67"/>
        <v>0</v>
      </c>
      <c r="I427" s="14">
        <f t="shared" si="68"/>
        <v>0</v>
      </c>
      <c r="J427" s="19">
        <f t="shared" si="69"/>
        <v>999299.99999999907</v>
      </c>
      <c r="K427" s="16">
        <f t="shared" si="70"/>
        <v>0.99999999999999911</v>
      </c>
    </row>
    <row r="428" spans="1:11" x14ac:dyDescent="0.15">
      <c r="A428" s="7">
        <v>39235.502500000002</v>
      </c>
      <c r="B428">
        <v>39.5</v>
      </c>
      <c r="C428" s="6">
        <f t="shared" si="63"/>
        <v>816.00000027101487</v>
      </c>
      <c r="D428" t="str">
        <f t="shared" si="64"/>
        <v/>
      </c>
      <c r="E428" t="str">
        <f t="shared" si="62"/>
        <v xml:space="preserve"> </v>
      </c>
      <c r="F428" s="4">
        <f t="shared" si="65"/>
        <v>0</v>
      </c>
      <c r="G428" s="4">
        <f t="shared" si="66"/>
        <v>0</v>
      </c>
      <c r="H428" s="5">
        <f t="shared" si="67"/>
        <v>0</v>
      </c>
      <c r="I428" s="14">
        <f t="shared" si="68"/>
        <v>0</v>
      </c>
      <c r="J428" s="19">
        <f t="shared" si="69"/>
        <v>999299.99999999907</v>
      </c>
      <c r="K428" s="16">
        <f t="shared" si="70"/>
        <v>0.99999999999999911</v>
      </c>
    </row>
    <row r="429" spans="1:11" x14ac:dyDescent="0.15">
      <c r="A429" s="7">
        <v>39235.502523148149</v>
      </c>
      <c r="B429">
        <v>39.5</v>
      </c>
      <c r="C429" s="6">
        <f t="shared" si="63"/>
        <v>818.00000010989606</v>
      </c>
      <c r="D429" t="str">
        <f t="shared" si="64"/>
        <v/>
      </c>
      <c r="E429" t="str">
        <f t="shared" si="62"/>
        <v xml:space="preserve"> </v>
      </c>
      <c r="F429" s="4">
        <f t="shared" si="65"/>
        <v>0</v>
      </c>
      <c r="G429" s="4">
        <f t="shared" si="66"/>
        <v>0</v>
      </c>
      <c r="H429" s="5">
        <f t="shared" si="67"/>
        <v>0</v>
      </c>
      <c r="I429" s="14">
        <f t="shared" si="68"/>
        <v>0</v>
      </c>
      <c r="J429" s="19">
        <f t="shared" si="69"/>
        <v>999299.99999999907</v>
      </c>
      <c r="K429" s="16">
        <f t="shared" si="70"/>
        <v>0.99999999999999911</v>
      </c>
    </row>
    <row r="430" spans="1:11" x14ac:dyDescent="0.15">
      <c r="A430" s="7">
        <v>39235.502546296295</v>
      </c>
      <c r="B430">
        <v>39.5</v>
      </c>
      <c r="C430" s="6">
        <f t="shared" si="63"/>
        <v>819.99999994877726</v>
      </c>
      <c r="D430" t="str">
        <f t="shared" si="64"/>
        <v/>
      </c>
      <c r="E430" t="str">
        <f t="shared" si="62"/>
        <v xml:space="preserve"> </v>
      </c>
      <c r="F430" s="4">
        <f t="shared" si="65"/>
        <v>0</v>
      </c>
      <c r="G430" s="4">
        <f t="shared" si="66"/>
        <v>0</v>
      </c>
      <c r="H430" s="5">
        <f t="shared" si="67"/>
        <v>0</v>
      </c>
      <c r="I430" s="14">
        <f t="shared" si="68"/>
        <v>0</v>
      </c>
      <c r="J430" s="19">
        <f t="shared" si="69"/>
        <v>999299.99999999907</v>
      </c>
      <c r="K430" s="16">
        <f t="shared" si="70"/>
        <v>0.99999999999999911</v>
      </c>
    </row>
    <row r="431" spans="1:11" x14ac:dyDescent="0.15">
      <c r="A431" s="7">
        <v>39235.502569444441</v>
      </c>
      <c r="B431">
        <v>39.5</v>
      </c>
      <c r="C431" s="6">
        <f t="shared" si="63"/>
        <v>821.99999978765845</v>
      </c>
      <c r="D431" t="str">
        <f t="shared" si="64"/>
        <v/>
      </c>
      <c r="E431" t="str">
        <f t="shared" si="62"/>
        <v xml:space="preserve"> </v>
      </c>
      <c r="F431" s="4">
        <f t="shared" si="65"/>
        <v>0</v>
      </c>
      <c r="G431" s="4">
        <f t="shared" si="66"/>
        <v>0</v>
      </c>
      <c r="H431" s="5">
        <f t="shared" si="67"/>
        <v>0</v>
      </c>
      <c r="I431" s="14">
        <f t="shared" si="68"/>
        <v>0</v>
      </c>
      <c r="J431" s="19">
        <f t="shared" si="69"/>
        <v>999299.99999999907</v>
      </c>
      <c r="K431" s="16">
        <f t="shared" si="70"/>
        <v>0.99999999999999911</v>
      </c>
    </row>
    <row r="432" spans="1:11" x14ac:dyDescent="0.15">
      <c r="A432" s="7">
        <v>39235.502592592595</v>
      </c>
      <c r="B432">
        <v>39.5</v>
      </c>
      <c r="C432" s="6">
        <f t="shared" si="63"/>
        <v>824.00000025518239</v>
      </c>
      <c r="D432" t="str">
        <f t="shared" si="64"/>
        <v/>
      </c>
      <c r="E432" t="str">
        <f t="shared" si="62"/>
        <v xml:space="preserve"> </v>
      </c>
      <c r="F432" s="4">
        <f t="shared" si="65"/>
        <v>0</v>
      </c>
      <c r="G432" s="4">
        <f t="shared" si="66"/>
        <v>0</v>
      </c>
      <c r="H432" s="5">
        <f t="shared" si="67"/>
        <v>0</v>
      </c>
      <c r="I432" s="14">
        <f t="shared" si="68"/>
        <v>0</v>
      </c>
      <c r="J432" s="19">
        <f t="shared" si="69"/>
        <v>999299.99999999907</v>
      </c>
      <c r="K432" s="16">
        <f t="shared" si="70"/>
        <v>0.99999999999999911</v>
      </c>
    </row>
    <row r="433" spans="1:11" x14ac:dyDescent="0.15">
      <c r="A433" s="7">
        <v>39235.502615740741</v>
      </c>
      <c r="B433">
        <v>39.5</v>
      </c>
      <c r="C433" s="6">
        <f t="shared" si="63"/>
        <v>826.00000009406358</v>
      </c>
      <c r="D433" t="str">
        <f t="shared" si="64"/>
        <v/>
      </c>
      <c r="E433" t="str">
        <f t="shared" si="62"/>
        <v xml:space="preserve"> </v>
      </c>
      <c r="F433" s="4">
        <f t="shared" si="65"/>
        <v>0</v>
      </c>
      <c r="G433" s="4">
        <f t="shared" si="66"/>
        <v>0</v>
      </c>
      <c r="H433" s="5">
        <f t="shared" si="67"/>
        <v>0</v>
      </c>
      <c r="I433" s="14">
        <f t="shared" si="68"/>
        <v>0</v>
      </c>
      <c r="J433" s="19">
        <f t="shared" si="69"/>
        <v>999299.99999999907</v>
      </c>
      <c r="K433" s="16">
        <f t="shared" si="70"/>
        <v>0.99999999999999911</v>
      </c>
    </row>
    <row r="434" spans="1:11" x14ac:dyDescent="0.15">
      <c r="A434" s="7">
        <v>39235.502638888887</v>
      </c>
      <c r="B434">
        <v>39.5</v>
      </c>
      <c r="C434" s="6">
        <f t="shared" si="63"/>
        <v>827.99999993294477</v>
      </c>
      <c r="D434" t="str">
        <f t="shared" si="64"/>
        <v/>
      </c>
      <c r="E434" t="str">
        <f t="shared" si="62"/>
        <v xml:space="preserve"> </v>
      </c>
      <c r="F434" s="4">
        <f t="shared" si="65"/>
        <v>0</v>
      </c>
      <c r="G434" s="4">
        <f t="shared" si="66"/>
        <v>0</v>
      </c>
      <c r="H434" s="5">
        <f t="shared" si="67"/>
        <v>0</v>
      </c>
      <c r="I434" s="14">
        <f t="shared" si="68"/>
        <v>0</v>
      </c>
      <c r="J434" s="19">
        <f t="shared" si="69"/>
        <v>999299.99999999907</v>
      </c>
      <c r="K434" s="16">
        <f t="shared" si="70"/>
        <v>0.99999999999999911</v>
      </c>
    </row>
    <row r="435" spans="1:11" x14ac:dyDescent="0.15">
      <c r="A435" s="7">
        <v>39235.502662037034</v>
      </c>
      <c r="B435">
        <v>39.5</v>
      </c>
      <c r="C435" s="6">
        <f t="shared" si="63"/>
        <v>829.99999977182597</v>
      </c>
      <c r="D435" t="str">
        <f t="shared" si="64"/>
        <v/>
      </c>
      <c r="E435" t="str">
        <f t="shared" si="62"/>
        <v xml:space="preserve"> </v>
      </c>
      <c r="F435" s="4">
        <f t="shared" si="65"/>
        <v>0</v>
      </c>
      <c r="G435" s="4">
        <f t="shared" si="66"/>
        <v>0</v>
      </c>
      <c r="H435" s="5">
        <f t="shared" si="67"/>
        <v>0</v>
      </c>
      <c r="I435" s="14">
        <f t="shared" si="68"/>
        <v>0</v>
      </c>
      <c r="J435" s="19">
        <f t="shared" si="69"/>
        <v>999299.99999999907</v>
      </c>
      <c r="K435" s="16">
        <f t="shared" si="70"/>
        <v>0.99999999999999911</v>
      </c>
    </row>
    <row r="436" spans="1:11" x14ac:dyDescent="0.15">
      <c r="A436" s="7">
        <v>39235.502685185187</v>
      </c>
      <c r="B436">
        <v>39.5</v>
      </c>
      <c r="C436" s="6">
        <f t="shared" si="63"/>
        <v>832.0000002393499</v>
      </c>
      <c r="D436" t="str">
        <f t="shared" si="64"/>
        <v/>
      </c>
      <c r="E436" t="str">
        <f t="shared" si="62"/>
        <v xml:space="preserve"> </v>
      </c>
      <c r="F436" s="4">
        <f t="shared" si="65"/>
        <v>0</v>
      </c>
      <c r="G436" s="4">
        <f t="shared" si="66"/>
        <v>0</v>
      </c>
      <c r="H436" s="5">
        <f t="shared" si="67"/>
        <v>0</v>
      </c>
      <c r="I436" s="14">
        <f t="shared" si="68"/>
        <v>0</v>
      </c>
      <c r="J436" s="19">
        <f t="shared" si="69"/>
        <v>999299.99999999907</v>
      </c>
      <c r="K436" s="16">
        <f t="shared" si="70"/>
        <v>0.99999999999999911</v>
      </c>
    </row>
    <row r="437" spans="1:11" x14ac:dyDescent="0.15">
      <c r="A437" s="7">
        <v>39235.502708333333</v>
      </c>
      <c r="B437">
        <v>39.5</v>
      </c>
      <c r="C437" s="6">
        <f t="shared" si="63"/>
        <v>834.0000000782311</v>
      </c>
      <c r="D437" t="str">
        <f t="shared" si="64"/>
        <v/>
      </c>
      <c r="E437" t="str">
        <f t="shared" si="62"/>
        <v xml:space="preserve"> </v>
      </c>
      <c r="F437" s="4">
        <f t="shared" si="65"/>
        <v>0</v>
      </c>
      <c r="G437" s="4">
        <f t="shared" si="66"/>
        <v>0</v>
      </c>
      <c r="H437" s="5">
        <f t="shared" si="67"/>
        <v>0</v>
      </c>
      <c r="I437" s="14">
        <f t="shared" si="68"/>
        <v>0</v>
      </c>
      <c r="J437" s="19">
        <f t="shared" si="69"/>
        <v>999299.99999999907</v>
      </c>
      <c r="K437" s="16">
        <f t="shared" si="70"/>
        <v>0.99999999999999911</v>
      </c>
    </row>
    <row r="438" spans="1:11" x14ac:dyDescent="0.15">
      <c r="A438" s="7">
        <v>39235.50273148148</v>
      </c>
      <c r="B438">
        <v>39.5</v>
      </c>
      <c r="C438" s="6">
        <f t="shared" si="63"/>
        <v>835.99999991711229</v>
      </c>
      <c r="D438" t="str">
        <f t="shared" si="64"/>
        <v/>
      </c>
      <c r="E438" t="str">
        <f t="shared" si="62"/>
        <v xml:space="preserve"> </v>
      </c>
      <c r="F438" s="4">
        <f t="shared" si="65"/>
        <v>0</v>
      </c>
      <c r="G438" s="4">
        <f t="shared" si="66"/>
        <v>0</v>
      </c>
      <c r="H438" s="5">
        <f t="shared" si="67"/>
        <v>0</v>
      </c>
      <c r="I438" s="14">
        <f t="shared" si="68"/>
        <v>0</v>
      </c>
      <c r="J438" s="19">
        <f t="shared" si="69"/>
        <v>999299.99999999907</v>
      </c>
      <c r="K438" s="16">
        <f t="shared" si="70"/>
        <v>0.99999999999999911</v>
      </c>
    </row>
    <row r="439" spans="1:11" x14ac:dyDescent="0.15">
      <c r="A439" s="7">
        <v>39235.502754629626</v>
      </c>
      <c r="B439">
        <v>39.5</v>
      </c>
      <c r="C439" s="6">
        <f t="shared" si="63"/>
        <v>837.99999975599349</v>
      </c>
      <c r="D439" t="str">
        <f t="shared" si="64"/>
        <v/>
      </c>
      <c r="E439" t="str">
        <f t="shared" si="62"/>
        <v xml:space="preserve"> </v>
      </c>
      <c r="F439" s="4">
        <f t="shared" si="65"/>
        <v>0</v>
      </c>
      <c r="G439" s="4">
        <f t="shared" si="66"/>
        <v>0</v>
      </c>
      <c r="H439" s="5">
        <f t="shared" si="67"/>
        <v>0</v>
      </c>
      <c r="I439" s="14">
        <f t="shared" si="68"/>
        <v>0</v>
      </c>
      <c r="J439" s="19">
        <f t="shared" si="69"/>
        <v>999299.99999999907</v>
      </c>
      <c r="K439" s="16">
        <f t="shared" si="70"/>
        <v>0.99999999999999911</v>
      </c>
    </row>
    <row r="440" spans="1:11" x14ac:dyDescent="0.15">
      <c r="A440" s="7">
        <v>39235.50277777778</v>
      </c>
      <c r="B440">
        <v>39.5</v>
      </c>
      <c r="C440" s="6">
        <f t="shared" si="63"/>
        <v>840.00000022351742</v>
      </c>
      <c r="D440" t="str">
        <f t="shared" si="64"/>
        <v/>
      </c>
      <c r="E440" t="str">
        <f t="shared" si="62"/>
        <v xml:space="preserve"> </v>
      </c>
      <c r="F440" s="4">
        <f t="shared" si="65"/>
        <v>0</v>
      </c>
      <c r="G440" s="4">
        <f t="shared" si="66"/>
        <v>0</v>
      </c>
      <c r="H440" s="5">
        <f t="shared" si="67"/>
        <v>0</v>
      </c>
      <c r="I440" s="14">
        <f t="shared" si="68"/>
        <v>0</v>
      </c>
      <c r="J440" s="19">
        <f t="shared" si="69"/>
        <v>999299.99999999907</v>
      </c>
      <c r="K440" s="16">
        <f t="shared" si="70"/>
        <v>0.99999999999999911</v>
      </c>
    </row>
    <row r="441" spans="1:11" x14ac:dyDescent="0.15">
      <c r="A441" s="7">
        <v>39235.502800925926</v>
      </c>
      <c r="B441">
        <v>39.5</v>
      </c>
      <c r="C441" s="6">
        <f t="shared" si="63"/>
        <v>842.00000006239861</v>
      </c>
      <c r="D441" t="str">
        <f t="shared" si="64"/>
        <v/>
      </c>
      <c r="E441" t="str">
        <f t="shared" si="62"/>
        <v xml:space="preserve"> </v>
      </c>
      <c r="F441" s="4">
        <f t="shared" si="65"/>
        <v>0</v>
      </c>
      <c r="G441" s="4">
        <f t="shared" si="66"/>
        <v>0</v>
      </c>
      <c r="H441" s="5">
        <f t="shared" si="67"/>
        <v>0</v>
      </c>
      <c r="I441" s="14">
        <f t="shared" si="68"/>
        <v>0</v>
      </c>
      <c r="J441" s="19">
        <f t="shared" si="69"/>
        <v>999299.99999999907</v>
      </c>
      <c r="K441" s="16">
        <f t="shared" si="70"/>
        <v>0.99999999999999911</v>
      </c>
    </row>
    <row r="442" spans="1:11" x14ac:dyDescent="0.15">
      <c r="A442" s="7">
        <v>39235.502824074072</v>
      </c>
      <c r="B442">
        <v>39.5</v>
      </c>
      <c r="C442" s="6">
        <f t="shared" si="63"/>
        <v>843.99999990127981</v>
      </c>
      <c r="D442" t="str">
        <f t="shared" si="64"/>
        <v/>
      </c>
      <c r="E442" t="str">
        <f t="shared" si="62"/>
        <v xml:space="preserve"> </v>
      </c>
      <c r="F442" s="4">
        <f t="shared" si="65"/>
        <v>0</v>
      </c>
      <c r="G442" s="4">
        <f t="shared" si="66"/>
        <v>0</v>
      </c>
      <c r="H442" s="5">
        <f t="shared" si="67"/>
        <v>0</v>
      </c>
      <c r="I442" s="14">
        <f t="shared" si="68"/>
        <v>0</v>
      </c>
      <c r="J442" s="19">
        <f t="shared" si="69"/>
        <v>999299.99999999907</v>
      </c>
      <c r="K442" s="16">
        <f t="shared" si="70"/>
        <v>0.99999999999999911</v>
      </c>
    </row>
    <row r="443" spans="1:11" x14ac:dyDescent="0.15">
      <c r="A443" s="7">
        <v>39235.502847222226</v>
      </c>
      <c r="B443">
        <v>39.5</v>
      </c>
      <c r="C443" s="6">
        <f t="shared" si="63"/>
        <v>846.00000036880374</v>
      </c>
      <c r="D443" t="str">
        <f t="shared" si="64"/>
        <v/>
      </c>
      <c r="E443" t="str">
        <f t="shared" si="62"/>
        <v xml:space="preserve"> </v>
      </c>
      <c r="F443" s="4">
        <f t="shared" si="65"/>
        <v>0</v>
      </c>
      <c r="G443" s="4">
        <f t="shared" si="66"/>
        <v>0</v>
      </c>
      <c r="H443" s="5">
        <f t="shared" si="67"/>
        <v>0</v>
      </c>
      <c r="I443" s="14">
        <f t="shared" si="68"/>
        <v>0</v>
      </c>
      <c r="J443" s="19">
        <f t="shared" si="69"/>
        <v>999299.99999999907</v>
      </c>
      <c r="K443" s="16">
        <f t="shared" si="70"/>
        <v>0.99999999999999911</v>
      </c>
    </row>
    <row r="444" spans="1:11" x14ac:dyDescent="0.15">
      <c r="A444" s="7">
        <v>39235.502870370372</v>
      </c>
      <c r="B444">
        <v>39.5</v>
      </c>
      <c r="C444" s="6">
        <f t="shared" si="63"/>
        <v>848.00000020768493</v>
      </c>
      <c r="D444" t="str">
        <f t="shared" si="64"/>
        <v/>
      </c>
      <c r="E444" t="str">
        <f t="shared" si="62"/>
        <v xml:space="preserve"> </v>
      </c>
      <c r="F444" s="4">
        <f t="shared" si="65"/>
        <v>0</v>
      </c>
      <c r="G444" s="4">
        <f t="shared" si="66"/>
        <v>0</v>
      </c>
      <c r="H444" s="5">
        <f t="shared" si="67"/>
        <v>0</v>
      </c>
      <c r="I444" s="14">
        <f t="shared" si="68"/>
        <v>0</v>
      </c>
      <c r="J444" s="19">
        <f t="shared" si="69"/>
        <v>999299.99999999907</v>
      </c>
      <c r="K444" s="16">
        <f t="shared" si="70"/>
        <v>0.99999999999999911</v>
      </c>
    </row>
    <row r="445" spans="1:11" x14ac:dyDescent="0.15">
      <c r="A445" s="7">
        <v>39235.502893518518</v>
      </c>
      <c r="B445">
        <v>39.6</v>
      </c>
      <c r="C445" s="6">
        <f t="shared" si="63"/>
        <v>850.00000004656613</v>
      </c>
      <c r="D445" t="str">
        <f t="shared" si="64"/>
        <v/>
      </c>
      <c r="E445" t="str">
        <f t="shared" si="62"/>
        <v xml:space="preserve"> </v>
      </c>
      <c r="F445" s="4">
        <f t="shared" si="65"/>
        <v>0</v>
      </c>
      <c r="G445" s="4">
        <f t="shared" si="66"/>
        <v>0</v>
      </c>
      <c r="H445" s="5">
        <f t="shared" si="67"/>
        <v>0</v>
      </c>
      <c r="I445" s="14">
        <f t="shared" si="68"/>
        <v>0</v>
      </c>
      <c r="J445" s="19">
        <f t="shared" si="69"/>
        <v>999299.99999999907</v>
      </c>
      <c r="K445" s="16">
        <f t="shared" si="70"/>
        <v>0.99999999999999911</v>
      </c>
    </row>
    <row r="446" spans="1:11" x14ac:dyDescent="0.15">
      <c r="A446" s="7">
        <v>39235.502916666665</v>
      </c>
      <c r="B446">
        <v>39.6</v>
      </c>
      <c r="C446" s="6">
        <f t="shared" si="63"/>
        <v>851.99999988544732</v>
      </c>
      <c r="D446" t="str">
        <f t="shared" si="64"/>
        <v/>
      </c>
      <c r="E446" t="str">
        <f t="shared" si="62"/>
        <v xml:space="preserve"> </v>
      </c>
      <c r="F446" s="4">
        <f t="shared" si="65"/>
        <v>0</v>
      </c>
      <c r="G446" s="4">
        <f t="shared" si="66"/>
        <v>0</v>
      </c>
      <c r="H446" s="5">
        <f t="shared" si="67"/>
        <v>0</v>
      </c>
      <c r="I446" s="14">
        <f t="shared" si="68"/>
        <v>0</v>
      </c>
      <c r="J446" s="19">
        <f t="shared" si="69"/>
        <v>999299.99999999907</v>
      </c>
      <c r="K446" s="16">
        <f t="shared" si="70"/>
        <v>0.99999999999999911</v>
      </c>
    </row>
    <row r="447" spans="1:11" x14ac:dyDescent="0.15">
      <c r="A447" s="7">
        <v>39235.502939814818</v>
      </c>
      <c r="B447">
        <v>39.5</v>
      </c>
      <c r="C447" s="6">
        <f t="shared" si="63"/>
        <v>854.00000035297126</v>
      </c>
      <c r="D447" t="str">
        <f t="shared" si="64"/>
        <v/>
      </c>
      <c r="E447" t="str">
        <f t="shared" si="62"/>
        <v xml:space="preserve"> </v>
      </c>
      <c r="F447" s="4">
        <f t="shared" si="65"/>
        <v>0</v>
      </c>
      <c r="G447" s="4">
        <f t="shared" si="66"/>
        <v>0</v>
      </c>
      <c r="H447" s="5">
        <f t="shared" si="67"/>
        <v>0</v>
      </c>
      <c r="I447" s="14">
        <f t="shared" si="68"/>
        <v>0</v>
      </c>
      <c r="J447" s="19">
        <f t="shared" si="69"/>
        <v>999299.99999999907</v>
      </c>
      <c r="K447" s="16">
        <f t="shared" si="70"/>
        <v>0.99999999999999911</v>
      </c>
    </row>
    <row r="448" spans="1:11" x14ac:dyDescent="0.15">
      <c r="A448" s="7">
        <v>39235.502962962964</v>
      </c>
      <c r="B448">
        <v>39.5</v>
      </c>
      <c r="C448" s="6">
        <f t="shared" si="63"/>
        <v>856.00000019185245</v>
      </c>
      <c r="D448" t="str">
        <f t="shared" si="64"/>
        <v/>
      </c>
      <c r="E448" t="str">
        <f t="shared" si="62"/>
        <v xml:space="preserve"> </v>
      </c>
      <c r="F448" s="4">
        <f t="shared" si="65"/>
        <v>0</v>
      </c>
      <c r="G448" s="4">
        <f t="shared" si="66"/>
        <v>0</v>
      </c>
      <c r="H448" s="5">
        <f t="shared" si="67"/>
        <v>0</v>
      </c>
      <c r="I448" s="14">
        <f t="shared" si="68"/>
        <v>0</v>
      </c>
      <c r="J448" s="19">
        <f t="shared" si="69"/>
        <v>999299.99999999907</v>
      </c>
      <c r="K448" s="16">
        <f t="shared" si="70"/>
        <v>0.99999999999999911</v>
      </c>
    </row>
    <row r="449" spans="1:11" x14ac:dyDescent="0.15">
      <c r="A449" s="7">
        <v>39235.502986111111</v>
      </c>
      <c r="B449">
        <v>39.5</v>
      </c>
      <c r="C449" s="6">
        <f t="shared" si="63"/>
        <v>858.00000003073364</v>
      </c>
      <c r="D449" t="str">
        <f t="shared" si="64"/>
        <v/>
      </c>
      <c r="E449" t="str">
        <f t="shared" si="62"/>
        <v xml:space="preserve"> </v>
      </c>
      <c r="F449" s="4">
        <f t="shared" si="65"/>
        <v>0</v>
      </c>
      <c r="G449" s="4">
        <f t="shared" si="66"/>
        <v>0</v>
      </c>
      <c r="H449" s="5">
        <f t="shared" si="67"/>
        <v>0</v>
      </c>
      <c r="I449" s="14">
        <f t="shared" si="68"/>
        <v>0</v>
      </c>
      <c r="J449" s="19">
        <f t="shared" si="69"/>
        <v>999299.99999999907</v>
      </c>
      <c r="K449" s="16">
        <f t="shared" si="70"/>
        <v>0.99999999999999911</v>
      </c>
    </row>
    <row r="450" spans="1:11" x14ac:dyDescent="0.15">
      <c r="A450" s="7">
        <v>39235.503009259257</v>
      </c>
      <c r="B450">
        <v>39.5</v>
      </c>
      <c r="C450" s="6">
        <f t="shared" si="63"/>
        <v>859.99999986961484</v>
      </c>
      <c r="D450" t="str">
        <f t="shared" si="64"/>
        <v/>
      </c>
      <c r="E450" t="str">
        <f t="shared" si="62"/>
        <v xml:space="preserve"> </v>
      </c>
      <c r="F450" s="4">
        <f t="shared" si="65"/>
        <v>0</v>
      </c>
      <c r="G450" s="4">
        <f t="shared" si="66"/>
        <v>0</v>
      </c>
      <c r="H450" s="5">
        <f t="shared" si="67"/>
        <v>0</v>
      </c>
      <c r="I450" s="14">
        <f t="shared" si="68"/>
        <v>0</v>
      </c>
      <c r="J450" s="19">
        <f t="shared" si="69"/>
        <v>999299.99999999907</v>
      </c>
      <c r="K450" s="16">
        <f t="shared" si="70"/>
        <v>0.99999999999999911</v>
      </c>
    </row>
    <row r="451" spans="1:11" x14ac:dyDescent="0.15">
      <c r="A451" s="7">
        <v>39235.503032407411</v>
      </c>
      <c r="B451">
        <v>39.5</v>
      </c>
      <c r="C451" s="6">
        <f t="shared" si="63"/>
        <v>862.00000033713877</v>
      </c>
      <c r="D451" t="str">
        <f t="shared" si="64"/>
        <v/>
      </c>
      <c r="E451" t="str">
        <f t="shared" si="62"/>
        <v xml:space="preserve"> </v>
      </c>
      <c r="F451" s="4">
        <f t="shared" si="65"/>
        <v>0</v>
      </c>
      <c r="G451" s="4">
        <f t="shared" si="66"/>
        <v>0</v>
      </c>
      <c r="H451" s="5">
        <f t="shared" si="67"/>
        <v>0</v>
      </c>
      <c r="I451" s="14">
        <f t="shared" si="68"/>
        <v>0</v>
      </c>
      <c r="J451" s="19">
        <f t="shared" si="69"/>
        <v>999299.99999999907</v>
      </c>
      <c r="K451" s="16">
        <f t="shared" si="70"/>
        <v>0.99999999999999911</v>
      </c>
    </row>
    <row r="452" spans="1:11" x14ac:dyDescent="0.15">
      <c r="A452" s="7">
        <v>39235.503055555557</v>
      </c>
      <c r="B452">
        <v>39.5</v>
      </c>
      <c r="C452" s="6">
        <f t="shared" si="63"/>
        <v>864.00000017601997</v>
      </c>
      <c r="D452" t="str">
        <f t="shared" si="64"/>
        <v/>
      </c>
      <c r="E452" t="str">
        <f t="shared" si="62"/>
        <v xml:space="preserve"> </v>
      </c>
      <c r="F452" s="4">
        <f t="shared" si="65"/>
        <v>0</v>
      </c>
      <c r="G452" s="4">
        <f t="shared" si="66"/>
        <v>0</v>
      </c>
      <c r="H452" s="5">
        <f t="shared" si="67"/>
        <v>0</v>
      </c>
      <c r="I452" s="14">
        <f t="shared" si="68"/>
        <v>0</v>
      </c>
      <c r="J452" s="19">
        <f t="shared" si="69"/>
        <v>999299.99999999907</v>
      </c>
      <c r="K452" s="16">
        <f t="shared" si="70"/>
        <v>0.99999999999999911</v>
      </c>
    </row>
    <row r="453" spans="1:11" x14ac:dyDescent="0.15">
      <c r="A453" s="7">
        <v>39235.503078703703</v>
      </c>
      <c r="B453">
        <v>39.5</v>
      </c>
      <c r="C453" s="6">
        <f t="shared" si="63"/>
        <v>866.00000001490116</v>
      </c>
      <c r="D453" t="str">
        <f t="shared" si="64"/>
        <v/>
      </c>
      <c r="E453" t="str">
        <f t="shared" si="62"/>
        <v xml:space="preserve"> </v>
      </c>
      <c r="F453" s="4">
        <f t="shared" si="65"/>
        <v>0</v>
      </c>
      <c r="G453" s="4">
        <f t="shared" si="66"/>
        <v>0</v>
      </c>
      <c r="H453" s="5">
        <f t="shared" si="67"/>
        <v>0</v>
      </c>
      <c r="I453" s="14">
        <f t="shared" si="68"/>
        <v>0</v>
      </c>
      <c r="J453" s="19">
        <f t="shared" si="69"/>
        <v>999299.99999999907</v>
      </c>
      <c r="K453" s="16">
        <f t="shared" si="70"/>
        <v>0.99999999999999911</v>
      </c>
    </row>
    <row r="454" spans="1:11" x14ac:dyDescent="0.15">
      <c r="A454" s="7">
        <v>39235.503101851849</v>
      </c>
      <c r="B454">
        <v>39.5</v>
      </c>
      <c r="C454" s="6">
        <f t="shared" si="63"/>
        <v>867.99999985378236</v>
      </c>
      <c r="D454" t="str">
        <f t="shared" si="64"/>
        <v/>
      </c>
      <c r="E454" t="str">
        <f t="shared" si="62"/>
        <v xml:space="preserve"> </v>
      </c>
      <c r="F454" s="4">
        <f t="shared" si="65"/>
        <v>0</v>
      </c>
      <c r="G454" s="4">
        <f t="shared" si="66"/>
        <v>0</v>
      </c>
      <c r="H454" s="5">
        <f t="shared" si="67"/>
        <v>0</v>
      </c>
      <c r="I454" s="14">
        <f t="shared" si="68"/>
        <v>0</v>
      </c>
      <c r="J454" s="19">
        <f t="shared" si="69"/>
        <v>999299.99999999907</v>
      </c>
      <c r="K454" s="16">
        <f t="shared" si="70"/>
        <v>0.99999999999999911</v>
      </c>
    </row>
    <row r="455" spans="1:11" x14ac:dyDescent="0.15">
      <c r="A455" s="7">
        <v>39235.503125000003</v>
      </c>
      <c r="B455">
        <v>39.5</v>
      </c>
      <c r="C455" s="6">
        <f t="shared" si="63"/>
        <v>870.00000032130629</v>
      </c>
      <c r="D455" t="str">
        <f t="shared" si="64"/>
        <v/>
      </c>
      <c r="E455" t="str">
        <f t="shared" si="62"/>
        <v xml:space="preserve"> </v>
      </c>
      <c r="F455" s="4">
        <f t="shared" si="65"/>
        <v>0</v>
      </c>
      <c r="G455" s="4">
        <f t="shared" si="66"/>
        <v>0</v>
      </c>
      <c r="H455" s="5">
        <f t="shared" si="67"/>
        <v>0</v>
      </c>
      <c r="I455" s="14">
        <f t="shared" si="68"/>
        <v>0</v>
      </c>
      <c r="J455" s="19">
        <f t="shared" si="69"/>
        <v>999299.99999999907</v>
      </c>
      <c r="K455" s="16">
        <f t="shared" si="70"/>
        <v>0.99999999999999911</v>
      </c>
    </row>
    <row r="456" spans="1:11" x14ac:dyDescent="0.15">
      <c r="A456" s="7">
        <v>39235.503148148149</v>
      </c>
      <c r="B456">
        <v>39.5</v>
      </c>
      <c r="C456" s="6">
        <f t="shared" si="63"/>
        <v>872.00000016018748</v>
      </c>
      <c r="D456" t="str">
        <f t="shared" si="64"/>
        <v/>
      </c>
      <c r="E456" t="str">
        <f t="shared" si="62"/>
        <v xml:space="preserve"> </v>
      </c>
      <c r="F456" s="4">
        <f t="shared" si="65"/>
        <v>0</v>
      </c>
      <c r="G456" s="4">
        <f t="shared" si="66"/>
        <v>0</v>
      </c>
      <c r="H456" s="5">
        <f t="shared" si="67"/>
        <v>0</v>
      </c>
      <c r="I456" s="14">
        <f t="shared" si="68"/>
        <v>0</v>
      </c>
      <c r="J456" s="19">
        <f t="shared" si="69"/>
        <v>999299.99999999907</v>
      </c>
      <c r="K456" s="16">
        <f t="shared" si="70"/>
        <v>0.99999999999999911</v>
      </c>
    </row>
    <row r="457" spans="1:11" x14ac:dyDescent="0.15">
      <c r="A457" s="7">
        <v>39235.503171296295</v>
      </c>
      <c r="B457">
        <v>39.5</v>
      </c>
      <c r="C457" s="6">
        <f t="shared" si="63"/>
        <v>873.99999999906868</v>
      </c>
      <c r="D457" t="str">
        <f t="shared" si="64"/>
        <v/>
      </c>
      <c r="E457" t="str">
        <f t="shared" si="62"/>
        <v xml:space="preserve"> </v>
      </c>
      <c r="F457" s="4">
        <f t="shared" si="65"/>
        <v>0</v>
      </c>
      <c r="G457" s="4">
        <f t="shared" si="66"/>
        <v>0</v>
      </c>
      <c r="H457" s="5">
        <f t="shared" si="67"/>
        <v>0</v>
      </c>
      <c r="I457" s="14">
        <f t="shared" si="68"/>
        <v>0</v>
      </c>
      <c r="J457" s="19">
        <f t="shared" si="69"/>
        <v>999299.99999999907</v>
      </c>
      <c r="K457" s="16">
        <f t="shared" si="70"/>
        <v>0.99999999999999911</v>
      </c>
    </row>
    <row r="458" spans="1:11" x14ac:dyDescent="0.15">
      <c r="A458" s="7">
        <v>39235.503194444442</v>
      </c>
      <c r="B458">
        <v>39.5</v>
      </c>
      <c r="C458" s="6">
        <f t="shared" si="63"/>
        <v>875.99999983794987</v>
      </c>
      <c r="D458" t="str">
        <f t="shared" si="64"/>
        <v/>
      </c>
      <c r="E458" t="str">
        <f t="shared" si="62"/>
        <v xml:space="preserve"> </v>
      </c>
      <c r="F458" s="4">
        <f t="shared" si="65"/>
        <v>0</v>
      </c>
      <c r="G458" s="4">
        <f t="shared" si="66"/>
        <v>0</v>
      </c>
      <c r="H458" s="5">
        <f t="shared" si="67"/>
        <v>0</v>
      </c>
      <c r="I458" s="14">
        <f t="shared" si="68"/>
        <v>0</v>
      </c>
      <c r="J458" s="19">
        <f t="shared" si="69"/>
        <v>999299.99999999907</v>
      </c>
      <c r="K458" s="16">
        <f t="shared" si="70"/>
        <v>0.99999999999999911</v>
      </c>
    </row>
    <row r="459" spans="1:11" x14ac:dyDescent="0.15">
      <c r="A459" s="7">
        <v>39235.503217592595</v>
      </c>
      <c r="B459">
        <v>39.5</v>
      </c>
      <c r="C459" s="6">
        <f t="shared" si="63"/>
        <v>878.0000003054738</v>
      </c>
      <c r="D459" t="str">
        <f t="shared" si="64"/>
        <v/>
      </c>
      <c r="E459" t="str">
        <f t="shared" si="62"/>
        <v xml:space="preserve"> </v>
      </c>
      <c r="F459" s="4">
        <f t="shared" si="65"/>
        <v>0</v>
      </c>
      <c r="G459" s="4">
        <f t="shared" si="66"/>
        <v>0</v>
      </c>
      <c r="H459" s="5">
        <f t="shared" si="67"/>
        <v>0</v>
      </c>
      <c r="I459" s="14">
        <f t="shared" si="68"/>
        <v>0</v>
      </c>
      <c r="J459" s="19">
        <f t="shared" si="69"/>
        <v>999299.99999999907</v>
      </c>
      <c r="K459" s="16">
        <f t="shared" si="70"/>
        <v>0.99999999999999911</v>
      </c>
    </row>
    <row r="460" spans="1:11" x14ac:dyDescent="0.15">
      <c r="A460" s="7">
        <v>39235.503240740742</v>
      </c>
      <c r="B460">
        <v>39.5</v>
      </c>
      <c r="C460" s="6">
        <f t="shared" si="63"/>
        <v>880.000000144355</v>
      </c>
      <c r="D460" t="str">
        <f t="shared" si="64"/>
        <v/>
      </c>
      <c r="E460" t="str">
        <f t="shared" si="62"/>
        <v xml:space="preserve"> </v>
      </c>
      <c r="F460" s="4">
        <f t="shared" si="65"/>
        <v>0</v>
      </c>
      <c r="G460" s="4">
        <f t="shared" si="66"/>
        <v>0</v>
      </c>
      <c r="H460" s="5">
        <f t="shared" si="67"/>
        <v>0</v>
      </c>
      <c r="I460" s="14">
        <f t="shared" si="68"/>
        <v>0</v>
      </c>
      <c r="J460" s="19">
        <f t="shared" si="69"/>
        <v>999299.99999999907</v>
      </c>
      <c r="K460" s="16">
        <f t="shared" si="70"/>
        <v>0.99999999999999911</v>
      </c>
    </row>
    <row r="461" spans="1:11" x14ac:dyDescent="0.15">
      <c r="A461" s="7">
        <v>39235.503263888888</v>
      </c>
      <c r="B461">
        <v>39.5</v>
      </c>
      <c r="C461" s="6">
        <f t="shared" si="63"/>
        <v>881.99999998323619</v>
      </c>
      <c r="D461" t="str">
        <f t="shared" si="64"/>
        <v/>
      </c>
      <c r="E461" t="str">
        <f t="shared" si="62"/>
        <v xml:space="preserve"> </v>
      </c>
      <c r="F461" s="4">
        <f t="shared" si="65"/>
        <v>0</v>
      </c>
      <c r="G461" s="4">
        <f t="shared" si="66"/>
        <v>0</v>
      </c>
      <c r="H461" s="5">
        <f t="shared" si="67"/>
        <v>0</v>
      </c>
      <c r="I461" s="14">
        <f t="shared" si="68"/>
        <v>0</v>
      </c>
      <c r="J461" s="19">
        <f t="shared" si="69"/>
        <v>999299.99999999907</v>
      </c>
      <c r="K461" s="16">
        <f t="shared" si="70"/>
        <v>0.99999999999999911</v>
      </c>
    </row>
    <row r="462" spans="1:11" x14ac:dyDescent="0.15">
      <c r="A462" s="7">
        <v>39235.503287037034</v>
      </c>
      <c r="B462">
        <v>39.5</v>
      </c>
      <c r="C462" s="6">
        <f t="shared" si="63"/>
        <v>883.99999982211739</v>
      </c>
      <c r="D462" t="str">
        <f t="shared" si="64"/>
        <v/>
      </c>
      <c r="E462" t="str">
        <f t="shared" si="62"/>
        <v xml:space="preserve"> </v>
      </c>
      <c r="F462" s="4">
        <f t="shared" si="65"/>
        <v>0</v>
      </c>
      <c r="G462" s="4">
        <f t="shared" si="66"/>
        <v>0</v>
      </c>
      <c r="H462" s="5">
        <f t="shared" si="67"/>
        <v>0</v>
      </c>
      <c r="I462" s="14">
        <f t="shared" si="68"/>
        <v>0</v>
      </c>
      <c r="J462" s="19">
        <f t="shared" si="69"/>
        <v>999299.99999999907</v>
      </c>
      <c r="K462" s="16">
        <f t="shared" si="70"/>
        <v>0.99999999999999911</v>
      </c>
    </row>
    <row r="463" spans="1:11" x14ac:dyDescent="0.15">
      <c r="A463" s="7">
        <v>39235.503310185188</v>
      </c>
      <c r="B463">
        <v>39.5</v>
      </c>
      <c r="C463" s="6">
        <f t="shared" si="63"/>
        <v>886.00000028964132</v>
      </c>
      <c r="D463" t="str">
        <f t="shared" si="64"/>
        <v/>
      </c>
      <c r="E463" t="str">
        <f t="shared" si="62"/>
        <v xml:space="preserve"> </v>
      </c>
      <c r="F463" s="4">
        <f t="shared" si="65"/>
        <v>0</v>
      </c>
      <c r="G463" s="4">
        <f t="shared" si="66"/>
        <v>0</v>
      </c>
      <c r="H463" s="5">
        <f t="shared" si="67"/>
        <v>0</v>
      </c>
      <c r="I463" s="14">
        <f t="shared" si="68"/>
        <v>0</v>
      </c>
      <c r="J463" s="19">
        <f t="shared" si="69"/>
        <v>999299.99999999907</v>
      </c>
      <c r="K463" s="16">
        <f t="shared" si="70"/>
        <v>0.99999999999999911</v>
      </c>
    </row>
    <row r="464" spans="1:11" x14ac:dyDescent="0.15">
      <c r="A464" s="7">
        <v>39235.503333333334</v>
      </c>
      <c r="B464">
        <v>39.5</v>
      </c>
      <c r="C464" s="6">
        <f t="shared" si="63"/>
        <v>888.00000012852252</v>
      </c>
      <c r="D464" t="str">
        <f t="shared" si="64"/>
        <v/>
      </c>
      <c r="E464" t="str">
        <f t="shared" si="62"/>
        <v xml:space="preserve"> </v>
      </c>
      <c r="F464" s="4">
        <f t="shared" si="65"/>
        <v>0</v>
      </c>
      <c r="G464" s="4">
        <f t="shared" si="66"/>
        <v>0</v>
      </c>
      <c r="H464" s="5">
        <f t="shared" si="67"/>
        <v>0</v>
      </c>
      <c r="I464" s="14">
        <f t="shared" si="68"/>
        <v>0</v>
      </c>
      <c r="J464" s="19">
        <f t="shared" si="69"/>
        <v>999299.99999999907</v>
      </c>
      <c r="K464" s="16">
        <f t="shared" si="70"/>
        <v>0.99999999999999911</v>
      </c>
    </row>
    <row r="465" spans="1:11" x14ac:dyDescent="0.15">
      <c r="A465" s="7">
        <v>39235.50335648148</v>
      </c>
      <c r="B465">
        <v>39.6</v>
      </c>
      <c r="C465" s="6">
        <f t="shared" si="63"/>
        <v>889.99999996740371</v>
      </c>
      <c r="D465" t="str">
        <f t="shared" si="64"/>
        <v/>
      </c>
      <c r="E465" t="str">
        <f t="shared" si="62"/>
        <v xml:space="preserve"> </v>
      </c>
      <c r="F465" s="4">
        <f t="shared" si="65"/>
        <v>0</v>
      </c>
      <c r="G465" s="4">
        <f t="shared" si="66"/>
        <v>0</v>
      </c>
      <c r="H465" s="5">
        <f t="shared" si="67"/>
        <v>0</v>
      </c>
      <c r="I465" s="14">
        <f t="shared" si="68"/>
        <v>0</v>
      </c>
      <c r="J465" s="19">
        <f t="shared" si="69"/>
        <v>999299.99999999907</v>
      </c>
      <c r="K465" s="16">
        <f t="shared" si="70"/>
        <v>0.99999999999999911</v>
      </c>
    </row>
    <row r="466" spans="1:11" x14ac:dyDescent="0.15">
      <c r="A466" s="7">
        <v>39235.503379629627</v>
      </c>
      <c r="B466">
        <v>39.5</v>
      </c>
      <c r="C466" s="6">
        <f t="shared" si="63"/>
        <v>891.9999998062849</v>
      </c>
      <c r="D466" t="str">
        <f t="shared" si="64"/>
        <v/>
      </c>
      <c r="E466" t="str">
        <f t="shared" si="62"/>
        <v xml:space="preserve"> </v>
      </c>
      <c r="F466" s="4">
        <f t="shared" si="65"/>
        <v>0</v>
      </c>
      <c r="G466" s="4">
        <f t="shared" si="66"/>
        <v>0</v>
      </c>
      <c r="H466" s="5">
        <f t="shared" si="67"/>
        <v>0</v>
      </c>
      <c r="I466" s="14">
        <f t="shared" si="68"/>
        <v>0</v>
      </c>
      <c r="J466" s="19">
        <f t="shared" si="69"/>
        <v>999299.99999999907</v>
      </c>
      <c r="K466" s="16">
        <f t="shared" si="70"/>
        <v>0.99999999999999911</v>
      </c>
    </row>
    <row r="467" spans="1:11" x14ac:dyDescent="0.15">
      <c r="A467" s="7">
        <v>39235.50340277778</v>
      </c>
      <c r="B467">
        <v>39.5</v>
      </c>
      <c r="C467" s="6">
        <f t="shared" si="63"/>
        <v>894.00000027380884</v>
      </c>
      <c r="D467" t="str">
        <f t="shared" si="64"/>
        <v/>
      </c>
      <c r="E467" t="str">
        <f t="shared" si="62"/>
        <v xml:space="preserve"> </v>
      </c>
      <c r="F467" s="4">
        <f t="shared" si="65"/>
        <v>0</v>
      </c>
      <c r="G467" s="4">
        <f t="shared" si="66"/>
        <v>0</v>
      </c>
      <c r="H467" s="5">
        <f t="shared" si="67"/>
        <v>0</v>
      </c>
      <c r="I467" s="14">
        <f t="shared" si="68"/>
        <v>0</v>
      </c>
      <c r="J467" s="19">
        <f t="shared" si="69"/>
        <v>999299.99999999907</v>
      </c>
      <c r="K467" s="16">
        <f t="shared" si="70"/>
        <v>0.99999999999999911</v>
      </c>
    </row>
    <row r="468" spans="1:11" x14ac:dyDescent="0.15">
      <c r="A468" s="7">
        <v>39235.503425925926</v>
      </c>
      <c r="B468">
        <v>39.5</v>
      </c>
      <c r="C468" s="6">
        <f t="shared" si="63"/>
        <v>896.00000011269003</v>
      </c>
      <c r="D468" t="str">
        <f t="shared" si="64"/>
        <v/>
      </c>
      <c r="E468" t="str">
        <f t="shared" si="62"/>
        <v xml:space="preserve"> </v>
      </c>
      <c r="F468" s="4">
        <f t="shared" si="65"/>
        <v>0</v>
      </c>
      <c r="G468" s="4">
        <f t="shared" si="66"/>
        <v>0</v>
      </c>
      <c r="H468" s="5">
        <f t="shared" si="67"/>
        <v>0</v>
      </c>
      <c r="I468" s="14">
        <f t="shared" si="68"/>
        <v>0</v>
      </c>
      <c r="J468" s="19">
        <f t="shared" si="69"/>
        <v>999299.99999999907</v>
      </c>
      <c r="K468" s="16">
        <f t="shared" si="70"/>
        <v>0.99999999999999911</v>
      </c>
    </row>
    <row r="469" spans="1:11" x14ac:dyDescent="0.15">
      <c r="A469" s="7">
        <v>39235.503449074073</v>
      </c>
      <c r="B469">
        <v>39.5</v>
      </c>
      <c r="C469" s="6">
        <f t="shared" si="63"/>
        <v>897.99999995157123</v>
      </c>
      <c r="D469" t="str">
        <f t="shared" si="64"/>
        <v/>
      </c>
      <c r="E469" t="str">
        <f t="shared" ref="E469:E532" si="71">IF(B469-$B$6&gt;0,A469," ")</f>
        <v xml:space="preserve"> </v>
      </c>
      <c r="F469" s="4">
        <f t="shared" si="65"/>
        <v>0</v>
      </c>
      <c r="G469" s="4">
        <f t="shared" si="66"/>
        <v>0</v>
      </c>
      <c r="H469" s="5">
        <f t="shared" si="67"/>
        <v>0</v>
      </c>
      <c r="I469" s="14">
        <f t="shared" si="68"/>
        <v>0</v>
      </c>
      <c r="J469" s="19">
        <f t="shared" si="69"/>
        <v>999299.99999999907</v>
      </c>
      <c r="K469" s="16">
        <f t="shared" si="70"/>
        <v>0.99999999999999911</v>
      </c>
    </row>
    <row r="470" spans="1:11" x14ac:dyDescent="0.15">
      <c r="A470" s="7">
        <v>39235.503472222219</v>
      </c>
      <c r="B470">
        <v>39.5</v>
      </c>
      <c r="C470" s="6">
        <f t="shared" si="63"/>
        <v>899.99999979045242</v>
      </c>
      <c r="D470" t="str">
        <f t="shared" si="64"/>
        <v/>
      </c>
      <c r="E470" t="str">
        <f t="shared" si="71"/>
        <v xml:space="preserve"> </v>
      </c>
      <c r="F470" s="4">
        <f t="shared" si="65"/>
        <v>0</v>
      </c>
      <c r="G470" s="4">
        <f t="shared" si="66"/>
        <v>0</v>
      </c>
      <c r="H470" s="5">
        <f t="shared" si="67"/>
        <v>0</v>
      </c>
      <c r="I470" s="14">
        <f t="shared" si="68"/>
        <v>0</v>
      </c>
      <c r="J470" s="19">
        <f t="shared" si="69"/>
        <v>999299.99999999907</v>
      </c>
      <c r="K470" s="16">
        <f t="shared" si="70"/>
        <v>0.99999999999999911</v>
      </c>
    </row>
    <row r="471" spans="1:11" x14ac:dyDescent="0.15">
      <c r="A471" s="7">
        <v>39235.503495370373</v>
      </c>
      <c r="B471">
        <v>39.5</v>
      </c>
      <c r="C471" s="6">
        <f t="shared" si="63"/>
        <v>902.00000025797635</v>
      </c>
      <c r="D471" t="str">
        <f t="shared" si="64"/>
        <v/>
      </c>
      <c r="E471" t="str">
        <f t="shared" si="71"/>
        <v xml:space="preserve"> </v>
      </c>
      <c r="F471" s="4">
        <f t="shared" si="65"/>
        <v>0</v>
      </c>
      <c r="G471" s="4">
        <f t="shared" si="66"/>
        <v>0</v>
      </c>
      <c r="H471" s="5">
        <f t="shared" si="67"/>
        <v>0</v>
      </c>
      <c r="I471" s="14">
        <f t="shared" si="68"/>
        <v>0</v>
      </c>
      <c r="J471" s="19">
        <f t="shared" si="69"/>
        <v>999299.99999999907</v>
      </c>
      <c r="K471" s="16">
        <f t="shared" si="70"/>
        <v>0.99999999999999911</v>
      </c>
    </row>
    <row r="472" spans="1:11" x14ac:dyDescent="0.15">
      <c r="A472" s="7">
        <v>39235.503518518519</v>
      </c>
      <c r="B472">
        <v>39.5</v>
      </c>
      <c r="C472" s="6">
        <f t="shared" si="63"/>
        <v>904.00000009685755</v>
      </c>
      <c r="D472" t="str">
        <f t="shared" si="64"/>
        <v/>
      </c>
      <c r="E472" t="str">
        <f t="shared" si="71"/>
        <v xml:space="preserve"> </v>
      </c>
      <c r="F472" s="4">
        <f t="shared" si="65"/>
        <v>0</v>
      </c>
      <c r="G472" s="4">
        <f t="shared" si="66"/>
        <v>0</v>
      </c>
      <c r="H472" s="5">
        <f t="shared" si="67"/>
        <v>0</v>
      </c>
      <c r="I472" s="14">
        <f t="shared" si="68"/>
        <v>0</v>
      </c>
      <c r="J472" s="19">
        <f t="shared" si="69"/>
        <v>999299.99999999907</v>
      </c>
      <c r="K472" s="16">
        <f t="shared" si="70"/>
        <v>0.99999999999999911</v>
      </c>
    </row>
    <row r="473" spans="1:11" x14ac:dyDescent="0.15">
      <c r="A473" s="7">
        <v>39235.503541666665</v>
      </c>
      <c r="B473">
        <v>39.5</v>
      </c>
      <c r="C473" s="6">
        <f t="shared" si="63"/>
        <v>905.99999993573874</v>
      </c>
      <c r="D473" t="str">
        <f t="shared" si="64"/>
        <v/>
      </c>
      <c r="E473" t="str">
        <f t="shared" si="71"/>
        <v xml:space="preserve"> </v>
      </c>
      <c r="F473" s="4">
        <f t="shared" si="65"/>
        <v>0</v>
      </c>
      <c r="G473" s="4">
        <f t="shared" si="66"/>
        <v>0</v>
      </c>
      <c r="H473" s="5">
        <f t="shared" si="67"/>
        <v>0</v>
      </c>
      <c r="I473" s="14">
        <f t="shared" si="68"/>
        <v>0</v>
      </c>
      <c r="J473" s="19">
        <f t="shared" si="69"/>
        <v>999299.99999999907</v>
      </c>
      <c r="K473" s="16">
        <f t="shared" si="70"/>
        <v>0.99999999999999911</v>
      </c>
    </row>
    <row r="474" spans="1:11" x14ac:dyDescent="0.15">
      <c r="A474" s="7">
        <v>39235.503564814811</v>
      </c>
      <c r="B474">
        <v>39.5</v>
      </c>
      <c r="C474" s="6">
        <f t="shared" si="63"/>
        <v>907.99999977461994</v>
      </c>
      <c r="D474" t="str">
        <f t="shared" si="64"/>
        <v/>
      </c>
      <c r="E474" t="str">
        <f t="shared" si="71"/>
        <v xml:space="preserve"> </v>
      </c>
      <c r="F474" s="4">
        <f t="shared" si="65"/>
        <v>0</v>
      </c>
      <c r="G474" s="4">
        <f t="shared" si="66"/>
        <v>0</v>
      </c>
      <c r="H474" s="5">
        <f t="shared" si="67"/>
        <v>0</v>
      </c>
      <c r="I474" s="14">
        <f t="shared" si="68"/>
        <v>0</v>
      </c>
      <c r="J474" s="19">
        <f t="shared" si="69"/>
        <v>999299.99999999907</v>
      </c>
      <c r="K474" s="16">
        <f t="shared" si="70"/>
        <v>0.99999999999999911</v>
      </c>
    </row>
    <row r="475" spans="1:11" x14ac:dyDescent="0.15">
      <c r="A475" s="7">
        <v>39235.503587962965</v>
      </c>
      <c r="B475">
        <v>39.5</v>
      </c>
      <c r="C475" s="6">
        <f t="shared" si="63"/>
        <v>910.00000024214387</v>
      </c>
      <c r="D475" t="str">
        <f t="shared" si="64"/>
        <v/>
      </c>
      <c r="E475" t="str">
        <f t="shared" si="71"/>
        <v xml:space="preserve"> </v>
      </c>
      <c r="F475" s="4">
        <f t="shared" si="65"/>
        <v>0</v>
      </c>
      <c r="G475" s="4">
        <f t="shared" si="66"/>
        <v>0</v>
      </c>
      <c r="H475" s="5">
        <f t="shared" si="67"/>
        <v>0</v>
      </c>
      <c r="I475" s="14">
        <f t="shared" si="68"/>
        <v>0</v>
      </c>
      <c r="J475" s="19">
        <f t="shared" si="69"/>
        <v>999299.99999999907</v>
      </c>
      <c r="K475" s="16">
        <f t="shared" si="70"/>
        <v>0.99999999999999911</v>
      </c>
    </row>
    <row r="476" spans="1:11" x14ac:dyDescent="0.15">
      <c r="A476" s="7">
        <v>39235.503611111111</v>
      </c>
      <c r="B476">
        <v>39.5</v>
      </c>
      <c r="C476" s="6">
        <f t="shared" si="63"/>
        <v>912.00000008102506</v>
      </c>
      <c r="D476" t="str">
        <f t="shared" si="64"/>
        <v/>
      </c>
      <c r="E476" t="str">
        <f t="shared" si="71"/>
        <v xml:space="preserve"> </v>
      </c>
      <c r="F476" s="4">
        <f t="shared" si="65"/>
        <v>0</v>
      </c>
      <c r="G476" s="4">
        <f t="shared" si="66"/>
        <v>0</v>
      </c>
      <c r="H476" s="5">
        <f t="shared" si="67"/>
        <v>0</v>
      </c>
      <c r="I476" s="14">
        <f t="shared" si="68"/>
        <v>0</v>
      </c>
      <c r="J476" s="19">
        <f t="shared" si="69"/>
        <v>999299.99999999907</v>
      </c>
      <c r="K476" s="16">
        <f t="shared" si="70"/>
        <v>0.99999999999999911</v>
      </c>
    </row>
    <row r="477" spans="1:11" x14ac:dyDescent="0.15">
      <c r="A477" s="7">
        <v>39235.503634259258</v>
      </c>
      <c r="B477">
        <v>39.5</v>
      </c>
      <c r="C477" s="6">
        <f t="shared" si="63"/>
        <v>913.99999991990626</v>
      </c>
      <c r="D477" t="str">
        <f t="shared" si="64"/>
        <v/>
      </c>
      <c r="E477" t="str">
        <f t="shared" si="71"/>
        <v xml:space="preserve"> </v>
      </c>
      <c r="F477" s="4">
        <f t="shared" si="65"/>
        <v>0</v>
      </c>
      <c r="G477" s="4">
        <f t="shared" si="66"/>
        <v>0</v>
      </c>
      <c r="H477" s="5">
        <f t="shared" si="67"/>
        <v>0</v>
      </c>
      <c r="I477" s="14">
        <f t="shared" si="68"/>
        <v>0</v>
      </c>
      <c r="J477" s="19">
        <f t="shared" si="69"/>
        <v>999299.99999999907</v>
      </c>
      <c r="K477" s="16">
        <f t="shared" si="70"/>
        <v>0.99999999999999911</v>
      </c>
    </row>
    <row r="478" spans="1:11" x14ac:dyDescent="0.15">
      <c r="A478" s="7">
        <v>39235.503657407404</v>
      </c>
      <c r="B478">
        <v>39.5</v>
      </c>
      <c r="C478" s="6">
        <f t="shared" si="63"/>
        <v>915.99999975878745</v>
      </c>
      <c r="D478" t="str">
        <f t="shared" si="64"/>
        <v/>
      </c>
      <c r="E478" t="str">
        <f t="shared" si="71"/>
        <v xml:space="preserve"> </v>
      </c>
      <c r="F478" s="4">
        <f t="shared" si="65"/>
        <v>0</v>
      </c>
      <c r="G478" s="4">
        <f t="shared" si="66"/>
        <v>0</v>
      </c>
      <c r="H478" s="5">
        <f t="shared" si="67"/>
        <v>0</v>
      </c>
      <c r="I478" s="14">
        <f t="shared" si="68"/>
        <v>0</v>
      </c>
      <c r="J478" s="19">
        <f t="shared" si="69"/>
        <v>999299.99999999907</v>
      </c>
      <c r="K478" s="16">
        <f t="shared" si="70"/>
        <v>0.99999999999999911</v>
      </c>
    </row>
    <row r="479" spans="1:11" x14ac:dyDescent="0.15">
      <c r="A479" s="7">
        <v>39235.503680555557</v>
      </c>
      <c r="B479">
        <v>39.5</v>
      </c>
      <c r="C479" s="6">
        <f t="shared" si="63"/>
        <v>918.00000022631139</v>
      </c>
      <c r="D479" t="str">
        <f t="shared" si="64"/>
        <v/>
      </c>
      <c r="E479" t="str">
        <f t="shared" si="71"/>
        <v xml:space="preserve"> </v>
      </c>
      <c r="F479" s="4">
        <f t="shared" si="65"/>
        <v>0</v>
      </c>
      <c r="G479" s="4">
        <f t="shared" si="66"/>
        <v>0</v>
      </c>
      <c r="H479" s="5">
        <f t="shared" si="67"/>
        <v>0</v>
      </c>
      <c r="I479" s="14">
        <f t="shared" si="68"/>
        <v>0</v>
      </c>
      <c r="J479" s="19">
        <f t="shared" si="69"/>
        <v>999299.99999999907</v>
      </c>
      <c r="K479" s="16">
        <f t="shared" si="70"/>
        <v>0.99999999999999911</v>
      </c>
    </row>
    <row r="480" spans="1:11" x14ac:dyDescent="0.15">
      <c r="A480" s="7">
        <v>39235.503703703704</v>
      </c>
      <c r="B480">
        <v>39.5</v>
      </c>
      <c r="C480" s="6">
        <f t="shared" si="63"/>
        <v>920.00000006519258</v>
      </c>
      <c r="D480" t="str">
        <f t="shared" si="64"/>
        <v/>
      </c>
      <c r="E480" t="str">
        <f t="shared" si="71"/>
        <v xml:space="preserve"> </v>
      </c>
      <c r="F480" s="4">
        <f t="shared" si="65"/>
        <v>0</v>
      </c>
      <c r="G480" s="4">
        <f t="shared" si="66"/>
        <v>0</v>
      </c>
      <c r="H480" s="5">
        <f t="shared" si="67"/>
        <v>0</v>
      </c>
      <c r="I480" s="14">
        <f t="shared" si="68"/>
        <v>0</v>
      </c>
      <c r="J480" s="19">
        <f t="shared" si="69"/>
        <v>999299.99999999907</v>
      </c>
      <c r="K480" s="16">
        <f t="shared" si="70"/>
        <v>0.99999999999999911</v>
      </c>
    </row>
    <row r="481" spans="1:11" x14ac:dyDescent="0.15">
      <c r="A481" s="7">
        <v>39235.50372685185</v>
      </c>
      <c r="B481">
        <v>39.5</v>
      </c>
      <c r="C481" s="6">
        <f t="shared" si="63"/>
        <v>921.99999990407377</v>
      </c>
      <c r="D481" t="str">
        <f t="shared" si="64"/>
        <v/>
      </c>
      <c r="E481" t="str">
        <f t="shared" si="71"/>
        <v xml:space="preserve"> </v>
      </c>
      <c r="F481" s="4">
        <f t="shared" si="65"/>
        <v>0</v>
      </c>
      <c r="G481" s="4">
        <f t="shared" si="66"/>
        <v>0</v>
      </c>
      <c r="H481" s="5">
        <f t="shared" si="67"/>
        <v>0</v>
      </c>
      <c r="I481" s="14">
        <f t="shared" si="68"/>
        <v>0</v>
      </c>
      <c r="J481" s="19">
        <f t="shared" si="69"/>
        <v>999299.99999999907</v>
      </c>
      <c r="K481" s="16">
        <f t="shared" si="70"/>
        <v>0.99999999999999911</v>
      </c>
    </row>
    <row r="482" spans="1:11" x14ac:dyDescent="0.15">
      <c r="A482" s="7">
        <v>39235.503750000003</v>
      </c>
      <c r="B482">
        <v>39.5</v>
      </c>
      <c r="C482" s="6">
        <f t="shared" si="63"/>
        <v>924.00000037159771</v>
      </c>
      <c r="D482" t="str">
        <f t="shared" si="64"/>
        <v/>
      </c>
      <c r="E482" t="str">
        <f t="shared" si="71"/>
        <v xml:space="preserve"> </v>
      </c>
      <c r="F482" s="4">
        <f t="shared" si="65"/>
        <v>0</v>
      </c>
      <c r="G482" s="4">
        <f t="shared" si="66"/>
        <v>0</v>
      </c>
      <c r="H482" s="5">
        <f t="shared" si="67"/>
        <v>0</v>
      </c>
      <c r="I482" s="14">
        <f t="shared" si="68"/>
        <v>0</v>
      </c>
      <c r="J482" s="19">
        <f t="shared" si="69"/>
        <v>999299.99999999907</v>
      </c>
      <c r="K482" s="16">
        <f t="shared" si="70"/>
        <v>0.99999999999999911</v>
      </c>
    </row>
    <row r="483" spans="1:11" x14ac:dyDescent="0.15">
      <c r="A483" s="7">
        <v>39235.50377314815</v>
      </c>
      <c r="B483">
        <v>39.5</v>
      </c>
      <c r="C483" s="6">
        <f t="shared" si="63"/>
        <v>926.0000002104789</v>
      </c>
      <c r="D483" t="str">
        <f t="shared" si="64"/>
        <v/>
      </c>
      <c r="E483" t="str">
        <f t="shared" si="71"/>
        <v xml:space="preserve"> </v>
      </c>
      <c r="F483" s="4">
        <f t="shared" si="65"/>
        <v>0</v>
      </c>
      <c r="G483" s="4">
        <f t="shared" si="66"/>
        <v>0</v>
      </c>
      <c r="H483" s="5">
        <f t="shared" si="67"/>
        <v>0</v>
      </c>
      <c r="I483" s="14">
        <f t="shared" si="68"/>
        <v>0</v>
      </c>
      <c r="J483" s="19">
        <f t="shared" si="69"/>
        <v>999299.99999999907</v>
      </c>
      <c r="K483" s="16">
        <f t="shared" si="70"/>
        <v>0.99999999999999911</v>
      </c>
    </row>
    <row r="484" spans="1:11" x14ac:dyDescent="0.15">
      <c r="A484" s="7">
        <v>39235.503796296296</v>
      </c>
      <c r="B484">
        <v>39.5</v>
      </c>
      <c r="C484" s="6">
        <f t="shared" si="63"/>
        <v>928.0000000493601</v>
      </c>
      <c r="D484" t="str">
        <f t="shared" si="64"/>
        <v/>
      </c>
      <c r="E484" t="str">
        <f t="shared" si="71"/>
        <v xml:space="preserve"> </v>
      </c>
      <c r="F484" s="4">
        <f t="shared" si="65"/>
        <v>0</v>
      </c>
      <c r="G484" s="4">
        <f t="shared" si="66"/>
        <v>0</v>
      </c>
      <c r="H484" s="5">
        <f t="shared" si="67"/>
        <v>0</v>
      </c>
      <c r="I484" s="14">
        <f t="shared" si="68"/>
        <v>0</v>
      </c>
      <c r="J484" s="19">
        <f t="shared" si="69"/>
        <v>999299.99999999907</v>
      </c>
      <c r="K484" s="16">
        <f t="shared" si="70"/>
        <v>0.99999999999999911</v>
      </c>
    </row>
    <row r="485" spans="1:11" x14ac:dyDescent="0.15">
      <c r="A485" s="7">
        <v>39235.503819444442</v>
      </c>
      <c r="B485">
        <v>39.5</v>
      </c>
      <c r="C485" s="6">
        <f t="shared" si="63"/>
        <v>929.99999988824129</v>
      </c>
      <c r="D485" t="str">
        <f t="shared" si="64"/>
        <v/>
      </c>
      <c r="E485" t="str">
        <f t="shared" si="71"/>
        <v xml:space="preserve"> </v>
      </c>
      <c r="F485" s="4">
        <f t="shared" si="65"/>
        <v>0</v>
      </c>
      <c r="G485" s="4">
        <f t="shared" si="66"/>
        <v>0</v>
      </c>
      <c r="H485" s="5">
        <f t="shared" si="67"/>
        <v>0</v>
      </c>
      <c r="I485" s="14">
        <f t="shared" si="68"/>
        <v>0</v>
      </c>
      <c r="J485" s="19">
        <f t="shared" si="69"/>
        <v>999299.99999999907</v>
      </c>
      <c r="K485" s="16">
        <f t="shared" si="70"/>
        <v>0.99999999999999911</v>
      </c>
    </row>
    <row r="486" spans="1:11" x14ac:dyDescent="0.15">
      <c r="A486" s="7">
        <v>39235.503842592596</v>
      </c>
      <c r="B486">
        <v>39.5</v>
      </c>
      <c r="C486" s="6">
        <f t="shared" si="63"/>
        <v>932.00000035576522</v>
      </c>
      <c r="D486" t="str">
        <f t="shared" si="64"/>
        <v/>
      </c>
      <c r="E486" t="str">
        <f t="shared" si="71"/>
        <v xml:space="preserve"> </v>
      </c>
      <c r="F486" s="4">
        <f t="shared" si="65"/>
        <v>0</v>
      </c>
      <c r="G486" s="4">
        <f t="shared" si="66"/>
        <v>0</v>
      </c>
      <c r="H486" s="5">
        <f t="shared" si="67"/>
        <v>0</v>
      </c>
      <c r="I486" s="14">
        <f t="shared" si="68"/>
        <v>0</v>
      </c>
      <c r="J486" s="19">
        <f t="shared" si="69"/>
        <v>999299.99999999907</v>
      </c>
      <c r="K486" s="16">
        <f t="shared" si="70"/>
        <v>0.99999999999999911</v>
      </c>
    </row>
    <row r="487" spans="1:11" x14ac:dyDescent="0.15">
      <c r="A487" s="7">
        <v>39235.503865740742</v>
      </c>
      <c r="B487">
        <v>39.5</v>
      </c>
      <c r="C487" s="6">
        <f t="shared" si="63"/>
        <v>934.00000019464642</v>
      </c>
      <c r="D487" t="str">
        <f t="shared" si="64"/>
        <v/>
      </c>
      <c r="E487" t="str">
        <f t="shared" si="71"/>
        <v xml:space="preserve"> </v>
      </c>
      <c r="F487" s="4">
        <f t="shared" si="65"/>
        <v>0</v>
      </c>
      <c r="G487" s="4">
        <f t="shared" si="66"/>
        <v>0</v>
      </c>
      <c r="H487" s="5">
        <f t="shared" si="67"/>
        <v>0</v>
      </c>
      <c r="I487" s="14">
        <f t="shared" si="68"/>
        <v>0</v>
      </c>
      <c r="J487" s="19">
        <f t="shared" si="69"/>
        <v>999299.99999999907</v>
      </c>
      <c r="K487" s="16">
        <f t="shared" si="70"/>
        <v>0.99999999999999911</v>
      </c>
    </row>
    <row r="488" spans="1:11" x14ac:dyDescent="0.15">
      <c r="A488" s="7">
        <v>39235.503888888888</v>
      </c>
      <c r="B488">
        <v>39.5</v>
      </c>
      <c r="C488" s="6">
        <f t="shared" ref="C488:C551" si="72">(A488-$B$4)*24*60*60</f>
        <v>936.00000003352761</v>
      </c>
      <c r="D488" t="str">
        <f t="shared" ref="D488:D551" si="73">IF(F488=$B$8,A488,"")</f>
        <v/>
      </c>
      <c r="E488" t="str">
        <f t="shared" si="71"/>
        <v xml:space="preserve"> </v>
      </c>
      <c r="F488" s="4">
        <f t="shared" ref="F488:F551" si="74">IF((B488-$B$6)&gt;0,B488-$B$6,0)</f>
        <v>0</v>
      </c>
      <c r="G488" s="4">
        <f t="shared" ref="G488:G551" si="75">F488/2</f>
        <v>0</v>
      </c>
      <c r="H488" s="5">
        <f t="shared" ref="H488:H551" si="76">AVERAGE(G487:G488)*(C488-C487)</f>
        <v>0</v>
      </c>
      <c r="I488" s="14">
        <f t="shared" ref="I488:I551" si="77">H488*$B$14</f>
        <v>0</v>
      </c>
      <c r="J488" s="19">
        <f t="shared" ref="J488:J551" si="78">J487+I488</f>
        <v>999299.99999999907</v>
      </c>
      <c r="K488" s="16">
        <f t="shared" ref="K488:K551" si="79">J488/($B$12*1000)</f>
        <v>0.99999999999999911</v>
      </c>
    </row>
    <row r="489" spans="1:11" x14ac:dyDescent="0.15">
      <c r="A489" s="7">
        <v>39235.503912037035</v>
      </c>
      <c r="B489">
        <v>39.5</v>
      </c>
      <c r="C489" s="6">
        <f t="shared" si="72"/>
        <v>937.99999987240881</v>
      </c>
      <c r="D489" t="str">
        <f t="shared" si="73"/>
        <v/>
      </c>
      <c r="E489" t="str">
        <f t="shared" si="71"/>
        <v xml:space="preserve"> </v>
      </c>
      <c r="F489" s="4">
        <f t="shared" si="74"/>
        <v>0</v>
      </c>
      <c r="G489" s="4">
        <f t="shared" si="75"/>
        <v>0</v>
      </c>
      <c r="H489" s="5">
        <f t="shared" si="76"/>
        <v>0</v>
      </c>
      <c r="I489" s="14">
        <f t="shared" si="77"/>
        <v>0</v>
      </c>
      <c r="J489" s="19">
        <f t="shared" si="78"/>
        <v>999299.99999999907</v>
      </c>
      <c r="K489" s="16">
        <f t="shared" si="79"/>
        <v>0.99999999999999911</v>
      </c>
    </row>
    <row r="490" spans="1:11" x14ac:dyDescent="0.15">
      <c r="A490" s="7">
        <v>39235.503935185188</v>
      </c>
      <c r="B490">
        <v>39.5</v>
      </c>
      <c r="C490" s="6">
        <f t="shared" si="72"/>
        <v>940.00000033993274</v>
      </c>
      <c r="D490" t="str">
        <f t="shared" si="73"/>
        <v/>
      </c>
      <c r="E490" t="str">
        <f t="shared" si="71"/>
        <v xml:space="preserve"> </v>
      </c>
      <c r="F490" s="4">
        <f t="shared" si="74"/>
        <v>0</v>
      </c>
      <c r="G490" s="4">
        <f t="shared" si="75"/>
        <v>0</v>
      </c>
      <c r="H490" s="5">
        <f t="shared" si="76"/>
        <v>0</v>
      </c>
      <c r="I490" s="14">
        <f t="shared" si="77"/>
        <v>0</v>
      </c>
      <c r="J490" s="19">
        <f t="shared" si="78"/>
        <v>999299.99999999907</v>
      </c>
      <c r="K490" s="16">
        <f t="shared" si="79"/>
        <v>0.99999999999999911</v>
      </c>
    </row>
    <row r="491" spans="1:11" x14ac:dyDescent="0.15">
      <c r="A491" s="7">
        <v>39235.503958333335</v>
      </c>
      <c r="B491">
        <v>39.5</v>
      </c>
      <c r="C491" s="6">
        <f t="shared" si="72"/>
        <v>942.00000017881393</v>
      </c>
      <c r="D491" t="str">
        <f t="shared" si="73"/>
        <v/>
      </c>
      <c r="E491" t="str">
        <f t="shared" si="71"/>
        <v xml:space="preserve"> </v>
      </c>
      <c r="F491" s="4">
        <f t="shared" si="74"/>
        <v>0</v>
      </c>
      <c r="G491" s="4">
        <f t="shared" si="75"/>
        <v>0</v>
      </c>
      <c r="H491" s="5">
        <f t="shared" si="76"/>
        <v>0</v>
      </c>
      <c r="I491" s="14">
        <f t="shared" si="77"/>
        <v>0</v>
      </c>
      <c r="J491" s="19">
        <f t="shared" si="78"/>
        <v>999299.99999999907</v>
      </c>
      <c r="K491" s="16">
        <f t="shared" si="79"/>
        <v>0.99999999999999911</v>
      </c>
    </row>
    <row r="492" spans="1:11" x14ac:dyDescent="0.15">
      <c r="A492" s="7">
        <v>39235.503981481481</v>
      </c>
      <c r="B492">
        <v>39.5</v>
      </c>
      <c r="C492" s="6">
        <f t="shared" si="72"/>
        <v>944.00000001769513</v>
      </c>
      <c r="D492" t="str">
        <f t="shared" si="73"/>
        <v/>
      </c>
      <c r="E492" t="str">
        <f t="shared" si="71"/>
        <v xml:space="preserve"> </v>
      </c>
      <c r="F492" s="4">
        <f t="shared" si="74"/>
        <v>0</v>
      </c>
      <c r="G492" s="4">
        <f t="shared" si="75"/>
        <v>0</v>
      </c>
      <c r="H492" s="5">
        <f t="shared" si="76"/>
        <v>0</v>
      </c>
      <c r="I492" s="14">
        <f t="shared" si="77"/>
        <v>0</v>
      </c>
      <c r="J492" s="19">
        <f t="shared" si="78"/>
        <v>999299.99999999907</v>
      </c>
      <c r="K492" s="16">
        <f t="shared" si="79"/>
        <v>0.99999999999999911</v>
      </c>
    </row>
    <row r="493" spans="1:11" x14ac:dyDescent="0.15">
      <c r="A493" s="7">
        <v>39235.504004629627</v>
      </c>
      <c r="B493">
        <v>39.5</v>
      </c>
      <c r="C493" s="6">
        <f t="shared" si="72"/>
        <v>945.99999985657632</v>
      </c>
      <c r="D493" t="str">
        <f t="shared" si="73"/>
        <v/>
      </c>
      <c r="E493" t="str">
        <f t="shared" si="71"/>
        <v xml:space="preserve"> </v>
      </c>
      <c r="F493" s="4">
        <f t="shared" si="74"/>
        <v>0</v>
      </c>
      <c r="G493" s="4">
        <f t="shared" si="75"/>
        <v>0</v>
      </c>
      <c r="H493" s="5">
        <f t="shared" si="76"/>
        <v>0</v>
      </c>
      <c r="I493" s="14">
        <f t="shared" si="77"/>
        <v>0</v>
      </c>
      <c r="J493" s="19">
        <f t="shared" si="78"/>
        <v>999299.99999999907</v>
      </c>
      <c r="K493" s="16">
        <f t="shared" si="79"/>
        <v>0.99999999999999911</v>
      </c>
    </row>
    <row r="494" spans="1:11" x14ac:dyDescent="0.15">
      <c r="A494" s="7">
        <v>39235.504027777781</v>
      </c>
      <c r="B494">
        <v>39.6</v>
      </c>
      <c r="C494" s="6">
        <f t="shared" si="72"/>
        <v>948.00000032410026</v>
      </c>
      <c r="D494" t="str">
        <f t="shared" si="73"/>
        <v/>
      </c>
      <c r="E494" t="str">
        <f t="shared" si="71"/>
        <v xml:space="preserve"> </v>
      </c>
      <c r="F494" s="4">
        <f t="shared" si="74"/>
        <v>0</v>
      </c>
      <c r="G494" s="4">
        <f t="shared" si="75"/>
        <v>0</v>
      </c>
      <c r="H494" s="5">
        <f t="shared" si="76"/>
        <v>0</v>
      </c>
      <c r="I494" s="14">
        <f t="shared" si="77"/>
        <v>0</v>
      </c>
      <c r="J494" s="19">
        <f t="shared" si="78"/>
        <v>999299.99999999907</v>
      </c>
      <c r="K494" s="16">
        <f t="shared" si="79"/>
        <v>0.99999999999999911</v>
      </c>
    </row>
    <row r="495" spans="1:11" x14ac:dyDescent="0.15">
      <c r="A495" s="7">
        <v>39235.504050925927</v>
      </c>
      <c r="B495">
        <v>39.5</v>
      </c>
      <c r="C495" s="6">
        <f t="shared" si="72"/>
        <v>950.00000016298145</v>
      </c>
      <c r="D495" t="str">
        <f t="shared" si="73"/>
        <v/>
      </c>
      <c r="E495" t="str">
        <f t="shared" si="71"/>
        <v xml:space="preserve"> </v>
      </c>
      <c r="F495" s="4">
        <f t="shared" si="74"/>
        <v>0</v>
      </c>
      <c r="G495" s="4">
        <f t="shared" si="75"/>
        <v>0</v>
      </c>
      <c r="H495" s="5">
        <f t="shared" si="76"/>
        <v>0</v>
      </c>
      <c r="I495" s="14">
        <f t="shared" si="77"/>
        <v>0</v>
      </c>
      <c r="J495" s="19">
        <f t="shared" si="78"/>
        <v>999299.99999999907</v>
      </c>
      <c r="K495" s="16">
        <f t="shared" si="79"/>
        <v>0.99999999999999911</v>
      </c>
    </row>
    <row r="496" spans="1:11" x14ac:dyDescent="0.15">
      <c r="A496" s="7">
        <v>39235.504074074073</v>
      </c>
      <c r="B496">
        <v>39.5</v>
      </c>
      <c r="C496" s="6">
        <f t="shared" si="72"/>
        <v>952.00000000186265</v>
      </c>
      <c r="D496" t="str">
        <f t="shared" si="73"/>
        <v/>
      </c>
      <c r="E496" t="str">
        <f t="shared" si="71"/>
        <v xml:space="preserve"> </v>
      </c>
      <c r="F496" s="4">
        <f t="shared" si="74"/>
        <v>0</v>
      </c>
      <c r="G496" s="4">
        <f t="shared" si="75"/>
        <v>0</v>
      </c>
      <c r="H496" s="5">
        <f t="shared" si="76"/>
        <v>0</v>
      </c>
      <c r="I496" s="14">
        <f t="shared" si="77"/>
        <v>0</v>
      </c>
      <c r="J496" s="19">
        <f t="shared" si="78"/>
        <v>999299.99999999907</v>
      </c>
      <c r="K496" s="16">
        <f t="shared" si="79"/>
        <v>0.99999999999999911</v>
      </c>
    </row>
    <row r="497" spans="1:11" x14ac:dyDescent="0.15">
      <c r="A497" s="7">
        <v>39235.50409722222</v>
      </c>
      <c r="B497">
        <v>39.5</v>
      </c>
      <c r="C497" s="6">
        <f t="shared" si="72"/>
        <v>953.99999984074384</v>
      </c>
      <c r="D497" t="str">
        <f t="shared" si="73"/>
        <v/>
      </c>
      <c r="E497" t="str">
        <f t="shared" si="71"/>
        <v xml:space="preserve"> </v>
      </c>
      <c r="F497" s="4">
        <f t="shared" si="74"/>
        <v>0</v>
      </c>
      <c r="G497" s="4">
        <f t="shared" si="75"/>
        <v>0</v>
      </c>
      <c r="H497" s="5">
        <f t="shared" si="76"/>
        <v>0</v>
      </c>
      <c r="I497" s="14">
        <f t="shared" si="77"/>
        <v>0</v>
      </c>
      <c r="J497" s="19">
        <f t="shared" si="78"/>
        <v>999299.99999999907</v>
      </c>
      <c r="K497" s="16">
        <f t="shared" si="79"/>
        <v>0.99999999999999911</v>
      </c>
    </row>
    <row r="498" spans="1:11" x14ac:dyDescent="0.15">
      <c r="A498" s="7">
        <v>39235.504120370373</v>
      </c>
      <c r="B498">
        <v>39.5</v>
      </c>
      <c r="C498" s="6">
        <f t="shared" si="72"/>
        <v>956.00000030826777</v>
      </c>
      <c r="D498" t="str">
        <f t="shared" si="73"/>
        <v/>
      </c>
      <c r="E498" t="str">
        <f t="shared" si="71"/>
        <v xml:space="preserve"> </v>
      </c>
      <c r="F498" s="4">
        <f t="shared" si="74"/>
        <v>0</v>
      </c>
      <c r="G498" s="4">
        <f t="shared" si="75"/>
        <v>0</v>
      </c>
      <c r="H498" s="5">
        <f t="shared" si="76"/>
        <v>0</v>
      </c>
      <c r="I498" s="14">
        <f t="shared" si="77"/>
        <v>0</v>
      </c>
      <c r="J498" s="19">
        <f t="shared" si="78"/>
        <v>999299.99999999907</v>
      </c>
      <c r="K498" s="16">
        <f t="shared" si="79"/>
        <v>0.99999999999999911</v>
      </c>
    </row>
    <row r="499" spans="1:11" x14ac:dyDescent="0.15">
      <c r="A499" s="7">
        <v>39235.504143518519</v>
      </c>
      <c r="B499">
        <v>39.5</v>
      </c>
      <c r="C499" s="6">
        <f t="shared" si="72"/>
        <v>958.00000014714897</v>
      </c>
      <c r="D499" t="str">
        <f t="shared" si="73"/>
        <v/>
      </c>
      <c r="E499" t="str">
        <f t="shared" si="71"/>
        <v xml:space="preserve"> </v>
      </c>
      <c r="F499" s="4">
        <f t="shared" si="74"/>
        <v>0</v>
      </c>
      <c r="G499" s="4">
        <f t="shared" si="75"/>
        <v>0</v>
      </c>
      <c r="H499" s="5">
        <f t="shared" si="76"/>
        <v>0</v>
      </c>
      <c r="I499" s="14">
        <f t="shared" si="77"/>
        <v>0</v>
      </c>
      <c r="J499" s="19">
        <f t="shared" si="78"/>
        <v>999299.99999999907</v>
      </c>
      <c r="K499" s="16">
        <f t="shared" si="79"/>
        <v>0.99999999999999911</v>
      </c>
    </row>
    <row r="500" spans="1:11" x14ac:dyDescent="0.15">
      <c r="A500" s="7">
        <v>39235.504166666666</v>
      </c>
      <c r="B500">
        <v>39.5</v>
      </c>
      <c r="C500" s="6">
        <f t="shared" si="72"/>
        <v>959.99999998603016</v>
      </c>
      <c r="D500" t="str">
        <f t="shared" si="73"/>
        <v/>
      </c>
      <c r="E500" t="str">
        <f t="shared" si="71"/>
        <v xml:space="preserve"> </v>
      </c>
      <c r="F500" s="4">
        <f t="shared" si="74"/>
        <v>0</v>
      </c>
      <c r="G500" s="4">
        <f t="shared" si="75"/>
        <v>0</v>
      </c>
      <c r="H500" s="5">
        <f t="shared" si="76"/>
        <v>0</v>
      </c>
      <c r="I500" s="14">
        <f t="shared" si="77"/>
        <v>0</v>
      </c>
      <c r="J500" s="19">
        <f t="shared" si="78"/>
        <v>999299.99999999907</v>
      </c>
      <c r="K500" s="16">
        <f t="shared" si="79"/>
        <v>0.99999999999999911</v>
      </c>
    </row>
    <row r="501" spans="1:11" x14ac:dyDescent="0.15">
      <c r="A501" s="7">
        <v>39235.504189814812</v>
      </c>
      <c r="B501">
        <v>39.5</v>
      </c>
      <c r="C501" s="6">
        <f t="shared" si="72"/>
        <v>961.99999982491136</v>
      </c>
      <c r="D501" t="str">
        <f t="shared" si="73"/>
        <v/>
      </c>
      <c r="E501" t="str">
        <f t="shared" si="71"/>
        <v xml:space="preserve"> </v>
      </c>
      <c r="F501" s="4">
        <f t="shared" si="74"/>
        <v>0</v>
      </c>
      <c r="G501" s="4">
        <f t="shared" si="75"/>
        <v>0</v>
      </c>
      <c r="H501" s="5">
        <f t="shared" si="76"/>
        <v>0</v>
      </c>
      <c r="I501" s="14">
        <f t="shared" si="77"/>
        <v>0</v>
      </c>
      <c r="J501" s="19">
        <f t="shared" si="78"/>
        <v>999299.99999999907</v>
      </c>
      <c r="K501" s="16">
        <f t="shared" si="79"/>
        <v>0.99999999999999911</v>
      </c>
    </row>
    <row r="502" spans="1:11" x14ac:dyDescent="0.15">
      <c r="A502" s="7">
        <v>39235.504212962966</v>
      </c>
      <c r="B502">
        <v>39.5</v>
      </c>
      <c r="C502" s="6">
        <f t="shared" si="72"/>
        <v>964.00000029243529</v>
      </c>
      <c r="D502" t="str">
        <f t="shared" si="73"/>
        <v/>
      </c>
      <c r="E502" t="str">
        <f t="shared" si="71"/>
        <v xml:space="preserve"> </v>
      </c>
      <c r="F502" s="4">
        <f t="shared" si="74"/>
        <v>0</v>
      </c>
      <c r="G502" s="4">
        <f t="shared" si="75"/>
        <v>0</v>
      </c>
      <c r="H502" s="5">
        <f t="shared" si="76"/>
        <v>0</v>
      </c>
      <c r="I502" s="14">
        <f t="shared" si="77"/>
        <v>0</v>
      </c>
      <c r="J502" s="19">
        <f t="shared" si="78"/>
        <v>999299.99999999907</v>
      </c>
      <c r="K502" s="16">
        <f t="shared" si="79"/>
        <v>0.99999999999999911</v>
      </c>
    </row>
    <row r="503" spans="1:11" x14ac:dyDescent="0.15">
      <c r="A503" s="7">
        <v>39235.504236111112</v>
      </c>
      <c r="B503">
        <v>39.5</v>
      </c>
      <c r="C503" s="6">
        <f t="shared" si="72"/>
        <v>966.00000013131648</v>
      </c>
      <c r="D503" t="str">
        <f t="shared" si="73"/>
        <v/>
      </c>
      <c r="E503" t="str">
        <f t="shared" si="71"/>
        <v xml:space="preserve"> </v>
      </c>
      <c r="F503" s="4">
        <f t="shared" si="74"/>
        <v>0</v>
      </c>
      <c r="G503" s="4">
        <f t="shared" si="75"/>
        <v>0</v>
      </c>
      <c r="H503" s="5">
        <f t="shared" si="76"/>
        <v>0</v>
      </c>
      <c r="I503" s="14">
        <f t="shared" si="77"/>
        <v>0</v>
      </c>
      <c r="J503" s="19">
        <f t="shared" si="78"/>
        <v>999299.99999999907</v>
      </c>
      <c r="K503" s="16">
        <f t="shared" si="79"/>
        <v>0.99999999999999911</v>
      </c>
    </row>
    <row r="504" spans="1:11" x14ac:dyDescent="0.15">
      <c r="A504" s="7">
        <v>39235.504259259258</v>
      </c>
      <c r="B504">
        <v>39.5</v>
      </c>
      <c r="C504" s="6">
        <f t="shared" si="72"/>
        <v>967.99999997019768</v>
      </c>
      <c r="D504" t="str">
        <f t="shared" si="73"/>
        <v/>
      </c>
      <c r="E504" t="str">
        <f t="shared" si="71"/>
        <v xml:space="preserve"> </v>
      </c>
      <c r="F504" s="4">
        <f t="shared" si="74"/>
        <v>0</v>
      </c>
      <c r="G504" s="4">
        <f t="shared" si="75"/>
        <v>0</v>
      </c>
      <c r="H504" s="5">
        <f t="shared" si="76"/>
        <v>0</v>
      </c>
      <c r="I504" s="14">
        <f t="shared" si="77"/>
        <v>0</v>
      </c>
      <c r="J504" s="19">
        <f t="shared" si="78"/>
        <v>999299.99999999907</v>
      </c>
      <c r="K504" s="16">
        <f t="shared" si="79"/>
        <v>0.99999999999999911</v>
      </c>
    </row>
    <row r="505" spans="1:11" x14ac:dyDescent="0.15">
      <c r="A505" s="7">
        <v>39235.504282407404</v>
      </c>
      <c r="B505">
        <v>39.5</v>
      </c>
      <c r="C505" s="6">
        <f t="shared" si="72"/>
        <v>969.99999980907887</v>
      </c>
      <c r="D505" t="str">
        <f t="shared" si="73"/>
        <v/>
      </c>
      <c r="E505" t="str">
        <f t="shared" si="71"/>
        <v xml:space="preserve"> </v>
      </c>
      <c r="F505" s="4">
        <f t="shared" si="74"/>
        <v>0</v>
      </c>
      <c r="G505" s="4">
        <f t="shared" si="75"/>
        <v>0</v>
      </c>
      <c r="H505" s="5">
        <f t="shared" si="76"/>
        <v>0</v>
      </c>
      <c r="I505" s="14">
        <f t="shared" si="77"/>
        <v>0</v>
      </c>
      <c r="J505" s="19">
        <f t="shared" si="78"/>
        <v>999299.99999999907</v>
      </c>
      <c r="K505" s="16">
        <f t="shared" si="79"/>
        <v>0.99999999999999911</v>
      </c>
    </row>
    <row r="506" spans="1:11" x14ac:dyDescent="0.15">
      <c r="A506" s="7">
        <v>39235.504305555558</v>
      </c>
      <c r="B506">
        <v>39.5</v>
      </c>
      <c r="C506" s="6">
        <f t="shared" si="72"/>
        <v>972.0000002766028</v>
      </c>
      <c r="D506" t="str">
        <f t="shared" si="73"/>
        <v/>
      </c>
      <c r="E506" t="str">
        <f t="shared" si="71"/>
        <v xml:space="preserve"> </v>
      </c>
      <c r="F506" s="4">
        <f t="shared" si="74"/>
        <v>0</v>
      </c>
      <c r="G506" s="4">
        <f t="shared" si="75"/>
        <v>0</v>
      </c>
      <c r="H506" s="5">
        <f t="shared" si="76"/>
        <v>0</v>
      </c>
      <c r="I506" s="14">
        <f t="shared" si="77"/>
        <v>0</v>
      </c>
      <c r="J506" s="19">
        <f t="shared" si="78"/>
        <v>999299.99999999907</v>
      </c>
      <c r="K506" s="16">
        <f t="shared" si="79"/>
        <v>0.99999999999999911</v>
      </c>
    </row>
    <row r="507" spans="1:11" x14ac:dyDescent="0.15">
      <c r="A507" s="7">
        <v>39235.504328703704</v>
      </c>
      <c r="B507">
        <v>39.5</v>
      </c>
      <c r="C507" s="6">
        <f t="shared" si="72"/>
        <v>974.000000115484</v>
      </c>
      <c r="D507" t="str">
        <f t="shared" si="73"/>
        <v/>
      </c>
      <c r="E507" t="str">
        <f t="shared" si="71"/>
        <v xml:space="preserve"> </v>
      </c>
      <c r="F507" s="4">
        <f t="shared" si="74"/>
        <v>0</v>
      </c>
      <c r="G507" s="4">
        <f t="shared" si="75"/>
        <v>0</v>
      </c>
      <c r="H507" s="5">
        <f t="shared" si="76"/>
        <v>0</v>
      </c>
      <c r="I507" s="14">
        <f t="shared" si="77"/>
        <v>0</v>
      </c>
      <c r="J507" s="19">
        <f t="shared" si="78"/>
        <v>999299.99999999907</v>
      </c>
      <c r="K507" s="16">
        <f t="shared" si="79"/>
        <v>0.99999999999999911</v>
      </c>
    </row>
    <row r="508" spans="1:11" x14ac:dyDescent="0.15">
      <c r="A508" s="7">
        <v>39235.504351851851</v>
      </c>
      <c r="B508">
        <v>39.5</v>
      </c>
      <c r="C508" s="6">
        <f t="shared" si="72"/>
        <v>975.99999995436519</v>
      </c>
      <c r="D508" t="str">
        <f t="shared" si="73"/>
        <v/>
      </c>
      <c r="E508" t="str">
        <f t="shared" si="71"/>
        <v xml:space="preserve"> </v>
      </c>
      <c r="F508" s="4">
        <f t="shared" si="74"/>
        <v>0</v>
      </c>
      <c r="G508" s="4">
        <f t="shared" si="75"/>
        <v>0</v>
      </c>
      <c r="H508" s="5">
        <f t="shared" si="76"/>
        <v>0</v>
      </c>
      <c r="I508" s="14">
        <f t="shared" si="77"/>
        <v>0</v>
      </c>
      <c r="J508" s="19">
        <f t="shared" si="78"/>
        <v>999299.99999999907</v>
      </c>
      <c r="K508" s="16">
        <f t="shared" si="79"/>
        <v>0.99999999999999911</v>
      </c>
    </row>
    <row r="509" spans="1:11" x14ac:dyDescent="0.15">
      <c r="A509" s="7">
        <v>39235.504374999997</v>
      </c>
      <c r="B509">
        <v>39.5</v>
      </c>
      <c r="C509" s="6">
        <f t="shared" si="72"/>
        <v>977.99999979324639</v>
      </c>
      <c r="D509" t="str">
        <f t="shared" si="73"/>
        <v/>
      </c>
      <c r="E509" t="str">
        <f t="shared" si="71"/>
        <v xml:space="preserve"> </v>
      </c>
      <c r="F509" s="4">
        <f t="shared" si="74"/>
        <v>0</v>
      </c>
      <c r="G509" s="4">
        <f t="shared" si="75"/>
        <v>0</v>
      </c>
      <c r="H509" s="5">
        <f t="shared" si="76"/>
        <v>0</v>
      </c>
      <c r="I509" s="14">
        <f t="shared" si="77"/>
        <v>0</v>
      </c>
      <c r="J509" s="19">
        <f t="shared" si="78"/>
        <v>999299.99999999907</v>
      </c>
      <c r="K509" s="16">
        <f t="shared" si="79"/>
        <v>0.99999999999999911</v>
      </c>
    </row>
    <row r="510" spans="1:11" x14ac:dyDescent="0.15">
      <c r="A510" s="7">
        <v>39235.50439814815</v>
      </c>
      <c r="B510">
        <v>39.5</v>
      </c>
      <c r="C510" s="6">
        <f t="shared" si="72"/>
        <v>980.00000026077032</v>
      </c>
      <c r="D510" t="str">
        <f t="shared" si="73"/>
        <v/>
      </c>
      <c r="E510" t="str">
        <f t="shared" si="71"/>
        <v xml:space="preserve"> </v>
      </c>
      <c r="F510" s="4">
        <f t="shared" si="74"/>
        <v>0</v>
      </c>
      <c r="G510" s="4">
        <f t="shared" si="75"/>
        <v>0</v>
      </c>
      <c r="H510" s="5">
        <f t="shared" si="76"/>
        <v>0</v>
      </c>
      <c r="I510" s="14">
        <f t="shared" si="77"/>
        <v>0</v>
      </c>
      <c r="J510" s="19">
        <f t="shared" si="78"/>
        <v>999299.99999999907</v>
      </c>
      <c r="K510" s="16">
        <f t="shared" si="79"/>
        <v>0.99999999999999911</v>
      </c>
    </row>
    <row r="511" spans="1:11" x14ac:dyDescent="0.15">
      <c r="A511" s="7">
        <v>39235.504421296297</v>
      </c>
      <c r="B511">
        <v>39.5</v>
      </c>
      <c r="C511" s="6">
        <f t="shared" si="72"/>
        <v>982.00000009965152</v>
      </c>
      <c r="D511" t="str">
        <f t="shared" si="73"/>
        <v/>
      </c>
      <c r="E511" t="str">
        <f t="shared" si="71"/>
        <v xml:space="preserve"> </v>
      </c>
      <c r="F511" s="4">
        <f t="shared" si="74"/>
        <v>0</v>
      </c>
      <c r="G511" s="4">
        <f t="shared" si="75"/>
        <v>0</v>
      </c>
      <c r="H511" s="5">
        <f t="shared" si="76"/>
        <v>0</v>
      </c>
      <c r="I511" s="14">
        <f t="shared" si="77"/>
        <v>0</v>
      </c>
      <c r="J511" s="19">
        <f t="shared" si="78"/>
        <v>999299.99999999907</v>
      </c>
      <c r="K511" s="16">
        <f t="shared" si="79"/>
        <v>0.99999999999999911</v>
      </c>
    </row>
    <row r="512" spans="1:11" x14ac:dyDescent="0.15">
      <c r="A512" s="7">
        <v>39235.504444444443</v>
      </c>
      <c r="B512">
        <v>39.5</v>
      </c>
      <c r="C512" s="6">
        <f t="shared" si="72"/>
        <v>983.99999993853271</v>
      </c>
      <c r="D512" t="str">
        <f t="shared" si="73"/>
        <v/>
      </c>
      <c r="E512" t="str">
        <f t="shared" si="71"/>
        <v xml:space="preserve"> </v>
      </c>
      <c r="F512" s="4">
        <f t="shared" si="74"/>
        <v>0</v>
      </c>
      <c r="G512" s="4">
        <f t="shared" si="75"/>
        <v>0</v>
      </c>
      <c r="H512" s="5">
        <f t="shared" si="76"/>
        <v>0</v>
      </c>
      <c r="I512" s="14">
        <f t="shared" si="77"/>
        <v>0</v>
      </c>
      <c r="J512" s="19">
        <f t="shared" si="78"/>
        <v>999299.99999999907</v>
      </c>
      <c r="K512" s="16">
        <f t="shared" si="79"/>
        <v>0.99999999999999911</v>
      </c>
    </row>
    <row r="513" spans="1:11" x14ac:dyDescent="0.15">
      <c r="A513" s="7">
        <v>39235.504467592589</v>
      </c>
      <c r="B513">
        <v>39.5</v>
      </c>
      <c r="C513" s="6">
        <f t="shared" si="72"/>
        <v>985.9999997774139</v>
      </c>
      <c r="D513" t="str">
        <f t="shared" si="73"/>
        <v/>
      </c>
      <c r="E513" t="str">
        <f t="shared" si="71"/>
        <v xml:space="preserve"> </v>
      </c>
      <c r="F513" s="4">
        <f t="shared" si="74"/>
        <v>0</v>
      </c>
      <c r="G513" s="4">
        <f t="shared" si="75"/>
        <v>0</v>
      </c>
      <c r="H513" s="5">
        <f t="shared" si="76"/>
        <v>0</v>
      </c>
      <c r="I513" s="14">
        <f t="shared" si="77"/>
        <v>0</v>
      </c>
      <c r="J513" s="19">
        <f t="shared" si="78"/>
        <v>999299.99999999907</v>
      </c>
      <c r="K513" s="16">
        <f t="shared" si="79"/>
        <v>0.99999999999999911</v>
      </c>
    </row>
    <row r="514" spans="1:11" x14ac:dyDescent="0.15">
      <c r="A514" s="7">
        <v>39235.504490740743</v>
      </c>
      <c r="B514">
        <v>39.5</v>
      </c>
      <c r="C514" s="6">
        <f t="shared" si="72"/>
        <v>988.00000024493784</v>
      </c>
      <c r="D514" t="str">
        <f t="shared" si="73"/>
        <v/>
      </c>
      <c r="E514" t="str">
        <f t="shared" si="71"/>
        <v xml:space="preserve"> </v>
      </c>
      <c r="F514" s="4">
        <f t="shared" si="74"/>
        <v>0</v>
      </c>
      <c r="G514" s="4">
        <f t="shared" si="75"/>
        <v>0</v>
      </c>
      <c r="H514" s="5">
        <f t="shared" si="76"/>
        <v>0</v>
      </c>
      <c r="I514" s="14">
        <f t="shared" si="77"/>
        <v>0</v>
      </c>
      <c r="J514" s="19">
        <f t="shared" si="78"/>
        <v>999299.99999999907</v>
      </c>
      <c r="K514" s="16">
        <f t="shared" si="79"/>
        <v>0.99999999999999911</v>
      </c>
    </row>
    <row r="515" spans="1:11" x14ac:dyDescent="0.15">
      <c r="A515" s="7">
        <v>39235.504513888889</v>
      </c>
      <c r="B515">
        <v>39.5</v>
      </c>
      <c r="C515" s="6">
        <f t="shared" si="72"/>
        <v>990.00000008381903</v>
      </c>
      <c r="D515" t="str">
        <f t="shared" si="73"/>
        <v/>
      </c>
      <c r="E515" t="str">
        <f t="shared" si="71"/>
        <v xml:space="preserve"> </v>
      </c>
      <c r="F515" s="4">
        <f t="shared" si="74"/>
        <v>0</v>
      </c>
      <c r="G515" s="4">
        <f t="shared" si="75"/>
        <v>0</v>
      </c>
      <c r="H515" s="5">
        <f t="shared" si="76"/>
        <v>0</v>
      </c>
      <c r="I515" s="14">
        <f t="shared" si="77"/>
        <v>0</v>
      </c>
      <c r="J515" s="19">
        <f t="shared" si="78"/>
        <v>999299.99999999907</v>
      </c>
      <c r="K515" s="16">
        <f t="shared" si="79"/>
        <v>0.99999999999999911</v>
      </c>
    </row>
    <row r="516" spans="1:11" x14ac:dyDescent="0.15">
      <c r="A516" s="7">
        <v>39235.504537037035</v>
      </c>
      <c r="B516">
        <v>39.5</v>
      </c>
      <c r="C516" s="6">
        <f t="shared" si="72"/>
        <v>991.99999992270023</v>
      </c>
      <c r="D516" t="str">
        <f t="shared" si="73"/>
        <v/>
      </c>
      <c r="E516" t="str">
        <f t="shared" si="71"/>
        <v xml:space="preserve"> </v>
      </c>
      <c r="F516" s="4">
        <f t="shared" si="74"/>
        <v>0</v>
      </c>
      <c r="G516" s="4">
        <f t="shared" si="75"/>
        <v>0</v>
      </c>
      <c r="H516" s="5">
        <f t="shared" si="76"/>
        <v>0</v>
      </c>
      <c r="I516" s="14">
        <f t="shared" si="77"/>
        <v>0</v>
      </c>
      <c r="J516" s="19">
        <f t="shared" si="78"/>
        <v>999299.99999999907</v>
      </c>
      <c r="K516" s="16">
        <f t="shared" si="79"/>
        <v>0.99999999999999911</v>
      </c>
    </row>
    <row r="517" spans="1:11" x14ac:dyDescent="0.15">
      <c r="A517" s="7">
        <v>39235.504560185182</v>
      </c>
      <c r="B517">
        <v>39.5</v>
      </c>
      <c r="C517" s="6">
        <f t="shared" si="72"/>
        <v>993.99999976158142</v>
      </c>
      <c r="D517" t="str">
        <f t="shared" si="73"/>
        <v/>
      </c>
      <c r="E517" t="str">
        <f t="shared" si="71"/>
        <v xml:space="preserve"> </v>
      </c>
      <c r="F517" s="4">
        <f t="shared" si="74"/>
        <v>0</v>
      </c>
      <c r="G517" s="4">
        <f t="shared" si="75"/>
        <v>0</v>
      </c>
      <c r="H517" s="5">
        <f t="shared" si="76"/>
        <v>0</v>
      </c>
      <c r="I517" s="14">
        <f t="shared" si="77"/>
        <v>0</v>
      </c>
      <c r="J517" s="19">
        <f t="shared" si="78"/>
        <v>999299.99999999907</v>
      </c>
      <c r="K517" s="16">
        <f t="shared" si="79"/>
        <v>0.99999999999999911</v>
      </c>
    </row>
    <row r="518" spans="1:11" x14ac:dyDescent="0.15">
      <c r="A518" s="7">
        <v>39235.504583333335</v>
      </c>
      <c r="B518">
        <v>39.5</v>
      </c>
      <c r="C518" s="6">
        <f t="shared" si="72"/>
        <v>996.00000022910535</v>
      </c>
      <c r="D518" t="str">
        <f t="shared" si="73"/>
        <v/>
      </c>
      <c r="E518" t="str">
        <f t="shared" si="71"/>
        <v xml:space="preserve"> </v>
      </c>
      <c r="F518" s="4">
        <f t="shared" si="74"/>
        <v>0</v>
      </c>
      <c r="G518" s="4">
        <f t="shared" si="75"/>
        <v>0</v>
      </c>
      <c r="H518" s="5">
        <f t="shared" si="76"/>
        <v>0</v>
      </c>
      <c r="I518" s="14">
        <f t="shared" si="77"/>
        <v>0</v>
      </c>
      <c r="J518" s="19">
        <f t="shared" si="78"/>
        <v>999299.99999999907</v>
      </c>
      <c r="K518" s="16">
        <f t="shared" si="79"/>
        <v>0.99999999999999911</v>
      </c>
    </row>
    <row r="519" spans="1:11" x14ac:dyDescent="0.15">
      <c r="A519" s="7">
        <v>39235.504606481481</v>
      </c>
      <c r="B519">
        <v>39.5</v>
      </c>
      <c r="C519" s="6">
        <f t="shared" si="72"/>
        <v>998.00000006798655</v>
      </c>
      <c r="D519" t="str">
        <f t="shared" si="73"/>
        <v/>
      </c>
      <c r="E519" t="str">
        <f t="shared" si="71"/>
        <v xml:space="preserve"> </v>
      </c>
      <c r="F519" s="4">
        <f t="shared" si="74"/>
        <v>0</v>
      </c>
      <c r="G519" s="4">
        <f t="shared" si="75"/>
        <v>0</v>
      </c>
      <c r="H519" s="5">
        <f t="shared" si="76"/>
        <v>0</v>
      </c>
      <c r="I519" s="14">
        <f t="shared" si="77"/>
        <v>0</v>
      </c>
      <c r="J519" s="19">
        <f t="shared" si="78"/>
        <v>999299.99999999907</v>
      </c>
      <c r="K519" s="16">
        <f t="shared" si="79"/>
        <v>0.99999999999999911</v>
      </c>
    </row>
    <row r="520" spans="1:11" x14ac:dyDescent="0.15">
      <c r="A520" s="7">
        <v>39235.504629629628</v>
      </c>
      <c r="B520">
        <v>39.5</v>
      </c>
      <c r="C520" s="6">
        <f t="shared" si="72"/>
        <v>999.99999990686774</v>
      </c>
      <c r="D520" t="str">
        <f t="shared" si="73"/>
        <v/>
      </c>
      <c r="E520" t="str">
        <f t="shared" si="71"/>
        <v xml:space="preserve"> </v>
      </c>
      <c r="F520" s="4">
        <f t="shared" si="74"/>
        <v>0</v>
      </c>
      <c r="G520" s="4">
        <f t="shared" si="75"/>
        <v>0</v>
      </c>
      <c r="H520" s="5">
        <f t="shared" si="76"/>
        <v>0</v>
      </c>
      <c r="I520" s="14">
        <f t="shared" si="77"/>
        <v>0</v>
      </c>
      <c r="J520" s="19">
        <f t="shared" si="78"/>
        <v>999299.99999999907</v>
      </c>
      <c r="K520" s="16">
        <f t="shared" si="79"/>
        <v>0.99999999999999911</v>
      </c>
    </row>
    <row r="521" spans="1:11" x14ac:dyDescent="0.15">
      <c r="A521" s="7">
        <v>39235.504652777781</v>
      </c>
      <c r="B521">
        <v>39.5</v>
      </c>
      <c r="C521" s="6">
        <f t="shared" si="72"/>
        <v>1002.0000003743917</v>
      </c>
      <c r="D521" t="str">
        <f t="shared" si="73"/>
        <v/>
      </c>
      <c r="E521" t="str">
        <f t="shared" si="71"/>
        <v xml:space="preserve"> </v>
      </c>
      <c r="F521" s="4">
        <f t="shared" si="74"/>
        <v>0</v>
      </c>
      <c r="G521" s="4">
        <f t="shared" si="75"/>
        <v>0</v>
      </c>
      <c r="H521" s="5">
        <f t="shared" si="76"/>
        <v>0</v>
      </c>
      <c r="I521" s="14">
        <f t="shared" si="77"/>
        <v>0</v>
      </c>
      <c r="J521" s="19">
        <f t="shared" si="78"/>
        <v>999299.99999999907</v>
      </c>
      <c r="K521" s="16">
        <f t="shared" si="79"/>
        <v>0.99999999999999911</v>
      </c>
    </row>
    <row r="522" spans="1:11" x14ac:dyDescent="0.15">
      <c r="A522" s="7">
        <v>39235.504675925928</v>
      </c>
      <c r="B522">
        <v>39.5</v>
      </c>
      <c r="C522" s="6">
        <f t="shared" si="72"/>
        <v>1004.0000002132729</v>
      </c>
      <c r="D522" t="str">
        <f t="shared" si="73"/>
        <v/>
      </c>
      <c r="E522" t="str">
        <f t="shared" si="71"/>
        <v xml:space="preserve"> </v>
      </c>
      <c r="F522" s="4">
        <f t="shared" si="74"/>
        <v>0</v>
      </c>
      <c r="G522" s="4">
        <f t="shared" si="75"/>
        <v>0</v>
      </c>
      <c r="H522" s="5">
        <f t="shared" si="76"/>
        <v>0</v>
      </c>
      <c r="I522" s="14">
        <f t="shared" si="77"/>
        <v>0</v>
      </c>
      <c r="J522" s="19">
        <f t="shared" si="78"/>
        <v>999299.99999999907</v>
      </c>
      <c r="K522" s="16">
        <f t="shared" si="79"/>
        <v>0.99999999999999911</v>
      </c>
    </row>
    <row r="523" spans="1:11" x14ac:dyDescent="0.15">
      <c r="A523" s="7">
        <v>39235.504699074074</v>
      </c>
      <c r="B523">
        <v>39.5</v>
      </c>
      <c r="C523" s="6">
        <f t="shared" si="72"/>
        <v>1006.0000000521541</v>
      </c>
      <c r="D523" t="str">
        <f t="shared" si="73"/>
        <v/>
      </c>
      <c r="E523" t="str">
        <f t="shared" si="71"/>
        <v xml:space="preserve"> </v>
      </c>
      <c r="F523" s="4">
        <f t="shared" si="74"/>
        <v>0</v>
      </c>
      <c r="G523" s="4">
        <f t="shared" si="75"/>
        <v>0</v>
      </c>
      <c r="H523" s="5">
        <f t="shared" si="76"/>
        <v>0</v>
      </c>
      <c r="I523" s="14">
        <f t="shared" si="77"/>
        <v>0</v>
      </c>
      <c r="J523" s="19">
        <f t="shared" si="78"/>
        <v>999299.99999999907</v>
      </c>
      <c r="K523" s="16">
        <f t="shared" si="79"/>
        <v>0.99999999999999911</v>
      </c>
    </row>
    <row r="524" spans="1:11" x14ac:dyDescent="0.15">
      <c r="A524" s="7">
        <v>39235.50472222222</v>
      </c>
      <c r="B524">
        <v>39.5</v>
      </c>
      <c r="C524" s="6">
        <f t="shared" si="72"/>
        <v>1007.9999998910353</v>
      </c>
      <c r="D524" t="str">
        <f t="shared" si="73"/>
        <v/>
      </c>
      <c r="E524" t="str">
        <f t="shared" si="71"/>
        <v xml:space="preserve"> </v>
      </c>
      <c r="F524" s="4">
        <f t="shared" si="74"/>
        <v>0</v>
      </c>
      <c r="G524" s="4">
        <f t="shared" si="75"/>
        <v>0</v>
      </c>
      <c r="H524" s="5">
        <f t="shared" si="76"/>
        <v>0</v>
      </c>
      <c r="I524" s="14">
        <f t="shared" si="77"/>
        <v>0</v>
      </c>
      <c r="J524" s="19">
        <f t="shared" si="78"/>
        <v>999299.99999999907</v>
      </c>
      <c r="K524" s="16">
        <f t="shared" si="79"/>
        <v>0.99999999999999911</v>
      </c>
    </row>
    <row r="525" spans="1:11" x14ac:dyDescent="0.15">
      <c r="A525" s="7">
        <v>39235.504745370374</v>
      </c>
      <c r="B525">
        <v>39.5</v>
      </c>
      <c r="C525" s="6">
        <f t="shared" si="72"/>
        <v>1010.0000003585592</v>
      </c>
      <c r="D525" t="str">
        <f t="shared" si="73"/>
        <v/>
      </c>
      <c r="E525" t="str">
        <f t="shared" si="71"/>
        <v xml:space="preserve"> </v>
      </c>
      <c r="F525" s="4">
        <f t="shared" si="74"/>
        <v>0</v>
      </c>
      <c r="G525" s="4">
        <f t="shared" si="75"/>
        <v>0</v>
      </c>
      <c r="H525" s="5">
        <f t="shared" si="76"/>
        <v>0</v>
      </c>
      <c r="I525" s="14">
        <f t="shared" si="77"/>
        <v>0</v>
      </c>
      <c r="J525" s="19">
        <f t="shared" si="78"/>
        <v>999299.99999999907</v>
      </c>
      <c r="K525" s="16">
        <f t="shared" si="79"/>
        <v>0.99999999999999911</v>
      </c>
    </row>
    <row r="526" spans="1:11" x14ac:dyDescent="0.15">
      <c r="A526" s="7">
        <v>39235.50476851852</v>
      </c>
      <c r="B526">
        <v>39.5</v>
      </c>
      <c r="C526" s="6">
        <f t="shared" si="72"/>
        <v>1012.0000001974404</v>
      </c>
      <c r="D526" t="str">
        <f t="shared" si="73"/>
        <v/>
      </c>
      <c r="E526" t="str">
        <f t="shared" si="71"/>
        <v xml:space="preserve"> </v>
      </c>
      <c r="F526" s="4">
        <f t="shared" si="74"/>
        <v>0</v>
      </c>
      <c r="G526" s="4">
        <f t="shared" si="75"/>
        <v>0</v>
      </c>
      <c r="H526" s="5">
        <f t="shared" si="76"/>
        <v>0</v>
      </c>
      <c r="I526" s="14">
        <f t="shared" si="77"/>
        <v>0</v>
      </c>
      <c r="J526" s="19">
        <f t="shared" si="78"/>
        <v>999299.99999999907</v>
      </c>
      <c r="K526" s="16">
        <f t="shared" si="79"/>
        <v>0.99999999999999911</v>
      </c>
    </row>
    <row r="527" spans="1:11" x14ac:dyDescent="0.15">
      <c r="A527" s="7">
        <v>39235.504791666666</v>
      </c>
      <c r="B527">
        <v>39.5</v>
      </c>
      <c r="C527" s="6">
        <f t="shared" si="72"/>
        <v>1014.0000000363216</v>
      </c>
      <c r="D527" t="str">
        <f t="shared" si="73"/>
        <v/>
      </c>
      <c r="E527" t="str">
        <f t="shared" si="71"/>
        <v xml:space="preserve"> </v>
      </c>
      <c r="F527" s="4">
        <f t="shared" si="74"/>
        <v>0</v>
      </c>
      <c r="G527" s="4">
        <f t="shared" si="75"/>
        <v>0</v>
      </c>
      <c r="H527" s="5">
        <f t="shared" si="76"/>
        <v>0</v>
      </c>
      <c r="I527" s="14">
        <f t="shared" si="77"/>
        <v>0</v>
      </c>
      <c r="J527" s="19">
        <f t="shared" si="78"/>
        <v>999299.99999999907</v>
      </c>
      <c r="K527" s="16">
        <f t="shared" si="79"/>
        <v>0.99999999999999911</v>
      </c>
    </row>
    <row r="528" spans="1:11" x14ac:dyDescent="0.15">
      <c r="A528" s="7">
        <v>39235.504814814813</v>
      </c>
      <c r="B528">
        <v>39.5</v>
      </c>
      <c r="C528" s="6">
        <f t="shared" si="72"/>
        <v>1015.9999998752028</v>
      </c>
      <c r="D528" t="str">
        <f t="shared" si="73"/>
        <v/>
      </c>
      <c r="E528" t="str">
        <f t="shared" si="71"/>
        <v xml:space="preserve"> </v>
      </c>
      <c r="F528" s="4">
        <f t="shared" si="74"/>
        <v>0</v>
      </c>
      <c r="G528" s="4">
        <f t="shared" si="75"/>
        <v>0</v>
      </c>
      <c r="H528" s="5">
        <f t="shared" si="76"/>
        <v>0</v>
      </c>
      <c r="I528" s="14">
        <f t="shared" si="77"/>
        <v>0</v>
      </c>
      <c r="J528" s="19">
        <f t="shared" si="78"/>
        <v>999299.99999999907</v>
      </c>
      <c r="K528" s="16">
        <f t="shared" si="79"/>
        <v>0.99999999999999911</v>
      </c>
    </row>
    <row r="529" spans="1:11" x14ac:dyDescent="0.15">
      <c r="A529" s="7">
        <v>39235.504837962966</v>
      </c>
      <c r="B529">
        <v>39.5</v>
      </c>
      <c r="C529" s="6">
        <f t="shared" si="72"/>
        <v>1018.0000003427267</v>
      </c>
      <c r="D529" t="str">
        <f t="shared" si="73"/>
        <v/>
      </c>
      <c r="E529" t="str">
        <f t="shared" si="71"/>
        <v xml:space="preserve"> </v>
      </c>
      <c r="F529" s="4">
        <f t="shared" si="74"/>
        <v>0</v>
      </c>
      <c r="G529" s="4">
        <f t="shared" si="75"/>
        <v>0</v>
      </c>
      <c r="H529" s="5">
        <f t="shared" si="76"/>
        <v>0</v>
      </c>
      <c r="I529" s="14">
        <f t="shared" si="77"/>
        <v>0</v>
      </c>
      <c r="J529" s="19">
        <f t="shared" si="78"/>
        <v>999299.99999999907</v>
      </c>
      <c r="K529" s="16">
        <f t="shared" si="79"/>
        <v>0.99999999999999911</v>
      </c>
    </row>
    <row r="530" spans="1:11" x14ac:dyDescent="0.15">
      <c r="A530" s="7">
        <v>39235.504861111112</v>
      </c>
      <c r="B530">
        <v>39.5</v>
      </c>
      <c r="C530" s="6">
        <f t="shared" si="72"/>
        <v>1020.0000001816079</v>
      </c>
      <c r="D530" t="str">
        <f t="shared" si="73"/>
        <v/>
      </c>
      <c r="E530" t="str">
        <f t="shared" si="71"/>
        <v xml:space="preserve"> </v>
      </c>
      <c r="F530" s="4">
        <f t="shared" si="74"/>
        <v>0</v>
      </c>
      <c r="G530" s="4">
        <f t="shared" si="75"/>
        <v>0</v>
      </c>
      <c r="H530" s="5">
        <f t="shared" si="76"/>
        <v>0</v>
      </c>
      <c r="I530" s="14">
        <f t="shared" si="77"/>
        <v>0</v>
      </c>
      <c r="J530" s="19">
        <f t="shared" si="78"/>
        <v>999299.99999999907</v>
      </c>
      <c r="K530" s="16">
        <f t="shared" si="79"/>
        <v>0.99999999999999911</v>
      </c>
    </row>
    <row r="531" spans="1:11" x14ac:dyDescent="0.15">
      <c r="A531" s="7">
        <v>39235.504884259259</v>
      </c>
      <c r="B531">
        <v>39.5</v>
      </c>
      <c r="C531" s="6">
        <f t="shared" si="72"/>
        <v>1022.0000000204891</v>
      </c>
      <c r="D531" t="str">
        <f t="shared" si="73"/>
        <v/>
      </c>
      <c r="E531" t="str">
        <f t="shared" si="71"/>
        <v xml:space="preserve"> </v>
      </c>
      <c r="F531" s="4">
        <f t="shared" si="74"/>
        <v>0</v>
      </c>
      <c r="G531" s="4">
        <f t="shared" si="75"/>
        <v>0</v>
      </c>
      <c r="H531" s="5">
        <f t="shared" si="76"/>
        <v>0</v>
      </c>
      <c r="I531" s="14">
        <f t="shared" si="77"/>
        <v>0</v>
      </c>
      <c r="J531" s="19">
        <f t="shared" si="78"/>
        <v>999299.99999999907</v>
      </c>
      <c r="K531" s="16">
        <f t="shared" si="79"/>
        <v>0.99999999999999911</v>
      </c>
    </row>
    <row r="532" spans="1:11" x14ac:dyDescent="0.15">
      <c r="A532" s="7">
        <v>39235.504907407405</v>
      </c>
      <c r="B532">
        <v>39.5</v>
      </c>
      <c r="C532" s="6">
        <f t="shared" si="72"/>
        <v>1023.9999998593703</v>
      </c>
      <c r="D532" t="str">
        <f t="shared" si="73"/>
        <v/>
      </c>
      <c r="E532" t="str">
        <f t="shared" si="71"/>
        <v xml:space="preserve"> </v>
      </c>
      <c r="F532" s="4">
        <f t="shared" si="74"/>
        <v>0</v>
      </c>
      <c r="G532" s="4">
        <f t="shared" si="75"/>
        <v>0</v>
      </c>
      <c r="H532" s="5">
        <f t="shared" si="76"/>
        <v>0</v>
      </c>
      <c r="I532" s="14">
        <f t="shared" si="77"/>
        <v>0</v>
      </c>
      <c r="J532" s="19">
        <f t="shared" si="78"/>
        <v>999299.99999999907</v>
      </c>
      <c r="K532" s="16">
        <f t="shared" si="79"/>
        <v>0.99999999999999911</v>
      </c>
    </row>
    <row r="533" spans="1:11" x14ac:dyDescent="0.15">
      <c r="A533" s="7">
        <v>39235.504930555559</v>
      </c>
      <c r="B533">
        <v>39.5</v>
      </c>
      <c r="C533" s="6">
        <f t="shared" si="72"/>
        <v>1026.0000003268942</v>
      </c>
      <c r="D533" t="str">
        <f t="shared" si="73"/>
        <v/>
      </c>
      <c r="E533" t="str">
        <f t="shared" ref="E533:E596" si="80">IF(B533-$B$6&gt;0,A533," ")</f>
        <v xml:space="preserve"> </v>
      </c>
      <c r="F533" s="4">
        <f t="shared" si="74"/>
        <v>0</v>
      </c>
      <c r="G533" s="4">
        <f t="shared" si="75"/>
        <v>0</v>
      </c>
      <c r="H533" s="5">
        <f t="shared" si="76"/>
        <v>0</v>
      </c>
      <c r="I533" s="14">
        <f t="shared" si="77"/>
        <v>0</v>
      </c>
      <c r="J533" s="19">
        <f t="shared" si="78"/>
        <v>999299.99999999907</v>
      </c>
      <c r="K533" s="16">
        <f t="shared" si="79"/>
        <v>0.99999999999999911</v>
      </c>
    </row>
    <row r="534" spans="1:11" x14ac:dyDescent="0.15">
      <c r="A534" s="7">
        <v>39235.504953703705</v>
      </c>
      <c r="B534">
        <v>39.5</v>
      </c>
      <c r="C534" s="6">
        <f t="shared" si="72"/>
        <v>1028.0000001657754</v>
      </c>
      <c r="D534" t="str">
        <f t="shared" si="73"/>
        <v/>
      </c>
      <c r="E534" t="str">
        <f t="shared" si="80"/>
        <v xml:space="preserve"> </v>
      </c>
      <c r="F534" s="4">
        <f t="shared" si="74"/>
        <v>0</v>
      </c>
      <c r="G534" s="4">
        <f t="shared" si="75"/>
        <v>0</v>
      </c>
      <c r="H534" s="5">
        <f t="shared" si="76"/>
        <v>0</v>
      </c>
      <c r="I534" s="14">
        <f t="shared" si="77"/>
        <v>0</v>
      </c>
      <c r="J534" s="19">
        <f t="shared" si="78"/>
        <v>999299.99999999907</v>
      </c>
      <c r="K534" s="16">
        <f t="shared" si="79"/>
        <v>0.99999999999999911</v>
      </c>
    </row>
    <row r="535" spans="1:11" x14ac:dyDescent="0.15">
      <c r="A535" s="7">
        <v>39235.504976851851</v>
      </c>
      <c r="B535">
        <v>39.5</v>
      </c>
      <c r="C535" s="6">
        <f t="shared" si="72"/>
        <v>1030.0000000046566</v>
      </c>
      <c r="D535" t="str">
        <f t="shared" si="73"/>
        <v/>
      </c>
      <c r="E535" t="str">
        <f t="shared" si="80"/>
        <v xml:space="preserve"> </v>
      </c>
      <c r="F535" s="4">
        <f t="shared" si="74"/>
        <v>0</v>
      </c>
      <c r="G535" s="4">
        <f t="shared" si="75"/>
        <v>0</v>
      </c>
      <c r="H535" s="5">
        <f t="shared" si="76"/>
        <v>0</v>
      </c>
      <c r="I535" s="14">
        <f t="shared" si="77"/>
        <v>0</v>
      </c>
      <c r="J535" s="19">
        <f t="shared" si="78"/>
        <v>999299.99999999907</v>
      </c>
      <c r="K535" s="16">
        <f t="shared" si="79"/>
        <v>0.99999999999999911</v>
      </c>
    </row>
    <row r="536" spans="1:11" x14ac:dyDescent="0.15">
      <c r="A536" s="7">
        <v>39235.504999999997</v>
      </c>
      <c r="B536">
        <v>39.5</v>
      </c>
      <c r="C536" s="6">
        <f t="shared" si="72"/>
        <v>1031.9999998435378</v>
      </c>
      <c r="D536" t="str">
        <f t="shared" si="73"/>
        <v/>
      </c>
      <c r="E536" t="str">
        <f t="shared" si="80"/>
        <v xml:space="preserve"> </v>
      </c>
      <c r="F536" s="4">
        <f t="shared" si="74"/>
        <v>0</v>
      </c>
      <c r="G536" s="4">
        <f t="shared" si="75"/>
        <v>0</v>
      </c>
      <c r="H536" s="5">
        <f t="shared" si="76"/>
        <v>0</v>
      </c>
      <c r="I536" s="14">
        <f t="shared" si="77"/>
        <v>0</v>
      </c>
      <c r="J536" s="19">
        <f t="shared" si="78"/>
        <v>999299.99999999907</v>
      </c>
      <c r="K536" s="16">
        <f t="shared" si="79"/>
        <v>0.99999999999999911</v>
      </c>
    </row>
    <row r="537" spans="1:11" x14ac:dyDescent="0.15">
      <c r="A537" s="7">
        <v>39235.505023148151</v>
      </c>
      <c r="B537">
        <v>39.5</v>
      </c>
      <c r="C537" s="6">
        <f t="shared" si="72"/>
        <v>1034.0000003110617</v>
      </c>
      <c r="D537" t="str">
        <f t="shared" si="73"/>
        <v/>
      </c>
      <c r="E537" t="str">
        <f t="shared" si="80"/>
        <v xml:space="preserve"> </v>
      </c>
      <c r="F537" s="4">
        <f t="shared" si="74"/>
        <v>0</v>
      </c>
      <c r="G537" s="4">
        <f t="shared" si="75"/>
        <v>0</v>
      </c>
      <c r="H537" s="5">
        <f t="shared" si="76"/>
        <v>0</v>
      </c>
      <c r="I537" s="14">
        <f t="shared" si="77"/>
        <v>0</v>
      </c>
      <c r="J537" s="19">
        <f t="shared" si="78"/>
        <v>999299.99999999907</v>
      </c>
      <c r="K537" s="16">
        <f t="shared" si="79"/>
        <v>0.99999999999999911</v>
      </c>
    </row>
    <row r="538" spans="1:11" x14ac:dyDescent="0.15">
      <c r="A538" s="7">
        <v>39235.505046296297</v>
      </c>
      <c r="B538">
        <v>39.5</v>
      </c>
      <c r="C538" s="6">
        <f t="shared" si="72"/>
        <v>1036.0000001499429</v>
      </c>
      <c r="D538" t="str">
        <f t="shared" si="73"/>
        <v/>
      </c>
      <c r="E538" t="str">
        <f t="shared" si="80"/>
        <v xml:space="preserve"> </v>
      </c>
      <c r="F538" s="4">
        <f t="shared" si="74"/>
        <v>0</v>
      </c>
      <c r="G538" s="4">
        <f t="shared" si="75"/>
        <v>0</v>
      </c>
      <c r="H538" s="5">
        <f t="shared" si="76"/>
        <v>0</v>
      </c>
      <c r="I538" s="14">
        <f t="shared" si="77"/>
        <v>0</v>
      </c>
      <c r="J538" s="19">
        <f t="shared" si="78"/>
        <v>999299.99999999907</v>
      </c>
      <c r="K538" s="16">
        <f t="shared" si="79"/>
        <v>0.99999999999999911</v>
      </c>
    </row>
    <row r="539" spans="1:11" x14ac:dyDescent="0.15">
      <c r="A539" s="7">
        <v>39235.505069444444</v>
      </c>
      <c r="B539">
        <v>39.5</v>
      </c>
      <c r="C539" s="6">
        <f t="shared" si="72"/>
        <v>1037.9999999888241</v>
      </c>
      <c r="D539" t="str">
        <f t="shared" si="73"/>
        <v/>
      </c>
      <c r="E539" t="str">
        <f t="shared" si="80"/>
        <v xml:space="preserve"> </v>
      </c>
      <c r="F539" s="4">
        <f t="shared" si="74"/>
        <v>0</v>
      </c>
      <c r="G539" s="4">
        <f t="shared" si="75"/>
        <v>0</v>
      </c>
      <c r="H539" s="5">
        <f t="shared" si="76"/>
        <v>0</v>
      </c>
      <c r="I539" s="14">
        <f t="shared" si="77"/>
        <v>0</v>
      </c>
      <c r="J539" s="19">
        <f t="shared" si="78"/>
        <v>999299.99999999907</v>
      </c>
      <c r="K539" s="16">
        <f t="shared" si="79"/>
        <v>0.99999999999999911</v>
      </c>
    </row>
    <row r="540" spans="1:11" x14ac:dyDescent="0.15">
      <c r="A540" s="7">
        <v>39235.50509259259</v>
      </c>
      <c r="B540">
        <v>39.5</v>
      </c>
      <c r="C540" s="6">
        <f t="shared" si="72"/>
        <v>1039.9999998277053</v>
      </c>
      <c r="D540" t="str">
        <f t="shared" si="73"/>
        <v/>
      </c>
      <c r="E540" t="str">
        <f t="shared" si="80"/>
        <v xml:space="preserve"> </v>
      </c>
      <c r="F540" s="4">
        <f t="shared" si="74"/>
        <v>0</v>
      </c>
      <c r="G540" s="4">
        <f t="shared" si="75"/>
        <v>0</v>
      </c>
      <c r="H540" s="5">
        <f t="shared" si="76"/>
        <v>0</v>
      </c>
      <c r="I540" s="14">
        <f t="shared" si="77"/>
        <v>0</v>
      </c>
      <c r="J540" s="19">
        <f t="shared" si="78"/>
        <v>999299.99999999907</v>
      </c>
      <c r="K540" s="16">
        <f t="shared" si="79"/>
        <v>0.99999999999999911</v>
      </c>
    </row>
    <row r="541" spans="1:11" x14ac:dyDescent="0.15">
      <c r="A541" s="7">
        <v>39235.505115740743</v>
      </c>
      <c r="B541">
        <v>39.5</v>
      </c>
      <c r="C541" s="6">
        <f t="shared" si="72"/>
        <v>1042.0000002952293</v>
      </c>
      <c r="D541" t="str">
        <f t="shared" si="73"/>
        <v/>
      </c>
      <c r="E541" t="str">
        <f t="shared" si="80"/>
        <v xml:space="preserve"> </v>
      </c>
      <c r="F541" s="4">
        <f t="shared" si="74"/>
        <v>0</v>
      </c>
      <c r="G541" s="4">
        <f t="shared" si="75"/>
        <v>0</v>
      </c>
      <c r="H541" s="5">
        <f t="shared" si="76"/>
        <v>0</v>
      </c>
      <c r="I541" s="14">
        <f t="shared" si="77"/>
        <v>0</v>
      </c>
      <c r="J541" s="19">
        <f t="shared" si="78"/>
        <v>999299.99999999907</v>
      </c>
      <c r="K541" s="16">
        <f t="shared" si="79"/>
        <v>0.99999999999999911</v>
      </c>
    </row>
    <row r="542" spans="1:11" x14ac:dyDescent="0.15">
      <c r="A542" s="7">
        <v>39235.50513888889</v>
      </c>
      <c r="B542">
        <v>39.5</v>
      </c>
      <c r="C542" s="6">
        <f t="shared" si="72"/>
        <v>1044.0000001341105</v>
      </c>
      <c r="D542" t="str">
        <f t="shared" si="73"/>
        <v/>
      </c>
      <c r="E542" t="str">
        <f t="shared" si="80"/>
        <v xml:space="preserve"> </v>
      </c>
      <c r="F542" s="4">
        <f t="shared" si="74"/>
        <v>0</v>
      </c>
      <c r="G542" s="4">
        <f t="shared" si="75"/>
        <v>0</v>
      </c>
      <c r="H542" s="5">
        <f t="shared" si="76"/>
        <v>0</v>
      </c>
      <c r="I542" s="14">
        <f t="shared" si="77"/>
        <v>0</v>
      </c>
      <c r="J542" s="19">
        <f t="shared" si="78"/>
        <v>999299.99999999907</v>
      </c>
      <c r="K542" s="16">
        <f t="shared" si="79"/>
        <v>0.99999999999999911</v>
      </c>
    </row>
    <row r="543" spans="1:11" x14ac:dyDescent="0.15">
      <c r="A543" s="7">
        <v>39235.505162037036</v>
      </c>
      <c r="B543">
        <v>39.5</v>
      </c>
      <c r="C543" s="6">
        <f t="shared" si="72"/>
        <v>1045.9999999729916</v>
      </c>
      <c r="D543" t="str">
        <f t="shared" si="73"/>
        <v/>
      </c>
      <c r="E543" t="str">
        <f t="shared" si="80"/>
        <v xml:space="preserve"> </v>
      </c>
      <c r="F543" s="4">
        <f t="shared" si="74"/>
        <v>0</v>
      </c>
      <c r="G543" s="4">
        <f t="shared" si="75"/>
        <v>0</v>
      </c>
      <c r="H543" s="5">
        <f t="shared" si="76"/>
        <v>0</v>
      </c>
      <c r="I543" s="14">
        <f t="shared" si="77"/>
        <v>0</v>
      </c>
      <c r="J543" s="19">
        <f t="shared" si="78"/>
        <v>999299.99999999907</v>
      </c>
      <c r="K543" s="16">
        <f t="shared" si="79"/>
        <v>0.99999999999999911</v>
      </c>
    </row>
    <row r="544" spans="1:11" x14ac:dyDescent="0.15">
      <c r="A544" s="7">
        <v>39235.505185185182</v>
      </c>
      <c r="B544">
        <v>39.5</v>
      </c>
      <c r="C544" s="6">
        <f t="shared" si="72"/>
        <v>1047.9999998118728</v>
      </c>
      <c r="D544" t="str">
        <f t="shared" si="73"/>
        <v/>
      </c>
      <c r="E544" t="str">
        <f t="shared" si="80"/>
        <v xml:space="preserve"> </v>
      </c>
      <c r="F544" s="4">
        <f t="shared" si="74"/>
        <v>0</v>
      </c>
      <c r="G544" s="4">
        <f t="shared" si="75"/>
        <v>0</v>
      </c>
      <c r="H544" s="5">
        <f t="shared" si="76"/>
        <v>0</v>
      </c>
      <c r="I544" s="14">
        <f t="shared" si="77"/>
        <v>0</v>
      </c>
      <c r="J544" s="19">
        <f t="shared" si="78"/>
        <v>999299.99999999907</v>
      </c>
      <c r="K544" s="16">
        <f t="shared" si="79"/>
        <v>0.99999999999999911</v>
      </c>
    </row>
    <row r="545" spans="1:11" x14ac:dyDescent="0.15">
      <c r="A545" s="7">
        <v>39235.505208333336</v>
      </c>
      <c r="B545">
        <v>39.5</v>
      </c>
      <c r="C545" s="6">
        <f t="shared" si="72"/>
        <v>1050.0000002793968</v>
      </c>
      <c r="D545" t="str">
        <f t="shared" si="73"/>
        <v/>
      </c>
      <c r="E545" t="str">
        <f t="shared" si="80"/>
        <v xml:space="preserve"> </v>
      </c>
      <c r="F545" s="4">
        <f t="shared" si="74"/>
        <v>0</v>
      </c>
      <c r="G545" s="4">
        <f t="shared" si="75"/>
        <v>0</v>
      </c>
      <c r="H545" s="5">
        <f t="shared" si="76"/>
        <v>0</v>
      </c>
      <c r="I545" s="14">
        <f t="shared" si="77"/>
        <v>0</v>
      </c>
      <c r="J545" s="19">
        <f t="shared" si="78"/>
        <v>999299.99999999907</v>
      </c>
      <c r="K545" s="16">
        <f t="shared" si="79"/>
        <v>0.99999999999999911</v>
      </c>
    </row>
    <row r="546" spans="1:11" x14ac:dyDescent="0.15">
      <c r="A546" s="7">
        <v>39235.505231481482</v>
      </c>
      <c r="B546">
        <v>39.5</v>
      </c>
      <c r="C546" s="6">
        <f t="shared" si="72"/>
        <v>1052.000000118278</v>
      </c>
      <c r="D546" t="str">
        <f t="shared" si="73"/>
        <v/>
      </c>
      <c r="E546" t="str">
        <f t="shared" si="80"/>
        <v xml:space="preserve"> </v>
      </c>
      <c r="F546" s="4">
        <f t="shared" si="74"/>
        <v>0</v>
      </c>
      <c r="G546" s="4">
        <f t="shared" si="75"/>
        <v>0</v>
      </c>
      <c r="H546" s="5">
        <f t="shared" si="76"/>
        <v>0</v>
      </c>
      <c r="I546" s="14">
        <f t="shared" si="77"/>
        <v>0</v>
      </c>
      <c r="J546" s="19">
        <f t="shared" si="78"/>
        <v>999299.99999999907</v>
      </c>
      <c r="K546" s="16">
        <f t="shared" si="79"/>
        <v>0.99999999999999911</v>
      </c>
    </row>
    <row r="547" spans="1:11" x14ac:dyDescent="0.15">
      <c r="A547" s="7">
        <v>39235.505254629628</v>
      </c>
      <c r="B547">
        <v>39.5</v>
      </c>
      <c r="C547" s="6">
        <f t="shared" si="72"/>
        <v>1053.9999999571592</v>
      </c>
      <c r="D547" t="str">
        <f t="shared" si="73"/>
        <v/>
      </c>
      <c r="E547" t="str">
        <f t="shared" si="80"/>
        <v xml:space="preserve"> </v>
      </c>
      <c r="F547" s="4">
        <f t="shared" si="74"/>
        <v>0</v>
      </c>
      <c r="G547" s="4">
        <f t="shared" si="75"/>
        <v>0</v>
      </c>
      <c r="H547" s="5">
        <f t="shared" si="76"/>
        <v>0</v>
      </c>
      <c r="I547" s="14">
        <f t="shared" si="77"/>
        <v>0</v>
      </c>
      <c r="J547" s="19">
        <f t="shared" si="78"/>
        <v>999299.99999999907</v>
      </c>
      <c r="K547" s="16">
        <f t="shared" si="79"/>
        <v>0.99999999999999911</v>
      </c>
    </row>
    <row r="548" spans="1:11" x14ac:dyDescent="0.15">
      <c r="A548" s="7">
        <v>39235.505277777775</v>
      </c>
      <c r="B548">
        <v>39.5</v>
      </c>
      <c r="C548" s="6">
        <f t="shared" si="72"/>
        <v>1055.9999997960404</v>
      </c>
      <c r="D548" t="str">
        <f t="shared" si="73"/>
        <v/>
      </c>
      <c r="E548" t="str">
        <f t="shared" si="80"/>
        <v xml:space="preserve"> </v>
      </c>
      <c r="F548" s="4">
        <f t="shared" si="74"/>
        <v>0</v>
      </c>
      <c r="G548" s="4">
        <f t="shared" si="75"/>
        <v>0</v>
      </c>
      <c r="H548" s="5">
        <f t="shared" si="76"/>
        <v>0</v>
      </c>
      <c r="I548" s="14">
        <f t="shared" si="77"/>
        <v>0</v>
      </c>
      <c r="J548" s="19">
        <f t="shared" si="78"/>
        <v>999299.99999999907</v>
      </c>
      <c r="K548" s="16">
        <f t="shared" si="79"/>
        <v>0.99999999999999911</v>
      </c>
    </row>
    <row r="549" spans="1:11" x14ac:dyDescent="0.15">
      <c r="A549" s="7">
        <v>39235.505300925928</v>
      </c>
      <c r="B549">
        <v>39.5</v>
      </c>
      <c r="C549" s="6">
        <f t="shared" si="72"/>
        <v>1058.0000002635643</v>
      </c>
      <c r="D549" t="str">
        <f t="shared" si="73"/>
        <v/>
      </c>
      <c r="E549" t="str">
        <f t="shared" si="80"/>
        <v xml:space="preserve"> </v>
      </c>
      <c r="F549" s="4">
        <f t="shared" si="74"/>
        <v>0</v>
      </c>
      <c r="G549" s="4">
        <f t="shared" si="75"/>
        <v>0</v>
      </c>
      <c r="H549" s="5">
        <f t="shared" si="76"/>
        <v>0</v>
      </c>
      <c r="I549" s="14">
        <f t="shared" si="77"/>
        <v>0</v>
      </c>
      <c r="J549" s="19">
        <f t="shared" si="78"/>
        <v>999299.99999999907</v>
      </c>
      <c r="K549" s="16">
        <f t="shared" si="79"/>
        <v>0.99999999999999911</v>
      </c>
    </row>
    <row r="550" spans="1:11" x14ac:dyDescent="0.15">
      <c r="A550" s="7">
        <v>39235.505324074074</v>
      </c>
      <c r="B550">
        <v>39.5</v>
      </c>
      <c r="C550" s="6">
        <f t="shared" si="72"/>
        <v>1060.0000001024455</v>
      </c>
      <c r="D550" t="str">
        <f t="shared" si="73"/>
        <v/>
      </c>
      <c r="E550" t="str">
        <f t="shared" si="80"/>
        <v xml:space="preserve"> </v>
      </c>
      <c r="F550" s="4">
        <f t="shared" si="74"/>
        <v>0</v>
      </c>
      <c r="G550" s="4">
        <f t="shared" si="75"/>
        <v>0</v>
      </c>
      <c r="H550" s="5">
        <f t="shared" si="76"/>
        <v>0</v>
      </c>
      <c r="I550" s="14">
        <f t="shared" si="77"/>
        <v>0</v>
      </c>
      <c r="J550" s="19">
        <f t="shared" si="78"/>
        <v>999299.99999999907</v>
      </c>
      <c r="K550" s="16">
        <f t="shared" si="79"/>
        <v>0.99999999999999911</v>
      </c>
    </row>
    <row r="551" spans="1:11" x14ac:dyDescent="0.15">
      <c r="A551" s="7">
        <v>39235.505347222221</v>
      </c>
      <c r="B551">
        <v>39.5</v>
      </c>
      <c r="C551" s="6">
        <f t="shared" si="72"/>
        <v>1061.9999999413267</v>
      </c>
      <c r="D551" t="str">
        <f t="shared" si="73"/>
        <v/>
      </c>
      <c r="E551" t="str">
        <f t="shared" si="80"/>
        <v xml:space="preserve"> </v>
      </c>
      <c r="F551" s="4">
        <f t="shared" si="74"/>
        <v>0</v>
      </c>
      <c r="G551" s="4">
        <f t="shared" si="75"/>
        <v>0</v>
      </c>
      <c r="H551" s="5">
        <f t="shared" si="76"/>
        <v>0</v>
      </c>
      <c r="I551" s="14">
        <f t="shared" si="77"/>
        <v>0</v>
      </c>
      <c r="J551" s="19">
        <f t="shared" si="78"/>
        <v>999299.99999999907</v>
      </c>
      <c r="K551" s="16">
        <f t="shared" si="79"/>
        <v>0.99999999999999911</v>
      </c>
    </row>
    <row r="552" spans="1:11" x14ac:dyDescent="0.15">
      <c r="A552" s="7">
        <v>39235.505370370367</v>
      </c>
      <c r="B552">
        <v>39.5</v>
      </c>
      <c r="C552" s="6">
        <f t="shared" ref="C552:C615" si="81">(A552-$B$4)*24*60*60</f>
        <v>1063.9999997802079</v>
      </c>
      <c r="D552" t="str">
        <f t="shared" ref="D552:D615" si="82">IF(F552=$B$8,A552,"")</f>
        <v/>
      </c>
      <c r="E552" t="str">
        <f t="shared" si="80"/>
        <v xml:space="preserve"> </v>
      </c>
      <c r="F552" s="4">
        <f t="shared" ref="F552:F615" si="83">IF((B552-$B$6)&gt;0,B552-$B$6,0)</f>
        <v>0</v>
      </c>
      <c r="G552" s="4">
        <f t="shared" ref="G552:G615" si="84">F552/2</f>
        <v>0</v>
      </c>
      <c r="H552" s="5">
        <f t="shared" ref="H552:H615" si="85">AVERAGE(G551:G552)*(C552-C551)</f>
        <v>0</v>
      </c>
      <c r="I552" s="14">
        <f t="shared" ref="I552:I615" si="86">H552*$B$14</f>
        <v>0</v>
      </c>
      <c r="J552" s="19">
        <f t="shared" ref="J552:J615" si="87">J551+I552</f>
        <v>999299.99999999907</v>
      </c>
      <c r="K552" s="16">
        <f t="shared" ref="K552:K615" si="88">J552/($B$12*1000)</f>
        <v>0.99999999999999911</v>
      </c>
    </row>
    <row r="553" spans="1:11" x14ac:dyDescent="0.15">
      <c r="A553" s="7">
        <v>39235.505393518521</v>
      </c>
      <c r="B553">
        <v>39.5</v>
      </c>
      <c r="C553" s="6">
        <f t="shared" si="81"/>
        <v>1066.0000002477318</v>
      </c>
      <c r="D553" t="str">
        <f t="shared" si="82"/>
        <v/>
      </c>
      <c r="E553" t="str">
        <f t="shared" si="80"/>
        <v xml:space="preserve"> </v>
      </c>
      <c r="F553" s="4">
        <f t="shared" si="83"/>
        <v>0</v>
      </c>
      <c r="G553" s="4">
        <f t="shared" si="84"/>
        <v>0</v>
      </c>
      <c r="H553" s="5">
        <f t="shared" si="85"/>
        <v>0</v>
      </c>
      <c r="I553" s="14">
        <f t="shared" si="86"/>
        <v>0</v>
      </c>
      <c r="J553" s="19">
        <f t="shared" si="87"/>
        <v>999299.99999999907</v>
      </c>
      <c r="K553" s="16">
        <f t="shared" si="88"/>
        <v>0.99999999999999911</v>
      </c>
    </row>
    <row r="554" spans="1:11" x14ac:dyDescent="0.15">
      <c r="A554" s="7">
        <v>39235.505416666667</v>
      </c>
      <c r="B554">
        <v>39.5</v>
      </c>
      <c r="C554" s="6">
        <f t="shared" si="81"/>
        <v>1068.000000086613</v>
      </c>
      <c r="D554" t="str">
        <f t="shared" si="82"/>
        <v/>
      </c>
      <c r="E554" t="str">
        <f t="shared" si="80"/>
        <v xml:space="preserve"> </v>
      </c>
      <c r="F554" s="4">
        <f t="shared" si="83"/>
        <v>0</v>
      </c>
      <c r="G554" s="4">
        <f t="shared" si="84"/>
        <v>0</v>
      </c>
      <c r="H554" s="5">
        <f t="shared" si="85"/>
        <v>0</v>
      </c>
      <c r="I554" s="14">
        <f t="shared" si="86"/>
        <v>0</v>
      </c>
      <c r="J554" s="19">
        <f t="shared" si="87"/>
        <v>999299.99999999907</v>
      </c>
      <c r="K554" s="16">
        <f t="shared" si="88"/>
        <v>0.99999999999999911</v>
      </c>
    </row>
    <row r="555" spans="1:11" x14ac:dyDescent="0.15">
      <c r="A555" s="7">
        <v>39235.505439814813</v>
      </c>
      <c r="B555">
        <v>39.5</v>
      </c>
      <c r="C555" s="6">
        <f t="shared" si="81"/>
        <v>1069.9999999254942</v>
      </c>
      <c r="D555" t="str">
        <f t="shared" si="82"/>
        <v/>
      </c>
      <c r="E555" t="str">
        <f t="shared" si="80"/>
        <v xml:space="preserve"> </v>
      </c>
      <c r="F555" s="4">
        <f t="shared" si="83"/>
        <v>0</v>
      </c>
      <c r="G555" s="4">
        <f t="shared" si="84"/>
        <v>0</v>
      </c>
      <c r="H555" s="5">
        <f t="shared" si="85"/>
        <v>0</v>
      </c>
      <c r="I555" s="14">
        <f t="shared" si="86"/>
        <v>0</v>
      </c>
      <c r="J555" s="19">
        <f t="shared" si="87"/>
        <v>999299.99999999907</v>
      </c>
      <c r="K555" s="16">
        <f t="shared" si="88"/>
        <v>0.99999999999999911</v>
      </c>
    </row>
    <row r="556" spans="1:11" x14ac:dyDescent="0.15">
      <c r="A556" s="7">
        <v>39235.505462962959</v>
      </c>
      <c r="B556">
        <v>39.5</v>
      </c>
      <c r="C556" s="6">
        <f t="shared" si="81"/>
        <v>1071.9999997643754</v>
      </c>
      <c r="D556" t="str">
        <f t="shared" si="82"/>
        <v/>
      </c>
      <c r="E556" t="str">
        <f t="shared" si="80"/>
        <v xml:space="preserve"> </v>
      </c>
      <c r="F556" s="4">
        <f t="shared" si="83"/>
        <v>0</v>
      </c>
      <c r="G556" s="4">
        <f t="shared" si="84"/>
        <v>0</v>
      </c>
      <c r="H556" s="5">
        <f t="shared" si="85"/>
        <v>0</v>
      </c>
      <c r="I556" s="14">
        <f t="shared" si="86"/>
        <v>0</v>
      </c>
      <c r="J556" s="19">
        <f t="shared" si="87"/>
        <v>999299.99999999907</v>
      </c>
      <c r="K556" s="16">
        <f t="shared" si="88"/>
        <v>0.99999999999999911</v>
      </c>
    </row>
    <row r="557" spans="1:11" x14ac:dyDescent="0.15">
      <c r="A557" s="7">
        <v>39235.505486111113</v>
      </c>
      <c r="B557">
        <v>39.5</v>
      </c>
      <c r="C557" s="6">
        <f t="shared" si="81"/>
        <v>1074.0000002318993</v>
      </c>
      <c r="D557" t="str">
        <f t="shared" si="82"/>
        <v/>
      </c>
      <c r="E557" t="str">
        <f t="shared" si="80"/>
        <v xml:space="preserve"> </v>
      </c>
      <c r="F557" s="4">
        <f t="shared" si="83"/>
        <v>0</v>
      </c>
      <c r="G557" s="4">
        <f t="shared" si="84"/>
        <v>0</v>
      </c>
      <c r="H557" s="5">
        <f t="shared" si="85"/>
        <v>0</v>
      </c>
      <c r="I557" s="14">
        <f t="shared" si="86"/>
        <v>0</v>
      </c>
      <c r="J557" s="19">
        <f t="shared" si="87"/>
        <v>999299.99999999907</v>
      </c>
      <c r="K557" s="16">
        <f t="shared" si="88"/>
        <v>0.99999999999999911</v>
      </c>
    </row>
    <row r="558" spans="1:11" x14ac:dyDescent="0.15">
      <c r="A558" s="7">
        <v>39235.505509259259</v>
      </c>
      <c r="B558">
        <v>39.5</v>
      </c>
      <c r="C558" s="6">
        <f t="shared" si="81"/>
        <v>1076.0000000707805</v>
      </c>
      <c r="D558" t="str">
        <f t="shared" si="82"/>
        <v/>
      </c>
      <c r="E558" t="str">
        <f t="shared" si="80"/>
        <v xml:space="preserve"> </v>
      </c>
      <c r="F558" s="4">
        <f t="shared" si="83"/>
        <v>0</v>
      </c>
      <c r="G558" s="4">
        <f t="shared" si="84"/>
        <v>0</v>
      </c>
      <c r="H558" s="5">
        <f t="shared" si="85"/>
        <v>0</v>
      </c>
      <c r="I558" s="14">
        <f t="shared" si="86"/>
        <v>0</v>
      </c>
      <c r="J558" s="19">
        <f t="shared" si="87"/>
        <v>999299.99999999907</v>
      </c>
      <c r="K558" s="16">
        <f t="shared" si="88"/>
        <v>0.99999999999999911</v>
      </c>
    </row>
    <row r="559" spans="1:11" x14ac:dyDescent="0.15">
      <c r="A559" s="7">
        <v>39235.505532407406</v>
      </c>
      <c r="B559">
        <v>39.5</v>
      </c>
      <c r="C559" s="6">
        <f t="shared" si="81"/>
        <v>1077.9999999096617</v>
      </c>
      <c r="D559" t="str">
        <f t="shared" si="82"/>
        <v/>
      </c>
      <c r="E559" t="str">
        <f t="shared" si="80"/>
        <v xml:space="preserve"> </v>
      </c>
      <c r="F559" s="4">
        <f t="shared" si="83"/>
        <v>0</v>
      </c>
      <c r="G559" s="4">
        <f t="shared" si="84"/>
        <v>0</v>
      </c>
      <c r="H559" s="5">
        <f t="shared" si="85"/>
        <v>0</v>
      </c>
      <c r="I559" s="14">
        <f t="shared" si="86"/>
        <v>0</v>
      </c>
      <c r="J559" s="19">
        <f t="shared" si="87"/>
        <v>999299.99999999907</v>
      </c>
      <c r="K559" s="16">
        <f t="shared" si="88"/>
        <v>0.99999999999999911</v>
      </c>
    </row>
    <row r="560" spans="1:11" x14ac:dyDescent="0.15">
      <c r="A560" s="7">
        <v>39235.505555555559</v>
      </c>
      <c r="B560">
        <v>39.5</v>
      </c>
      <c r="C560" s="6">
        <f t="shared" si="81"/>
        <v>1080.0000003771856</v>
      </c>
      <c r="D560" t="str">
        <f t="shared" si="82"/>
        <v/>
      </c>
      <c r="E560" t="str">
        <f t="shared" si="80"/>
        <v xml:space="preserve"> </v>
      </c>
      <c r="F560" s="4">
        <f t="shared" si="83"/>
        <v>0</v>
      </c>
      <c r="G560" s="4">
        <f t="shared" si="84"/>
        <v>0</v>
      </c>
      <c r="H560" s="5">
        <f t="shared" si="85"/>
        <v>0</v>
      </c>
      <c r="I560" s="14">
        <f t="shared" si="86"/>
        <v>0</v>
      </c>
      <c r="J560" s="19">
        <f t="shared" si="87"/>
        <v>999299.99999999907</v>
      </c>
      <c r="K560" s="16">
        <f t="shared" si="88"/>
        <v>0.99999999999999911</v>
      </c>
    </row>
    <row r="561" spans="1:11" x14ac:dyDescent="0.15">
      <c r="A561" s="7">
        <v>39235.505578703705</v>
      </c>
      <c r="B561">
        <v>39.5</v>
      </c>
      <c r="C561" s="6">
        <f t="shared" si="81"/>
        <v>1082.0000002160668</v>
      </c>
      <c r="D561" t="str">
        <f t="shared" si="82"/>
        <v/>
      </c>
      <c r="E561" t="str">
        <f t="shared" si="80"/>
        <v xml:space="preserve"> </v>
      </c>
      <c r="F561" s="4">
        <f t="shared" si="83"/>
        <v>0</v>
      </c>
      <c r="G561" s="4">
        <f t="shared" si="84"/>
        <v>0</v>
      </c>
      <c r="H561" s="5">
        <f t="shared" si="85"/>
        <v>0</v>
      </c>
      <c r="I561" s="14">
        <f t="shared" si="86"/>
        <v>0</v>
      </c>
      <c r="J561" s="19">
        <f t="shared" si="87"/>
        <v>999299.99999999907</v>
      </c>
      <c r="K561" s="16">
        <f t="shared" si="88"/>
        <v>0.99999999999999911</v>
      </c>
    </row>
    <row r="562" spans="1:11" x14ac:dyDescent="0.15">
      <c r="A562" s="7">
        <v>39235.505601851852</v>
      </c>
      <c r="B562">
        <v>39.5</v>
      </c>
      <c r="C562" s="6">
        <f t="shared" si="81"/>
        <v>1084.000000054948</v>
      </c>
      <c r="D562" t="str">
        <f t="shared" si="82"/>
        <v/>
      </c>
      <c r="E562" t="str">
        <f t="shared" si="80"/>
        <v xml:space="preserve"> </v>
      </c>
      <c r="F562" s="4">
        <f t="shared" si="83"/>
        <v>0</v>
      </c>
      <c r="G562" s="4">
        <f t="shared" si="84"/>
        <v>0</v>
      </c>
      <c r="H562" s="5">
        <f t="shared" si="85"/>
        <v>0</v>
      </c>
      <c r="I562" s="14">
        <f t="shared" si="86"/>
        <v>0</v>
      </c>
      <c r="J562" s="19">
        <f t="shared" si="87"/>
        <v>999299.99999999907</v>
      </c>
      <c r="K562" s="16">
        <f t="shared" si="88"/>
        <v>0.99999999999999911</v>
      </c>
    </row>
    <row r="563" spans="1:11" x14ac:dyDescent="0.15">
      <c r="A563" s="7">
        <v>39235.505624999998</v>
      </c>
      <c r="B563">
        <v>39.5</v>
      </c>
      <c r="C563" s="6">
        <f t="shared" si="81"/>
        <v>1085.9999998938292</v>
      </c>
      <c r="D563" t="str">
        <f t="shared" si="82"/>
        <v/>
      </c>
      <c r="E563" t="str">
        <f t="shared" si="80"/>
        <v xml:space="preserve"> </v>
      </c>
      <c r="F563" s="4">
        <f t="shared" si="83"/>
        <v>0</v>
      </c>
      <c r="G563" s="4">
        <f t="shared" si="84"/>
        <v>0</v>
      </c>
      <c r="H563" s="5">
        <f t="shared" si="85"/>
        <v>0</v>
      </c>
      <c r="I563" s="14">
        <f t="shared" si="86"/>
        <v>0</v>
      </c>
      <c r="J563" s="19">
        <f t="shared" si="87"/>
        <v>999299.99999999907</v>
      </c>
      <c r="K563" s="16">
        <f t="shared" si="88"/>
        <v>0.99999999999999911</v>
      </c>
    </row>
    <row r="564" spans="1:11" x14ac:dyDescent="0.15">
      <c r="A564" s="7">
        <v>39235.505648148152</v>
      </c>
      <c r="B564">
        <v>39.5</v>
      </c>
      <c r="C564" s="6">
        <f t="shared" si="81"/>
        <v>1088.0000003613532</v>
      </c>
      <c r="D564" t="str">
        <f t="shared" si="82"/>
        <v/>
      </c>
      <c r="E564" t="str">
        <f t="shared" si="80"/>
        <v xml:space="preserve"> </v>
      </c>
      <c r="F564" s="4">
        <f t="shared" si="83"/>
        <v>0</v>
      </c>
      <c r="G564" s="4">
        <f t="shared" si="84"/>
        <v>0</v>
      </c>
      <c r="H564" s="5">
        <f t="shared" si="85"/>
        <v>0</v>
      </c>
      <c r="I564" s="14">
        <f t="shared" si="86"/>
        <v>0</v>
      </c>
      <c r="J564" s="19">
        <f t="shared" si="87"/>
        <v>999299.99999999907</v>
      </c>
      <c r="K564" s="16">
        <f t="shared" si="88"/>
        <v>0.99999999999999911</v>
      </c>
    </row>
    <row r="565" spans="1:11" x14ac:dyDescent="0.15">
      <c r="A565" s="7">
        <v>39235.505671296298</v>
      </c>
      <c r="B565">
        <v>39.5</v>
      </c>
      <c r="C565" s="6">
        <f t="shared" si="81"/>
        <v>1090.0000002002344</v>
      </c>
      <c r="D565" t="str">
        <f t="shared" si="82"/>
        <v/>
      </c>
      <c r="E565" t="str">
        <f t="shared" si="80"/>
        <v xml:space="preserve"> </v>
      </c>
      <c r="F565" s="4">
        <f t="shared" si="83"/>
        <v>0</v>
      </c>
      <c r="G565" s="4">
        <f t="shared" si="84"/>
        <v>0</v>
      </c>
      <c r="H565" s="5">
        <f t="shared" si="85"/>
        <v>0</v>
      </c>
      <c r="I565" s="14">
        <f t="shared" si="86"/>
        <v>0</v>
      </c>
      <c r="J565" s="19">
        <f t="shared" si="87"/>
        <v>999299.99999999907</v>
      </c>
      <c r="K565" s="16">
        <f t="shared" si="88"/>
        <v>0.99999999999999911</v>
      </c>
    </row>
    <row r="566" spans="1:11" x14ac:dyDescent="0.15">
      <c r="A566" s="7">
        <v>39235.505694444444</v>
      </c>
      <c r="B566">
        <v>39.5</v>
      </c>
      <c r="C566" s="6">
        <f t="shared" si="81"/>
        <v>1092.0000000391155</v>
      </c>
      <c r="D566" t="str">
        <f t="shared" si="82"/>
        <v/>
      </c>
      <c r="E566" t="str">
        <f t="shared" si="80"/>
        <v xml:space="preserve"> </v>
      </c>
      <c r="F566" s="4">
        <f t="shared" si="83"/>
        <v>0</v>
      </c>
      <c r="G566" s="4">
        <f t="shared" si="84"/>
        <v>0</v>
      </c>
      <c r="H566" s="5">
        <f t="shared" si="85"/>
        <v>0</v>
      </c>
      <c r="I566" s="14">
        <f t="shared" si="86"/>
        <v>0</v>
      </c>
      <c r="J566" s="19">
        <f t="shared" si="87"/>
        <v>999299.99999999907</v>
      </c>
      <c r="K566" s="16">
        <f t="shared" si="88"/>
        <v>0.99999999999999911</v>
      </c>
    </row>
    <row r="567" spans="1:11" x14ac:dyDescent="0.15">
      <c r="A567" s="7">
        <v>39235.50571759259</v>
      </c>
      <c r="B567">
        <v>39.5</v>
      </c>
      <c r="C567" s="6">
        <f t="shared" si="81"/>
        <v>1093.9999998779967</v>
      </c>
      <c r="D567" t="str">
        <f t="shared" si="82"/>
        <v/>
      </c>
      <c r="E567" t="str">
        <f t="shared" si="80"/>
        <v xml:space="preserve"> </v>
      </c>
      <c r="F567" s="4">
        <f t="shared" si="83"/>
        <v>0</v>
      </c>
      <c r="G567" s="4">
        <f t="shared" si="84"/>
        <v>0</v>
      </c>
      <c r="H567" s="5">
        <f t="shared" si="85"/>
        <v>0</v>
      </c>
      <c r="I567" s="14">
        <f t="shared" si="86"/>
        <v>0</v>
      </c>
      <c r="J567" s="19">
        <f t="shared" si="87"/>
        <v>999299.99999999907</v>
      </c>
      <c r="K567" s="16">
        <f t="shared" si="88"/>
        <v>0.99999999999999911</v>
      </c>
    </row>
    <row r="568" spans="1:11" x14ac:dyDescent="0.15">
      <c r="A568" s="7">
        <v>39235.505740740744</v>
      </c>
      <c r="B568">
        <v>39.5</v>
      </c>
      <c r="C568" s="6">
        <f t="shared" si="81"/>
        <v>1096.0000003455207</v>
      </c>
      <c r="D568" t="str">
        <f t="shared" si="82"/>
        <v/>
      </c>
      <c r="E568" t="str">
        <f t="shared" si="80"/>
        <v xml:space="preserve"> </v>
      </c>
      <c r="F568" s="4">
        <f t="shared" si="83"/>
        <v>0</v>
      </c>
      <c r="G568" s="4">
        <f t="shared" si="84"/>
        <v>0</v>
      </c>
      <c r="H568" s="5">
        <f t="shared" si="85"/>
        <v>0</v>
      </c>
      <c r="I568" s="14">
        <f t="shared" si="86"/>
        <v>0</v>
      </c>
      <c r="J568" s="19">
        <f t="shared" si="87"/>
        <v>999299.99999999907</v>
      </c>
      <c r="K568" s="16">
        <f t="shared" si="88"/>
        <v>0.99999999999999911</v>
      </c>
    </row>
    <row r="569" spans="1:11" x14ac:dyDescent="0.15">
      <c r="A569" s="7">
        <v>39235.50576388889</v>
      </c>
      <c r="B569">
        <v>39.5</v>
      </c>
      <c r="C569" s="6">
        <f t="shared" si="81"/>
        <v>1098.0000001844019</v>
      </c>
      <c r="D569" t="str">
        <f t="shared" si="82"/>
        <v/>
      </c>
      <c r="E569" t="str">
        <f t="shared" si="80"/>
        <v xml:space="preserve"> </v>
      </c>
      <c r="F569" s="4">
        <f t="shared" si="83"/>
        <v>0</v>
      </c>
      <c r="G569" s="4">
        <f t="shared" si="84"/>
        <v>0</v>
      </c>
      <c r="H569" s="5">
        <f t="shared" si="85"/>
        <v>0</v>
      </c>
      <c r="I569" s="14">
        <f t="shared" si="86"/>
        <v>0</v>
      </c>
      <c r="J569" s="19">
        <f t="shared" si="87"/>
        <v>999299.99999999907</v>
      </c>
      <c r="K569" s="16">
        <f t="shared" si="88"/>
        <v>0.99999999999999911</v>
      </c>
    </row>
    <row r="570" spans="1:11" x14ac:dyDescent="0.15">
      <c r="A570" s="7">
        <v>39235.505787037036</v>
      </c>
      <c r="B570">
        <v>39.5</v>
      </c>
      <c r="C570" s="6">
        <f t="shared" si="81"/>
        <v>1100.0000000232831</v>
      </c>
      <c r="D570" t="str">
        <f t="shared" si="82"/>
        <v/>
      </c>
      <c r="E570" t="str">
        <f t="shared" si="80"/>
        <v xml:space="preserve"> </v>
      </c>
      <c r="F570" s="4">
        <f t="shared" si="83"/>
        <v>0</v>
      </c>
      <c r="G570" s="4">
        <f t="shared" si="84"/>
        <v>0</v>
      </c>
      <c r="H570" s="5">
        <f t="shared" si="85"/>
        <v>0</v>
      </c>
      <c r="I570" s="14">
        <f t="shared" si="86"/>
        <v>0</v>
      </c>
      <c r="J570" s="19">
        <f t="shared" si="87"/>
        <v>999299.99999999907</v>
      </c>
      <c r="K570" s="16">
        <f t="shared" si="88"/>
        <v>0.99999999999999911</v>
      </c>
    </row>
    <row r="571" spans="1:11" x14ac:dyDescent="0.15">
      <c r="A571" s="7">
        <v>39235.505810185183</v>
      </c>
      <c r="B571">
        <v>39.5</v>
      </c>
      <c r="C571" s="6">
        <f t="shared" si="81"/>
        <v>1101.9999998621643</v>
      </c>
      <c r="D571" t="str">
        <f t="shared" si="82"/>
        <v/>
      </c>
      <c r="E571" t="str">
        <f t="shared" si="80"/>
        <v xml:space="preserve"> </v>
      </c>
      <c r="F571" s="4">
        <f t="shared" si="83"/>
        <v>0</v>
      </c>
      <c r="G571" s="4">
        <f t="shared" si="84"/>
        <v>0</v>
      </c>
      <c r="H571" s="5">
        <f t="shared" si="85"/>
        <v>0</v>
      </c>
      <c r="I571" s="14">
        <f t="shared" si="86"/>
        <v>0</v>
      </c>
      <c r="J571" s="19">
        <f t="shared" si="87"/>
        <v>999299.99999999907</v>
      </c>
      <c r="K571" s="16">
        <f t="shared" si="88"/>
        <v>0.99999999999999911</v>
      </c>
    </row>
    <row r="572" spans="1:11" x14ac:dyDescent="0.15">
      <c r="A572" s="7">
        <v>39235.505833333336</v>
      </c>
      <c r="B572">
        <v>39.5</v>
      </c>
      <c r="C572" s="6">
        <f t="shared" si="81"/>
        <v>1104.0000003296882</v>
      </c>
      <c r="D572" t="str">
        <f t="shared" si="82"/>
        <v/>
      </c>
      <c r="E572" t="str">
        <f t="shared" si="80"/>
        <v xml:space="preserve"> </v>
      </c>
      <c r="F572" s="4">
        <f t="shared" si="83"/>
        <v>0</v>
      </c>
      <c r="G572" s="4">
        <f t="shared" si="84"/>
        <v>0</v>
      </c>
      <c r="H572" s="5">
        <f t="shared" si="85"/>
        <v>0</v>
      </c>
      <c r="I572" s="14">
        <f t="shared" si="86"/>
        <v>0</v>
      </c>
      <c r="J572" s="19">
        <f t="shared" si="87"/>
        <v>999299.99999999907</v>
      </c>
      <c r="K572" s="16">
        <f t="shared" si="88"/>
        <v>0.99999999999999911</v>
      </c>
    </row>
    <row r="573" spans="1:11" x14ac:dyDescent="0.15">
      <c r="A573" s="7">
        <v>39235.505856481483</v>
      </c>
      <c r="B573">
        <v>39.5</v>
      </c>
      <c r="C573" s="6">
        <f t="shared" si="81"/>
        <v>1106.0000001685694</v>
      </c>
      <c r="D573" t="str">
        <f t="shared" si="82"/>
        <v/>
      </c>
      <c r="E573" t="str">
        <f t="shared" si="80"/>
        <v xml:space="preserve"> </v>
      </c>
      <c r="F573" s="4">
        <f t="shared" si="83"/>
        <v>0</v>
      </c>
      <c r="G573" s="4">
        <f t="shared" si="84"/>
        <v>0</v>
      </c>
      <c r="H573" s="5">
        <f t="shared" si="85"/>
        <v>0</v>
      </c>
      <c r="I573" s="14">
        <f t="shared" si="86"/>
        <v>0</v>
      </c>
      <c r="J573" s="19">
        <f t="shared" si="87"/>
        <v>999299.99999999907</v>
      </c>
      <c r="K573" s="16">
        <f t="shared" si="88"/>
        <v>0.99999999999999911</v>
      </c>
    </row>
    <row r="574" spans="1:11" x14ac:dyDescent="0.15">
      <c r="A574" s="7">
        <v>39235.505879629629</v>
      </c>
      <c r="B574">
        <v>39.5</v>
      </c>
      <c r="C574" s="6">
        <f t="shared" si="81"/>
        <v>1108.0000000074506</v>
      </c>
      <c r="D574" t="str">
        <f t="shared" si="82"/>
        <v/>
      </c>
      <c r="E574" t="str">
        <f t="shared" si="80"/>
        <v xml:space="preserve"> </v>
      </c>
      <c r="F574" s="4">
        <f t="shared" si="83"/>
        <v>0</v>
      </c>
      <c r="G574" s="4">
        <f t="shared" si="84"/>
        <v>0</v>
      </c>
      <c r="H574" s="5">
        <f t="shared" si="85"/>
        <v>0</v>
      </c>
      <c r="I574" s="14">
        <f t="shared" si="86"/>
        <v>0</v>
      </c>
      <c r="J574" s="19">
        <f t="shared" si="87"/>
        <v>999299.99999999907</v>
      </c>
      <c r="K574" s="16">
        <f t="shared" si="88"/>
        <v>0.99999999999999911</v>
      </c>
    </row>
    <row r="575" spans="1:11" x14ac:dyDescent="0.15">
      <c r="A575" s="7">
        <v>39235.505902777775</v>
      </c>
      <c r="B575">
        <v>39.5</v>
      </c>
      <c r="C575" s="6">
        <f t="shared" si="81"/>
        <v>1109.9999998463318</v>
      </c>
      <c r="D575" t="str">
        <f t="shared" si="82"/>
        <v/>
      </c>
      <c r="E575" t="str">
        <f t="shared" si="80"/>
        <v xml:space="preserve"> </v>
      </c>
      <c r="F575" s="4">
        <f t="shared" si="83"/>
        <v>0</v>
      </c>
      <c r="G575" s="4">
        <f t="shared" si="84"/>
        <v>0</v>
      </c>
      <c r="H575" s="5">
        <f t="shared" si="85"/>
        <v>0</v>
      </c>
      <c r="I575" s="14">
        <f t="shared" si="86"/>
        <v>0</v>
      </c>
      <c r="J575" s="19">
        <f t="shared" si="87"/>
        <v>999299.99999999907</v>
      </c>
      <c r="K575" s="16">
        <f t="shared" si="88"/>
        <v>0.99999999999999911</v>
      </c>
    </row>
    <row r="576" spans="1:11" x14ac:dyDescent="0.15">
      <c r="A576" s="7">
        <v>39235.505925925929</v>
      </c>
      <c r="B576">
        <v>39.5</v>
      </c>
      <c r="C576" s="6">
        <f t="shared" si="81"/>
        <v>1112.0000003138557</v>
      </c>
      <c r="D576" t="str">
        <f t="shared" si="82"/>
        <v/>
      </c>
      <c r="E576" t="str">
        <f t="shared" si="80"/>
        <v xml:space="preserve"> </v>
      </c>
      <c r="F576" s="4">
        <f t="shared" si="83"/>
        <v>0</v>
      </c>
      <c r="G576" s="4">
        <f t="shared" si="84"/>
        <v>0</v>
      </c>
      <c r="H576" s="5">
        <f t="shared" si="85"/>
        <v>0</v>
      </c>
      <c r="I576" s="14">
        <f t="shared" si="86"/>
        <v>0</v>
      </c>
      <c r="J576" s="19">
        <f t="shared" si="87"/>
        <v>999299.99999999907</v>
      </c>
      <c r="K576" s="16">
        <f t="shared" si="88"/>
        <v>0.99999999999999911</v>
      </c>
    </row>
    <row r="577" spans="1:11" x14ac:dyDescent="0.15">
      <c r="A577" s="7">
        <v>39235.505949074075</v>
      </c>
      <c r="B577">
        <v>39.5</v>
      </c>
      <c r="C577" s="6">
        <f t="shared" si="81"/>
        <v>1114.0000001527369</v>
      </c>
      <c r="D577" t="str">
        <f t="shared" si="82"/>
        <v/>
      </c>
      <c r="E577" t="str">
        <f t="shared" si="80"/>
        <v xml:space="preserve"> </v>
      </c>
      <c r="F577" s="4">
        <f t="shared" si="83"/>
        <v>0</v>
      </c>
      <c r="G577" s="4">
        <f t="shared" si="84"/>
        <v>0</v>
      </c>
      <c r="H577" s="5">
        <f t="shared" si="85"/>
        <v>0</v>
      </c>
      <c r="I577" s="14">
        <f t="shared" si="86"/>
        <v>0</v>
      </c>
      <c r="J577" s="19">
        <f t="shared" si="87"/>
        <v>999299.99999999907</v>
      </c>
      <c r="K577" s="16">
        <f t="shared" si="88"/>
        <v>0.99999999999999911</v>
      </c>
    </row>
    <row r="578" spans="1:11" x14ac:dyDescent="0.15">
      <c r="A578" s="7">
        <v>39235.505972222221</v>
      </c>
      <c r="B578">
        <v>39.5</v>
      </c>
      <c r="C578" s="6">
        <f t="shared" si="81"/>
        <v>1115.9999999916181</v>
      </c>
      <c r="D578" t="str">
        <f t="shared" si="82"/>
        <v/>
      </c>
      <c r="E578" t="str">
        <f t="shared" si="80"/>
        <v xml:space="preserve"> </v>
      </c>
      <c r="F578" s="4">
        <f t="shared" si="83"/>
        <v>0</v>
      </c>
      <c r="G578" s="4">
        <f t="shared" si="84"/>
        <v>0</v>
      </c>
      <c r="H578" s="5">
        <f t="shared" si="85"/>
        <v>0</v>
      </c>
      <c r="I578" s="14">
        <f t="shared" si="86"/>
        <v>0</v>
      </c>
      <c r="J578" s="19">
        <f t="shared" si="87"/>
        <v>999299.99999999907</v>
      </c>
      <c r="K578" s="16">
        <f t="shared" si="88"/>
        <v>0.99999999999999911</v>
      </c>
    </row>
    <row r="579" spans="1:11" x14ac:dyDescent="0.15">
      <c r="A579" s="7">
        <v>39235.505995370368</v>
      </c>
      <c r="B579">
        <v>39.5</v>
      </c>
      <c r="C579" s="6">
        <f t="shared" si="81"/>
        <v>1117.9999998304993</v>
      </c>
      <c r="D579" t="str">
        <f t="shared" si="82"/>
        <v/>
      </c>
      <c r="E579" t="str">
        <f t="shared" si="80"/>
        <v xml:space="preserve"> </v>
      </c>
      <c r="F579" s="4">
        <f t="shared" si="83"/>
        <v>0</v>
      </c>
      <c r="G579" s="4">
        <f t="shared" si="84"/>
        <v>0</v>
      </c>
      <c r="H579" s="5">
        <f t="shared" si="85"/>
        <v>0</v>
      </c>
      <c r="I579" s="14">
        <f t="shared" si="86"/>
        <v>0</v>
      </c>
      <c r="J579" s="19">
        <f t="shared" si="87"/>
        <v>999299.99999999907</v>
      </c>
      <c r="K579" s="16">
        <f t="shared" si="88"/>
        <v>0.99999999999999911</v>
      </c>
    </row>
    <row r="580" spans="1:11" x14ac:dyDescent="0.15">
      <c r="A580" s="7">
        <v>39235.506018518521</v>
      </c>
      <c r="B580">
        <v>39.5</v>
      </c>
      <c r="C580" s="6">
        <f t="shared" si="81"/>
        <v>1120.0000002980232</v>
      </c>
      <c r="D580" t="str">
        <f t="shared" si="82"/>
        <v/>
      </c>
      <c r="E580" t="str">
        <f t="shared" si="80"/>
        <v xml:space="preserve"> </v>
      </c>
      <c r="F580" s="4">
        <f t="shared" si="83"/>
        <v>0</v>
      </c>
      <c r="G580" s="4">
        <f t="shared" si="84"/>
        <v>0</v>
      </c>
      <c r="H580" s="5">
        <f t="shared" si="85"/>
        <v>0</v>
      </c>
      <c r="I580" s="14">
        <f t="shared" si="86"/>
        <v>0</v>
      </c>
      <c r="J580" s="19">
        <f t="shared" si="87"/>
        <v>999299.99999999907</v>
      </c>
      <c r="K580" s="16">
        <f t="shared" si="88"/>
        <v>0.99999999999999911</v>
      </c>
    </row>
    <row r="581" spans="1:11" x14ac:dyDescent="0.15">
      <c r="A581" s="7">
        <v>39235.506041666667</v>
      </c>
      <c r="B581">
        <v>39.5</v>
      </c>
      <c r="C581" s="6">
        <f t="shared" si="81"/>
        <v>1122.0000001369044</v>
      </c>
      <c r="D581" t="str">
        <f t="shared" si="82"/>
        <v/>
      </c>
      <c r="E581" t="str">
        <f t="shared" si="80"/>
        <v xml:space="preserve"> </v>
      </c>
      <c r="F581" s="4">
        <f t="shared" si="83"/>
        <v>0</v>
      </c>
      <c r="G581" s="4">
        <f t="shared" si="84"/>
        <v>0</v>
      </c>
      <c r="H581" s="5">
        <f t="shared" si="85"/>
        <v>0</v>
      </c>
      <c r="I581" s="14">
        <f t="shared" si="86"/>
        <v>0</v>
      </c>
      <c r="J581" s="19">
        <f t="shared" si="87"/>
        <v>999299.99999999907</v>
      </c>
      <c r="K581" s="16">
        <f t="shared" si="88"/>
        <v>0.99999999999999911</v>
      </c>
    </row>
    <row r="582" spans="1:11" x14ac:dyDescent="0.15">
      <c r="A582" s="7">
        <v>39235.506064814814</v>
      </c>
      <c r="B582">
        <v>39.5</v>
      </c>
      <c r="C582" s="6">
        <f t="shared" si="81"/>
        <v>1123.9999999757856</v>
      </c>
      <c r="D582" t="str">
        <f t="shared" si="82"/>
        <v/>
      </c>
      <c r="E582" t="str">
        <f t="shared" si="80"/>
        <v xml:space="preserve"> </v>
      </c>
      <c r="F582" s="4">
        <f t="shared" si="83"/>
        <v>0</v>
      </c>
      <c r="G582" s="4">
        <f t="shared" si="84"/>
        <v>0</v>
      </c>
      <c r="H582" s="5">
        <f t="shared" si="85"/>
        <v>0</v>
      </c>
      <c r="I582" s="14">
        <f t="shared" si="86"/>
        <v>0</v>
      </c>
      <c r="J582" s="19">
        <f t="shared" si="87"/>
        <v>999299.99999999907</v>
      </c>
      <c r="K582" s="16">
        <f t="shared" si="88"/>
        <v>0.99999999999999911</v>
      </c>
    </row>
    <row r="583" spans="1:11" x14ac:dyDescent="0.15">
      <c r="A583" s="7">
        <v>39235.50608796296</v>
      </c>
      <c r="B583">
        <v>39.5</v>
      </c>
      <c r="C583" s="6">
        <f t="shared" si="81"/>
        <v>1125.9999998146668</v>
      </c>
      <c r="D583" t="str">
        <f t="shared" si="82"/>
        <v/>
      </c>
      <c r="E583" t="str">
        <f t="shared" si="80"/>
        <v xml:space="preserve"> </v>
      </c>
      <c r="F583" s="4">
        <f t="shared" si="83"/>
        <v>0</v>
      </c>
      <c r="G583" s="4">
        <f t="shared" si="84"/>
        <v>0</v>
      </c>
      <c r="H583" s="5">
        <f t="shared" si="85"/>
        <v>0</v>
      </c>
      <c r="I583" s="14">
        <f t="shared" si="86"/>
        <v>0</v>
      </c>
      <c r="J583" s="19">
        <f t="shared" si="87"/>
        <v>999299.99999999907</v>
      </c>
      <c r="K583" s="16">
        <f t="shared" si="88"/>
        <v>0.99999999999999911</v>
      </c>
    </row>
    <row r="584" spans="1:11" x14ac:dyDescent="0.15">
      <c r="A584" s="7">
        <v>39235.506111111114</v>
      </c>
      <c r="B584">
        <v>39.5</v>
      </c>
      <c r="C584" s="6">
        <f t="shared" si="81"/>
        <v>1128.0000002821907</v>
      </c>
      <c r="D584" t="str">
        <f t="shared" si="82"/>
        <v/>
      </c>
      <c r="E584" t="str">
        <f t="shared" si="80"/>
        <v xml:space="preserve"> </v>
      </c>
      <c r="F584" s="4">
        <f t="shared" si="83"/>
        <v>0</v>
      </c>
      <c r="G584" s="4">
        <f t="shared" si="84"/>
        <v>0</v>
      </c>
      <c r="H584" s="5">
        <f t="shared" si="85"/>
        <v>0</v>
      </c>
      <c r="I584" s="14">
        <f t="shared" si="86"/>
        <v>0</v>
      </c>
      <c r="J584" s="19">
        <f t="shared" si="87"/>
        <v>999299.99999999907</v>
      </c>
      <c r="K584" s="16">
        <f t="shared" si="88"/>
        <v>0.99999999999999911</v>
      </c>
    </row>
    <row r="585" spans="1:11" x14ac:dyDescent="0.15">
      <c r="A585" s="7">
        <v>39235.50613425926</v>
      </c>
      <c r="B585">
        <v>39.5</v>
      </c>
      <c r="C585" s="6">
        <f t="shared" si="81"/>
        <v>1130.0000001210719</v>
      </c>
      <c r="D585" t="str">
        <f t="shared" si="82"/>
        <v/>
      </c>
      <c r="E585" t="str">
        <f t="shared" si="80"/>
        <v xml:space="preserve"> </v>
      </c>
      <c r="F585" s="4">
        <f t="shared" si="83"/>
        <v>0</v>
      </c>
      <c r="G585" s="4">
        <f t="shared" si="84"/>
        <v>0</v>
      </c>
      <c r="H585" s="5">
        <f t="shared" si="85"/>
        <v>0</v>
      </c>
      <c r="I585" s="14">
        <f t="shared" si="86"/>
        <v>0</v>
      </c>
      <c r="J585" s="19">
        <f t="shared" si="87"/>
        <v>999299.99999999907</v>
      </c>
      <c r="K585" s="16">
        <f t="shared" si="88"/>
        <v>0.99999999999999911</v>
      </c>
    </row>
    <row r="586" spans="1:11" x14ac:dyDescent="0.15">
      <c r="A586" s="7">
        <v>39235.506157407406</v>
      </c>
      <c r="B586">
        <v>39.5</v>
      </c>
      <c r="C586" s="6">
        <f t="shared" si="81"/>
        <v>1131.9999999599531</v>
      </c>
      <c r="D586" t="str">
        <f t="shared" si="82"/>
        <v/>
      </c>
      <c r="E586" t="str">
        <f t="shared" si="80"/>
        <v xml:space="preserve"> </v>
      </c>
      <c r="F586" s="4">
        <f t="shared" si="83"/>
        <v>0</v>
      </c>
      <c r="G586" s="4">
        <f t="shared" si="84"/>
        <v>0</v>
      </c>
      <c r="H586" s="5">
        <f t="shared" si="85"/>
        <v>0</v>
      </c>
      <c r="I586" s="14">
        <f t="shared" si="86"/>
        <v>0</v>
      </c>
      <c r="J586" s="19">
        <f t="shared" si="87"/>
        <v>999299.99999999907</v>
      </c>
      <c r="K586" s="16">
        <f t="shared" si="88"/>
        <v>0.99999999999999911</v>
      </c>
    </row>
    <row r="587" spans="1:11" x14ac:dyDescent="0.15">
      <c r="A587" s="7">
        <v>39235.506180555552</v>
      </c>
      <c r="B587">
        <v>39.5</v>
      </c>
      <c r="C587" s="6">
        <f t="shared" si="81"/>
        <v>1133.9999997988343</v>
      </c>
      <c r="D587" t="str">
        <f t="shared" si="82"/>
        <v/>
      </c>
      <c r="E587" t="str">
        <f t="shared" si="80"/>
        <v xml:space="preserve"> </v>
      </c>
      <c r="F587" s="4">
        <f t="shared" si="83"/>
        <v>0</v>
      </c>
      <c r="G587" s="4">
        <f t="shared" si="84"/>
        <v>0</v>
      </c>
      <c r="H587" s="5">
        <f t="shared" si="85"/>
        <v>0</v>
      </c>
      <c r="I587" s="14">
        <f t="shared" si="86"/>
        <v>0</v>
      </c>
      <c r="J587" s="19">
        <f t="shared" si="87"/>
        <v>999299.99999999907</v>
      </c>
      <c r="K587" s="16">
        <f t="shared" si="88"/>
        <v>0.99999999999999911</v>
      </c>
    </row>
    <row r="588" spans="1:11" x14ac:dyDescent="0.15">
      <c r="A588" s="7">
        <v>39235.506203703706</v>
      </c>
      <c r="B588">
        <v>39.5</v>
      </c>
      <c r="C588" s="6">
        <f t="shared" si="81"/>
        <v>1136.0000002663583</v>
      </c>
      <c r="D588" t="str">
        <f t="shared" si="82"/>
        <v/>
      </c>
      <c r="E588" t="str">
        <f t="shared" si="80"/>
        <v xml:space="preserve"> </v>
      </c>
      <c r="F588" s="4">
        <f t="shared" si="83"/>
        <v>0</v>
      </c>
      <c r="G588" s="4">
        <f t="shared" si="84"/>
        <v>0</v>
      </c>
      <c r="H588" s="5">
        <f t="shared" si="85"/>
        <v>0</v>
      </c>
      <c r="I588" s="14">
        <f t="shared" si="86"/>
        <v>0</v>
      </c>
      <c r="J588" s="19">
        <f t="shared" si="87"/>
        <v>999299.99999999907</v>
      </c>
      <c r="K588" s="16">
        <f t="shared" si="88"/>
        <v>0.99999999999999911</v>
      </c>
    </row>
    <row r="589" spans="1:11" x14ac:dyDescent="0.15">
      <c r="A589" s="7">
        <v>39235.506226851852</v>
      </c>
      <c r="B589">
        <v>39.5</v>
      </c>
      <c r="C589" s="6">
        <f t="shared" si="81"/>
        <v>1138.0000001052395</v>
      </c>
      <c r="D589" t="str">
        <f t="shared" si="82"/>
        <v/>
      </c>
      <c r="E589" t="str">
        <f t="shared" si="80"/>
        <v xml:space="preserve"> </v>
      </c>
      <c r="F589" s="4">
        <f t="shared" si="83"/>
        <v>0</v>
      </c>
      <c r="G589" s="4">
        <f t="shared" si="84"/>
        <v>0</v>
      </c>
      <c r="H589" s="5">
        <f t="shared" si="85"/>
        <v>0</v>
      </c>
      <c r="I589" s="14">
        <f t="shared" si="86"/>
        <v>0</v>
      </c>
      <c r="J589" s="19">
        <f t="shared" si="87"/>
        <v>999299.99999999907</v>
      </c>
      <c r="K589" s="16">
        <f t="shared" si="88"/>
        <v>0.99999999999999911</v>
      </c>
    </row>
    <row r="590" spans="1:11" x14ac:dyDescent="0.15">
      <c r="A590" s="7">
        <v>39235.506249999999</v>
      </c>
      <c r="B590">
        <v>39.5</v>
      </c>
      <c r="C590" s="6">
        <f t="shared" si="81"/>
        <v>1139.9999999441206</v>
      </c>
      <c r="D590" t="str">
        <f t="shared" si="82"/>
        <v/>
      </c>
      <c r="E590" t="str">
        <f t="shared" si="80"/>
        <v xml:space="preserve"> </v>
      </c>
      <c r="F590" s="4">
        <f t="shared" si="83"/>
        <v>0</v>
      </c>
      <c r="G590" s="4">
        <f t="shared" si="84"/>
        <v>0</v>
      </c>
      <c r="H590" s="5">
        <f t="shared" si="85"/>
        <v>0</v>
      </c>
      <c r="I590" s="14">
        <f t="shared" si="86"/>
        <v>0</v>
      </c>
      <c r="J590" s="19">
        <f t="shared" si="87"/>
        <v>999299.99999999907</v>
      </c>
      <c r="K590" s="16">
        <f t="shared" si="88"/>
        <v>0.99999999999999911</v>
      </c>
    </row>
    <row r="591" spans="1:11" x14ac:dyDescent="0.15">
      <c r="A591" s="7">
        <v>39235.506273148145</v>
      </c>
      <c r="B591">
        <v>39.5</v>
      </c>
      <c r="C591" s="6">
        <f t="shared" si="81"/>
        <v>1141.9999997830018</v>
      </c>
      <c r="D591" t="str">
        <f t="shared" si="82"/>
        <v/>
      </c>
      <c r="E591" t="str">
        <f t="shared" si="80"/>
        <v xml:space="preserve"> </v>
      </c>
      <c r="F591" s="4">
        <f t="shared" si="83"/>
        <v>0</v>
      </c>
      <c r="G591" s="4">
        <f t="shared" si="84"/>
        <v>0</v>
      </c>
      <c r="H591" s="5">
        <f t="shared" si="85"/>
        <v>0</v>
      </c>
      <c r="I591" s="14">
        <f t="shared" si="86"/>
        <v>0</v>
      </c>
      <c r="J591" s="19">
        <f t="shared" si="87"/>
        <v>999299.99999999907</v>
      </c>
      <c r="K591" s="16">
        <f t="shared" si="88"/>
        <v>0.99999999999999911</v>
      </c>
    </row>
    <row r="592" spans="1:11" x14ac:dyDescent="0.15">
      <c r="A592" s="7">
        <v>39235.506296296298</v>
      </c>
      <c r="B592">
        <v>39.5</v>
      </c>
      <c r="C592" s="6">
        <f t="shared" si="81"/>
        <v>1144.0000002505258</v>
      </c>
      <c r="D592" t="str">
        <f t="shared" si="82"/>
        <v/>
      </c>
      <c r="E592" t="str">
        <f t="shared" si="80"/>
        <v xml:space="preserve"> </v>
      </c>
      <c r="F592" s="4">
        <f t="shared" si="83"/>
        <v>0</v>
      </c>
      <c r="G592" s="4">
        <f t="shared" si="84"/>
        <v>0</v>
      </c>
      <c r="H592" s="5">
        <f t="shared" si="85"/>
        <v>0</v>
      </c>
      <c r="I592" s="14">
        <f t="shared" si="86"/>
        <v>0</v>
      </c>
      <c r="J592" s="19">
        <f t="shared" si="87"/>
        <v>999299.99999999907</v>
      </c>
      <c r="K592" s="16">
        <f t="shared" si="88"/>
        <v>0.99999999999999911</v>
      </c>
    </row>
    <row r="593" spans="1:11" x14ac:dyDescent="0.15">
      <c r="A593" s="7">
        <v>39235.506319444445</v>
      </c>
      <c r="B593">
        <v>39.5</v>
      </c>
      <c r="C593" s="6">
        <f t="shared" si="81"/>
        <v>1146.000000089407</v>
      </c>
      <c r="D593" t="str">
        <f t="shared" si="82"/>
        <v/>
      </c>
      <c r="E593" t="str">
        <f t="shared" si="80"/>
        <v xml:space="preserve"> </v>
      </c>
      <c r="F593" s="4">
        <f t="shared" si="83"/>
        <v>0</v>
      </c>
      <c r="G593" s="4">
        <f t="shared" si="84"/>
        <v>0</v>
      </c>
      <c r="H593" s="5">
        <f t="shared" si="85"/>
        <v>0</v>
      </c>
      <c r="I593" s="14">
        <f t="shared" si="86"/>
        <v>0</v>
      </c>
      <c r="J593" s="19">
        <f t="shared" si="87"/>
        <v>999299.99999999907</v>
      </c>
      <c r="K593" s="16">
        <f t="shared" si="88"/>
        <v>0.99999999999999911</v>
      </c>
    </row>
    <row r="594" spans="1:11" x14ac:dyDescent="0.15">
      <c r="A594" s="7">
        <v>39235.506342592591</v>
      </c>
      <c r="B594">
        <v>39.5</v>
      </c>
      <c r="C594" s="6">
        <f t="shared" si="81"/>
        <v>1147.9999999282882</v>
      </c>
      <c r="D594" t="str">
        <f t="shared" si="82"/>
        <v/>
      </c>
      <c r="E594" t="str">
        <f t="shared" si="80"/>
        <v xml:space="preserve"> </v>
      </c>
      <c r="F594" s="4">
        <f t="shared" si="83"/>
        <v>0</v>
      </c>
      <c r="G594" s="4">
        <f t="shared" si="84"/>
        <v>0</v>
      </c>
      <c r="H594" s="5">
        <f t="shared" si="85"/>
        <v>0</v>
      </c>
      <c r="I594" s="14">
        <f t="shared" si="86"/>
        <v>0</v>
      </c>
      <c r="J594" s="19">
        <f t="shared" si="87"/>
        <v>999299.99999999907</v>
      </c>
      <c r="K594" s="16">
        <f t="shared" si="88"/>
        <v>0.99999999999999911</v>
      </c>
    </row>
    <row r="595" spans="1:11" x14ac:dyDescent="0.15">
      <c r="A595" s="7">
        <v>39235.506365740737</v>
      </c>
      <c r="B595">
        <v>39.5</v>
      </c>
      <c r="C595" s="6">
        <f t="shared" si="81"/>
        <v>1149.9999997671694</v>
      </c>
      <c r="D595" t="str">
        <f t="shared" si="82"/>
        <v/>
      </c>
      <c r="E595" t="str">
        <f t="shared" si="80"/>
        <v xml:space="preserve"> </v>
      </c>
      <c r="F595" s="4">
        <f t="shared" si="83"/>
        <v>0</v>
      </c>
      <c r="G595" s="4">
        <f t="shared" si="84"/>
        <v>0</v>
      </c>
      <c r="H595" s="5">
        <f t="shared" si="85"/>
        <v>0</v>
      </c>
      <c r="I595" s="14">
        <f t="shared" si="86"/>
        <v>0</v>
      </c>
      <c r="J595" s="19">
        <f t="shared" si="87"/>
        <v>999299.99999999907</v>
      </c>
      <c r="K595" s="16">
        <f t="shared" si="88"/>
        <v>0.99999999999999911</v>
      </c>
    </row>
    <row r="596" spans="1:11" x14ac:dyDescent="0.15">
      <c r="A596" s="7">
        <v>39235.506388888891</v>
      </c>
      <c r="B596">
        <v>39.5</v>
      </c>
      <c r="C596" s="6">
        <f t="shared" si="81"/>
        <v>1152.0000002346933</v>
      </c>
      <c r="D596" t="str">
        <f t="shared" si="82"/>
        <v/>
      </c>
      <c r="E596" t="str">
        <f t="shared" si="80"/>
        <v xml:space="preserve"> </v>
      </c>
      <c r="F596" s="4">
        <f t="shared" si="83"/>
        <v>0</v>
      </c>
      <c r="G596" s="4">
        <f t="shared" si="84"/>
        <v>0</v>
      </c>
      <c r="H596" s="5">
        <f t="shared" si="85"/>
        <v>0</v>
      </c>
      <c r="I596" s="14">
        <f t="shared" si="86"/>
        <v>0</v>
      </c>
      <c r="J596" s="19">
        <f t="shared" si="87"/>
        <v>999299.99999999907</v>
      </c>
      <c r="K596" s="16">
        <f t="shared" si="88"/>
        <v>0.99999999999999911</v>
      </c>
    </row>
    <row r="597" spans="1:11" x14ac:dyDescent="0.15">
      <c r="A597" s="7">
        <v>39235.506412037037</v>
      </c>
      <c r="B597">
        <v>39.5</v>
      </c>
      <c r="C597" s="6">
        <f t="shared" si="81"/>
        <v>1154.0000000735745</v>
      </c>
      <c r="D597" t="str">
        <f t="shared" si="82"/>
        <v/>
      </c>
      <c r="E597" t="str">
        <f t="shared" ref="E597:E619" si="89">IF(B597-$B$6&gt;0,A597," ")</f>
        <v xml:space="preserve"> </v>
      </c>
      <c r="F597" s="4">
        <f t="shared" si="83"/>
        <v>0</v>
      </c>
      <c r="G597" s="4">
        <f t="shared" si="84"/>
        <v>0</v>
      </c>
      <c r="H597" s="5">
        <f t="shared" si="85"/>
        <v>0</v>
      </c>
      <c r="I597" s="14">
        <f t="shared" si="86"/>
        <v>0</v>
      </c>
      <c r="J597" s="19">
        <f t="shared" si="87"/>
        <v>999299.99999999907</v>
      </c>
      <c r="K597" s="16">
        <f t="shared" si="88"/>
        <v>0.99999999999999911</v>
      </c>
    </row>
    <row r="598" spans="1:11" x14ac:dyDescent="0.15">
      <c r="A598" s="7">
        <v>39235.506435185183</v>
      </c>
      <c r="B598">
        <v>39.5</v>
      </c>
      <c r="C598" s="6">
        <f t="shared" si="81"/>
        <v>1155.9999999124557</v>
      </c>
      <c r="D598" t="str">
        <f t="shared" si="82"/>
        <v/>
      </c>
      <c r="E598" t="str">
        <f t="shared" si="89"/>
        <v xml:space="preserve"> </v>
      </c>
      <c r="F598" s="4">
        <f t="shared" si="83"/>
        <v>0</v>
      </c>
      <c r="G598" s="4">
        <f t="shared" si="84"/>
        <v>0</v>
      </c>
      <c r="H598" s="5">
        <f t="shared" si="85"/>
        <v>0</v>
      </c>
      <c r="I598" s="14">
        <f t="shared" si="86"/>
        <v>0</v>
      </c>
      <c r="J598" s="19">
        <f t="shared" si="87"/>
        <v>999299.99999999907</v>
      </c>
      <c r="K598" s="16">
        <f t="shared" si="88"/>
        <v>0.99999999999999911</v>
      </c>
    </row>
    <row r="599" spans="1:11" x14ac:dyDescent="0.15">
      <c r="A599" s="7">
        <v>39235.506458333337</v>
      </c>
      <c r="B599">
        <v>39.5</v>
      </c>
      <c r="C599" s="6">
        <f t="shared" si="81"/>
        <v>1158.0000003799796</v>
      </c>
      <c r="D599" t="str">
        <f t="shared" si="82"/>
        <v/>
      </c>
      <c r="E599" t="str">
        <f t="shared" si="89"/>
        <v xml:space="preserve"> </v>
      </c>
      <c r="F599" s="4">
        <f t="shared" si="83"/>
        <v>0</v>
      </c>
      <c r="G599" s="4">
        <f t="shared" si="84"/>
        <v>0</v>
      </c>
      <c r="H599" s="5">
        <f t="shared" si="85"/>
        <v>0</v>
      </c>
      <c r="I599" s="14">
        <f t="shared" si="86"/>
        <v>0</v>
      </c>
      <c r="J599" s="19">
        <f t="shared" si="87"/>
        <v>999299.99999999907</v>
      </c>
      <c r="K599" s="16">
        <f t="shared" si="88"/>
        <v>0.99999999999999911</v>
      </c>
    </row>
    <row r="600" spans="1:11" x14ac:dyDescent="0.15">
      <c r="A600" s="7">
        <v>39235.506481481483</v>
      </c>
      <c r="B600">
        <v>39.5</v>
      </c>
      <c r="C600" s="6">
        <f t="shared" si="81"/>
        <v>1160.0000002188608</v>
      </c>
      <c r="D600" t="str">
        <f t="shared" si="82"/>
        <v/>
      </c>
      <c r="E600" t="str">
        <f t="shared" si="89"/>
        <v xml:space="preserve"> </v>
      </c>
      <c r="F600" s="4">
        <f t="shared" si="83"/>
        <v>0</v>
      </c>
      <c r="G600" s="4">
        <f t="shared" si="84"/>
        <v>0</v>
      </c>
      <c r="H600" s="5">
        <f t="shared" si="85"/>
        <v>0</v>
      </c>
      <c r="I600" s="14">
        <f t="shared" si="86"/>
        <v>0</v>
      </c>
      <c r="J600" s="19">
        <f t="shared" si="87"/>
        <v>999299.99999999907</v>
      </c>
      <c r="K600" s="16">
        <f t="shared" si="88"/>
        <v>0.99999999999999911</v>
      </c>
    </row>
    <row r="601" spans="1:11" x14ac:dyDescent="0.15">
      <c r="A601" s="7">
        <v>39235.506504629629</v>
      </c>
      <c r="B601">
        <v>39.5</v>
      </c>
      <c r="C601" s="6">
        <f t="shared" si="81"/>
        <v>1162.000000057742</v>
      </c>
      <c r="D601" t="str">
        <f t="shared" si="82"/>
        <v/>
      </c>
      <c r="E601" t="str">
        <f t="shared" si="89"/>
        <v xml:space="preserve"> </v>
      </c>
      <c r="F601" s="4">
        <f t="shared" si="83"/>
        <v>0</v>
      </c>
      <c r="G601" s="4">
        <f t="shared" si="84"/>
        <v>0</v>
      </c>
      <c r="H601" s="5">
        <f t="shared" si="85"/>
        <v>0</v>
      </c>
      <c r="I601" s="14">
        <f t="shared" si="86"/>
        <v>0</v>
      </c>
      <c r="J601" s="19">
        <f t="shared" si="87"/>
        <v>999299.99999999907</v>
      </c>
      <c r="K601" s="16">
        <f t="shared" si="88"/>
        <v>0.99999999999999911</v>
      </c>
    </row>
    <row r="602" spans="1:11" x14ac:dyDescent="0.15">
      <c r="A602" s="7">
        <v>39235.506527777776</v>
      </c>
      <c r="B602">
        <v>39.5</v>
      </c>
      <c r="C602" s="6">
        <f t="shared" si="81"/>
        <v>1163.9999998966232</v>
      </c>
      <c r="D602" t="str">
        <f t="shared" si="82"/>
        <v/>
      </c>
      <c r="E602" t="str">
        <f t="shared" si="89"/>
        <v xml:space="preserve"> </v>
      </c>
      <c r="F602" s="4">
        <f t="shared" si="83"/>
        <v>0</v>
      </c>
      <c r="G602" s="4">
        <f t="shared" si="84"/>
        <v>0</v>
      </c>
      <c r="H602" s="5">
        <f t="shared" si="85"/>
        <v>0</v>
      </c>
      <c r="I602" s="14">
        <f t="shared" si="86"/>
        <v>0</v>
      </c>
      <c r="J602" s="19">
        <f t="shared" si="87"/>
        <v>999299.99999999907</v>
      </c>
      <c r="K602" s="16">
        <f t="shared" si="88"/>
        <v>0.99999999999999911</v>
      </c>
    </row>
    <row r="603" spans="1:11" x14ac:dyDescent="0.15">
      <c r="A603" s="7">
        <v>39235.506550925929</v>
      </c>
      <c r="B603">
        <v>39.5</v>
      </c>
      <c r="C603" s="6">
        <f t="shared" si="81"/>
        <v>1166.0000003641471</v>
      </c>
      <c r="D603" t="str">
        <f t="shared" si="82"/>
        <v/>
      </c>
      <c r="E603" t="str">
        <f t="shared" si="89"/>
        <v xml:space="preserve"> </v>
      </c>
      <c r="F603" s="4">
        <f t="shared" si="83"/>
        <v>0</v>
      </c>
      <c r="G603" s="4">
        <f t="shared" si="84"/>
        <v>0</v>
      </c>
      <c r="H603" s="5">
        <f t="shared" si="85"/>
        <v>0</v>
      </c>
      <c r="I603" s="14">
        <f t="shared" si="86"/>
        <v>0</v>
      </c>
      <c r="J603" s="19">
        <f t="shared" si="87"/>
        <v>999299.99999999907</v>
      </c>
      <c r="K603" s="16">
        <f t="shared" si="88"/>
        <v>0.99999999999999911</v>
      </c>
    </row>
    <row r="604" spans="1:11" x14ac:dyDescent="0.15">
      <c r="A604" s="7">
        <v>39235.506574074076</v>
      </c>
      <c r="B604">
        <v>39.5</v>
      </c>
      <c r="C604" s="6">
        <f t="shared" si="81"/>
        <v>1168.0000002030283</v>
      </c>
      <c r="D604" t="str">
        <f t="shared" si="82"/>
        <v/>
      </c>
      <c r="E604" t="str">
        <f t="shared" si="89"/>
        <v xml:space="preserve"> </v>
      </c>
      <c r="F604" s="4">
        <f t="shared" si="83"/>
        <v>0</v>
      </c>
      <c r="G604" s="4">
        <f t="shared" si="84"/>
        <v>0</v>
      </c>
      <c r="H604" s="5">
        <f t="shared" si="85"/>
        <v>0</v>
      </c>
      <c r="I604" s="14">
        <f t="shared" si="86"/>
        <v>0</v>
      </c>
      <c r="J604" s="19">
        <f t="shared" si="87"/>
        <v>999299.99999999907</v>
      </c>
      <c r="K604" s="16">
        <f t="shared" si="88"/>
        <v>0.99999999999999911</v>
      </c>
    </row>
    <row r="605" spans="1:11" x14ac:dyDescent="0.15">
      <c r="A605" s="7">
        <v>39235.506597222222</v>
      </c>
      <c r="B605">
        <v>39.5</v>
      </c>
      <c r="C605" s="6">
        <f t="shared" si="81"/>
        <v>1170.0000000419095</v>
      </c>
      <c r="D605" t="str">
        <f t="shared" si="82"/>
        <v/>
      </c>
      <c r="E605" t="str">
        <f t="shared" si="89"/>
        <v xml:space="preserve"> </v>
      </c>
      <c r="F605" s="4">
        <f t="shared" si="83"/>
        <v>0</v>
      </c>
      <c r="G605" s="4">
        <f t="shared" si="84"/>
        <v>0</v>
      </c>
      <c r="H605" s="5">
        <f t="shared" si="85"/>
        <v>0</v>
      </c>
      <c r="I605" s="14">
        <f t="shared" si="86"/>
        <v>0</v>
      </c>
      <c r="J605" s="19">
        <f t="shared" si="87"/>
        <v>999299.99999999907</v>
      </c>
      <c r="K605" s="16">
        <f t="shared" si="88"/>
        <v>0.99999999999999911</v>
      </c>
    </row>
    <row r="606" spans="1:11" x14ac:dyDescent="0.15">
      <c r="A606" s="7">
        <v>39235.506620370368</v>
      </c>
      <c r="B606">
        <v>39.5</v>
      </c>
      <c r="C606" s="6">
        <f t="shared" si="81"/>
        <v>1171.9999998807907</v>
      </c>
      <c r="D606" t="str">
        <f t="shared" si="82"/>
        <v/>
      </c>
      <c r="E606" t="str">
        <f t="shared" si="89"/>
        <v xml:space="preserve"> </v>
      </c>
      <c r="F606" s="4">
        <f t="shared" si="83"/>
        <v>0</v>
      </c>
      <c r="G606" s="4">
        <f t="shared" si="84"/>
        <v>0</v>
      </c>
      <c r="H606" s="5">
        <f t="shared" si="85"/>
        <v>0</v>
      </c>
      <c r="I606" s="14">
        <f t="shared" si="86"/>
        <v>0</v>
      </c>
      <c r="J606" s="19">
        <f t="shared" si="87"/>
        <v>999299.99999999907</v>
      </c>
      <c r="K606" s="16">
        <f t="shared" si="88"/>
        <v>0.99999999999999911</v>
      </c>
    </row>
    <row r="607" spans="1:11" x14ac:dyDescent="0.15">
      <c r="A607" s="7">
        <v>39235.506643518522</v>
      </c>
      <c r="B607">
        <v>39.5</v>
      </c>
      <c r="C607" s="6">
        <f t="shared" si="81"/>
        <v>1174.0000003483146</v>
      </c>
      <c r="D607" t="str">
        <f t="shared" si="82"/>
        <v/>
      </c>
      <c r="E607" t="str">
        <f t="shared" si="89"/>
        <v xml:space="preserve"> </v>
      </c>
      <c r="F607" s="4">
        <f t="shared" si="83"/>
        <v>0</v>
      </c>
      <c r="G607" s="4">
        <f t="shared" si="84"/>
        <v>0</v>
      </c>
      <c r="H607" s="5">
        <f t="shared" si="85"/>
        <v>0</v>
      </c>
      <c r="I607" s="14">
        <f t="shared" si="86"/>
        <v>0</v>
      </c>
      <c r="J607" s="19">
        <f t="shared" si="87"/>
        <v>999299.99999999907</v>
      </c>
      <c r="K607" s="16">
        <f t="shared" si="88"/>
        <v>0.99999999999999911</v>
      </c>
    </row>
    <row r="608" spans="1:11" x14ac:dyDescent="0.15">
      <c r="A608" s="7">
        <v>39235.506666666668</v>
      </c>
      <c r="B608">
        <v>39.5</v>
      </c>
      <c r="C608" s="6">
        <f t="shared" si="81"/>
        <v>1176.0000001871958</v>
      </c>
      <c r="D608" t="str">
        <f t="shared" si="82"/>
        <v/>
      </c>
      <c r="E608" t="str">
        <f t="shared" si="89"/>
        <v xml:space="preserve"> </v>
      </c>
      <c r="F608" s="4">
        <f t="shared" si="83"/>
        <v>0</v>
      </c>
      <c r="G608" s="4">
        <f t="shared" si="84"/>
        <v>0</v>
      </c>
      <c r="H608" s="5">
        <f t="shared" si="85"/>
        <v>0</v>
      </c>
      <c r="I608" s="14">
        <f t="shared" si="86"/>
        <v>0</v>
      </c>
      <c r="J608" s="19">
        <f t="shared" si="87"/>
        <v>999299.99999999907</v>
      </c>
      <c r="K608" s="16">
        <f t="shared" si="88"/>
        <v>0.99999999999999911</v>
      </c>
    </row>
    <row r="609" spans="1:11" x14ac:dyDescent="0.15">
      <c r="A609" s="7">
        <v>39235.506689814814</v>
      </c>
      <c r="B609">
        <v>39.5</v>
      </c>
      <c r="C609" s="6">
        <f t="shared" si="81"/>
        <v>1178.000000026077</v>
      </c>
      <c r="D609" t="str">
        <f t="shared" si="82"/>
        <v/>
      </c>
      <c r="E609" t="str">
        <f t="shared" si="89"/>
        <v xml:space="preserve"> </v>
      </c>
      <c r="F609" s="4">
        <f t="shared" si="83"/>
        <v>0</v>
      </c>
      <c r="G609" s="4">
        <f t="shared" si="84"/>
        <v>0</v>
      </c>
      <c r="H609" s="5">
        <f t="shared" si="85"/>
        <v>0</v>
      </c>
      <c r="I609" s="14">
        <f t="shared" si="86"/>
        <v>0</v>
      </c>
      <c r="J609" s="19">
        <f t="shared" si="87"/>
        <v>999299.99999999907</v>
      </c>
      <c r="K609" s="16">
        <f t="shared" si="88"/>
        <v>0.99999999999999911</v>
      </c>
    </row>
    <row r="610" spans="1:11" x14ac:dyDescent="0.15">
      <c r="A610" s="7">
        <v>39235.506712962961</v>
      </c>
      <c r="B610">
        <v>39.5</v>
      </c>
      <c r="C610" s="6">
        <f t="shared" si="81"/>
        <v>1179.9999998649582</v>
      </c>
      <c r="D610" t="str">
        <f t="shared" si="82"/>
        <v/>
      </c>
      <c r="E610" t="str">
        <f t="shared" si="89"/>
        <v xml:space="preserve"> </v>
      </c>
      <c r="F610" s="4">
        <f t="shared" si="83"/>
        <v>0</v>
      </c>
      <c r="G610" s="4">
        <f t="shared" si="84"/>
        <v>0</v>
      </c>
      <c r="H610" s="5">
        <f t="shared" si="85"/>
        <v>0</v>
      </c>
      <c r="I610" s="14">
        <f t="shared" si="86"/>
        <v>0</v>
      </c>
      <c r="J610" s="19">
        <f t="shared" si="87"/>
        <v>999299.99999999907</v>
      </c>
      <c r="K610" s="16">
        <f t="shared" si="88"/>
        <v>0.99999999999999911</v>
      </c>
    </row>
    <row r="611" spans="1:11" x14ac:dyDescent="0.15">
      <c r="A611" s="7">
        <v>39235.506736111114</v>
      </c>
      <c r="B611">
        <v>39.5</v>
      </c>
      <c r="C611" s="6">
        <f t="shared" si="81"/>
        <v>1182.0000003324822</v>
      </c>
      <c r="D611" t="str">
        <f t="shared" si="82"/>
        <v/>
      </c>
      <c r="E611" t="str">
        <f t="shared" si="89"/>
        <v xml:space="preserve"> </v>
      </c>
      <c r="F611" s="4">
        <f t="shared" si="83"/>
        <v>0</v>
      </c>
      <c r="G611" s="4">
        <f t="shared" si="84"/>
        <v>0</v>
      </c>
      <c r="H611" s="5">
        <f t="shared" si="85"/>
        <v>0</v>
      </c>
      <c r="I611" s="14">
        <f t="shared" si="86"/>
        <v>0</v>
      </c>
      <c r="J611" s="19">
        <f t="shared" si="87"/>
        <v>999299.99999999907</v>
      </c>
      <c r="K611" s="16">
        <f t="shared" si="88"/>
        <v>0.99999999999999911</v>
      </c>
    </row>
    <row r="612" spans="1:11" x14ac:dyDescent="0.15">
      <c r="A612" s="7">
        <v>39235.50675925926</v>
      </c>
      <c r="B612">
        <v>39.5</v>
      </c>
      <c r="C612" s="6">
        <f t="shared" si="81"/>
        <v>1184.0000001713634</v>
      </c>
      <c r="D612" t="str">
        <f t="shared" si="82"/>
        <v/>
      </c>
      <c r="E612" t="str">
        <f t="shared" si="89"/>
        <v xml:space="preserve"> </v>
      </c>
      <c r="F612" s="4">
        <f t="shared" si="83"/>
        <v>0</v>
      </c>
      <c r="G612" s="4">
        <f t="shared" si="84"/>
        <v>0</v>
      </c>
      <c r="H612" s="5">
        <f t="shared" si="85"/>
        <v>0</v>
      </c>
      <c r="I612" s="14">
        <f t="shared" si="86"/>
        <v>0</v>
      </c>
      <c r="J612" s="19">
        <f t="shared" si="87"/>
        <v>999299.99999999907</v>
      </c>
      <c r="K612" s="16">
        <f t="shared" si="88"/>
        <v>0.99999999999999911</v>
      </c>
    </row>
    <row r="613" spans="1:11" x14ac:dyDescent="0.15">
      <c r="A613" s="7">
        <v>39235.506782407407</v>
      </c>
      <c r="B613">
        <v>39.5</v>
      </c>
      <c r="C613" s="6">
        <f t="shared" si="81"/>
        <v>1186.0000000102445</v>
      </c>
      <c r="D613" t="str">
        <f t="shared" si="82"/>
        <v/>
      </c>
      <c r="E613" t="str">
        <f t="shared" si="89"/>
        <v xml:space="preserve"> </v>
      </c>
      <c r="F613" s="4">
        <f t="shared" si="83"/>
        <v>0</v>
      </c>
      <c r="G613" s="4">
        <f t="shared" si="84"/>
        <v>0</v>
      </c>
      <c r="H613" s="5">
        <f t="shared" si="85"/>
        <v>0</v>
      </c>
      <c r="I613" s="14">
        <f t="shared" si="86"/>
        <v>0</v>
      </c>
      <c r="J613" s="19">
        <f t="shared" si="87"/>
        <v>999299.99999999907</v>
      </c>
      <c r="K613" s="16">
        <f t="shared" si="88"/>
        <v>0.99999999999999911</v>
      </c>
    </row>
    <row r="614" spans="1:11" x14ac:dyDescent="0.15">
      <c r="A614" s="7">
        <v>39235.506805555553</v>
      </c>
      <c r="B614">
        <v>39.5</v>
      </c>
      <c r="C614" s="6">
        <f t="shared" si="81"/>
        <v>1187.9999998491257</v>
      </c>
      <c r="D614" t="str">
        <f t="shared" si="82"/>
        <v/>
      </c>
      <c r="E614" t="str">
        <f t="shared" si="89"/>
        <v xml:space="preserve"> </v>
      </c>
      <c r="F614" s="4">
        <f t="shared" si="83"/>
        <v>0</v>
      </c>
      <c r="G614" s="4">
        <f t="shared" si="84"/>
        <v>0</v>
      </c>
      <c r="H614" s="5">
        <f t="shared" si="85"/>
        <v>0</v>
      </c>
      <c r="I614" s="14">
        <f t="shared" si="86"/>
        <v>0</v>
      </c>
      <c r="J614" s="19">
        <f t="shared" si="87"/>
        <v>999299.99999999907</v>
      </c>
      <c r="K614" s="16">
        <f t="shared" si="88"/>
        <v>0.99999999999999911</v>
      </c>
    </row>
    <row r="615" spans="1:11" x14ac:dyDescent="0.15">
      <c r="A615" s="7">
        <v>39235.506828703707</v>
      </c>
      <c r="B615">
        <v>39.5</v>
      </c>
      <c r="C615" s="6">
        <f t="shared" si="81"/>
        <v>1190.0000003166497</v>
      </c>
      <c r="D615" t="str">
        <f t="shared" si="82"/>
        <v/>
      </c>
      <c r="E615" t="str">
        <f t="shared" si="89"/>
        <v xml:space="preserve"> </v>
      </c>
      <c r="F615" s="4">
        <f t="shared" si="83"/>
        <v>0</v>
      </c>
      <c r="G615" s="4">
        <f t="shared" si="84"/>
        <v>0</v>
      </c>
      <c r="H615" s="5">
        <f t="shared" si="85"/>
        <v>0</v>
      </c>
      <c r="I615" s="14">
        <f t="shared" si="86"/>
        <v>0</v>
      </c>
      <c r="J615" s="19">
        <f t="shared" si="87"/>
        <v>999299.99999999907</v>
      </c>
      <c r="K615" s="16">
        <f t="shared" si="88"/>
        <v>0.99999999999999911</v>
      </c>
    </row>
    <row r="616" spans="1:11" x14ac:dyDescent="0.15">
      <c r="A616" s="7">
        <v>39235.506851851853</v>
      </c>
      <c r="B616">
        <v>39.5</v>
      </c>
      <c r="C616" s="6">
        <f>(A616-$B$4)*24*60*60</f>
        <v>1192.0000001555309</v>
      </c>
      <c r="D616" t="str">
        <f>IF(F616=$B$8,A616,"")</f>
        <v/>
      </c>
      <c r="E616" t="str">
        <f t="shared" si="89"/>
        <v xml:space="preserve"> </v>
      </c>
      <c r="F616" s="4">
        <f>IF((B616-$B$6)&gt;0,B616-$B$6,0)</f>
        <v>0</v>
      </c>
      <c r="G616" s="4">
        <f>F616/2</f>
        <v>0</v>
      </c>
      <c r="H616" s="5">
        <f>AVERAGE(G615:G616)*(C616-C615)</f>
        <v>0</v>
      </c>
      <c r="I616" s="14">
        <f>H616*$B$14</f>
        <v>0</v>
      </c>
      <c r="J616" s="19">
        <f>J615+I616</f>
        <v>999299.99999999907</v>
      </c>
      <c r="K616" s="16">
        <f>J616/($B$12*1000)</f>
        <v>0.99999999999999911</v>
      </c>
    </row>
    <row r="617" spans="1:11" x14ac:dyDescent="0.15">
      <c r="A617" s="7">
        <v>39235.506874999999</v>
      </c>
      <c r="B617">
        <v>39.5</v>
      </c>
      <c r="C617" s="6">
        <f>(A617-$B$4)*24*60*60</f>
        <v>1193.9999999944121</v>
      </c>
      <c r="D617" t="str">
        <f>IF(F617=$B$8,A617,"")</f>
        <v/>
      </c>
      <c r="E617" t="str">
        <f t="shared" si="89"/>
        <v xml:space="preserve"> </v>
      </c>
      <c r="F617" s="4">
        <f>IF((B617-$B$6)&gt;0,B617-$B$6,0)</f>
        <v>0</v>
      </c>
      <c r="G617" s="4">
        <f>F617/2</f>
        <v>0</v>
      </c>
      <c r="H617" s="5">
        <f>AVERAGE(G616:G617)*(C617-C616)</f>
        <v>0</v>
      </c>
      <c r="I617" s="14">
        <f>H617*$B$14</f>
        <v>0</v>
      </c>
      <c r="J617" s="19">
        <f>J616+I617</f>
        <v>999299.99999999907</v>
      </c>
      <c r="K617" s="16">
        <f>J617/($B$12*1000)</f>
        <v>0.99999999999999911</v>
      </c>
    </row>
    <row r="618" spans="1:11" x14ac:dyDescent="0.15">
      <c r="A618" s="7">
        <v>39235.506898148145</v>
      </c>
      <c r="B618">
        <v>39.5</v>
      </c>
      <c r="C618" s="6">
        <f>(A618-$B$4)*24*60*60</f>
        <v>1195.9999998332933</v>
      </c>
      <c r="D618" t="str">
        <f>IF(F618=$B$8,A618,"")</f>
        <v/>
      </c>
      <c r="E618" t="str">
        <f t="shared" si="89"/>
        <v xml:space="preserve"> </v>
      </c>
      <c r="F618" s="4">
        <f>IF((B618-$B$6)&gt;0,B618-$B$6,0)</f>
        <v>0</v>
      </c>
      <c r="G618" s="4">
        <f>F618/2</f>
        <v>0</v>
      </c>
      <c r="H618" s="5">
        <f>AVERAGE(G617:G618)*(C618-C617)</f>
        <v>0</v>
      </c>
      <c r="I618" s="14">
        <f>H618*$B$14</f>
        <v>0</v>
      </c>
      <c r="J618" s="19">
        <f>J617+I618</f>
        <v>999299.99999999907</v>
      </c>
      <c r="K618" s="16">
        <f>J618/($B$12*1000)</f>
        <v>0.99999999999999911</v>
      </c>
    </row>
    <row r="619" spans="1:11" x14ac:dyDescent="0.15">
      <c r="A619" s="7">
        <v>39235.506921296299</v>
      </c>
      <c r="B619">
        <v>39.5</v>
      </c>
      <c r="C619" s="6">
        <f>(A619-$B$4)*24*60*60</f>
        <v>1198.0000003008172</v>
      </c>
      <c r="D619" t="str">
        <f>IF(F619=$B$8,A619,"")</f>
        <v/>
      </c>
      <c r="E619" t="str">
        <f t="shared" si="89"/>
        <v xml:space="preserve"> </v>
      </c>
      <c r="F619" s="4">
        <f>IF((B619-$B$6)&gt;0,B619-$B$6,0)</f>
        <v>0</v>
      </c>
      <c r="G619" s="4">
        <f>F619/2</f>
        <v>0</v>
      </c>
      <c r="H619" s="5">
        <f>AVERAGE(G618:G619)*(C619-C618)</f>
        <v>0</v>
      </c>
      <c r="I619" s="14">
        <f>H619*$B$14</f>
        <v>0</v>
      </c>
      <c r="J619" s="19">
        <f>J618+I619</f>
        <v>999299.99999999907</v>
      </c>
      <c r="K619" s="16">
        <f>J619/($B$12*1000)</f>
        <v>0.99999999999999911</v>
      </c>
    </row>
  </sheetData>
  <sheetCalcPr fullCalcOnLoad="1"/>
  <phoneticPr fontId="5" type="noConversion"/>
  <pageMargins left="0.75" right="0.75" top="1" bottom="1" header="0.5" footer="0.5"/>
  <pageSetup orientation="portrait" horizontalDpi="4294967292" verticalDpi="4294967292"/>
  <headerFooter alignWithMargins="0"/>
  <colBreaks count="1" manualBreakCount="1">
    <brk id="8" max="1048575" man="1"/>
  </colBrea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FE4B8-E5EA-7048-8667-437D63E89F1E}">
  <dimension ref="A1:O709"/>
  <sheetViews>
    <sheetView workbookViewId="0">
      <selection activeCell="A20" sqref="A20:B709"/>
    </sheetView>
  </sheetViews>
  <sheetFormatPr baseColWidth="10" defaultRowHeight="13" x14ac:dyDescent="0.15"/>
  <cols>
    <col min="1" max="1" width="13.83203125" bestFit="1" customWidth="1"/>
    <col min="2" max="2" width="13.1640625" bestFit="1" customWidth="1"/>
  </cols>
  <sheetData>
    <row r="1" spans="1:15" x14ac:dyDescent="0.15">
      <c r="A1" s="31" t="s">
        <v>0</v>
      </c>
      <c r="B1" s="42">
        <v>386</v>
      </c>
      <c r="C1" s="1" t="s">
        <v>1</v>
      </c>
      <c r="D1" s="1"/>
    </row>
    <row r="2" spans="1:15" ht="14" x14ac:dyDescent="0.15">
      <c r="A2" s="43" t="s">
        <v>2</v>
      </c>
      <c r="B2" s="44">
        <v>340</v>
      </c>
      <c r="C2" s="2" t="s">
        <v>1</v>
      </c>
      <c r="D2" s="2"/>
    </row>
    <row r="3" spans="1:15" x14ac:dyDescent="0.15">
      <c r="A3" s="29" t="s">
        <v>3</v>
      </c>
      <c r="B3" s="30" t="s">
        <v>47</v>
      </c>
      <c r="C3" s="1"/>
      <c r="D3" s="1"/>
    </row>
    <row r="4" spans="1:15" x14ac:dyDescent="0.15">
      <c r="A4" s="29" t="s">
        <v>4</v>
      </c>
      <c r="B4" s="22">
        <f>A20</f>
        <v>39235.477083333331</v>
      </c>
      <c r="C4" s="10" t="s">
        <v>34</v>
      </c>
      <c r="D4" s="10"/>
      <c r="N4" t="s">
        <v>48</v>
      </c>
      <c r="O4" s="28"/>
    </row>
    <row r="5" spans="1:15" x14ac:dyDescent="0.15">
      <c r="A5" s="29" t="s">
        <v>5</v>
      </c>
      <c r="B5" s="22">
        <f>MIN(E:E)</f>
        <v>39235.478078703702</v>
      </c>
      <c r="C5" s="10" t="s">
        <v>34</v>
      </c>
      <c r="D5" s="1"/>
    </row>
    <row r="6" spans="1:15" ht="15" x14ac:dyDescent="0.15">
      <c r="A6" s="31" t="s">
        <v>6</v>
      </c>
      <c r="B6" s="32">
        <v>39.9</v>
      </c>
      <c r="C6" s="3" t="s">
        <v>24</v>
      </c>
      <c r="D6" s="3"/>
    </row>
    <row r="7" spans="1:15" x14ac:dyDescent="0.15">
      <c r="A7" s="29" t="s">
        <v>7</v>
      </c>
      <c r="B7" s="22">
        <f>MAX(D:D)</f>
        <v>39235.478703703702</v>
      </c>
      <c r="C7" s="10" t="s">
        <v>34</v>
      </c>
      <c r="D7" s="1"/>
    </row>
    <row r="8" spans="1:15" ht="15" x14ac:dyDescent="0.15">
      <c r="A8" s="29" t="s">
        <v>8</v>
      </c>
      <c r="B8" s="33">
        <f>MAX(F20:F649)</f>
        <v>127.69999999999999</v>
      </c>
      <c r="C8" s="3" t="s">
        <v>24</v>
      </c>
      <c r="D8" s="3"/>
    </row>
    <row r="9" spans="1:15" ht="15" x14ac:dyDescent="0.15">
      <c r="A9" s="29" t="s">
        <v>9</v>
      </c>
      <c r="B9" s="33">
        <f>MAX(G20:G649)</f>
        <v>63.849999999999994</v>
      </c>
      <c r="C9" s="1" t="s">
        <v>25</v>
      </c>
      <c r="D9" s="1"/>
    </row>
    <row r="10" spans="1:15" x14ac:dyDescent="0.15">
      <c r="A10" s="29" t="s">
        <v>10</v>
      </c>
      <c r="B10" s="22">
        <f>MAX(A:A)</f>
        <v>39235.493032407408</v>
      </c>
      <c r="C10" s="10" t="s">
        <v>34</v>
      </c>
      <c r="D10" s="1"/>
    </row>
    <row r="11" spans="1:15" ht="15" x14ac:dyDescent="0.15">
      <c r="A11" s="29" t="s">
        <v>11</v>
      </c>
      <c r="B11" s="34">
        <f>(B1-B2)/((B7-B4)*24*60*60)</f>
        <v>0.32857142848399828</v>
      </c>
      <c r="C11" s="1" t="s">
        <v>22</v>
      </c>
      <c r="D11" s="1"/>
    </row>
    <row r="12" spans="1:15" x14ac:dyDescent="0.15">
      <c r="A12" s="31" t="s">
        <v>12</v>
      </c>
      <c r="B12" s="35">
        <v>1004</v>
      </c>
      <c r="C12" s="1" t="s">
        <v>13</v>
      </c>
      <c r="D12" s="1"/>
    </row>
    <row r="13" spans="1:15" ht="15" x14ac:dyDescent="0.15">
      <c r="A13" s="36" t="s">
        <v>14</v>
      </c>
      <c r="B13" s="37">
        <f>SUM(H:H)</f>
        <v>5768.9999991754303</v>
      </c>
      <c r="C13" s="1" t="s">
        <v>26</v>
      </c>
      <c r="D13" s="1"/>
    </row>
    <row r="14" spans="1:15" ht="15" x14ac:dyDescent="0.15">
      <c r="A14" s="40" t="s">
        <v>15</v>
      </c>
      <c r="B14" s="41">
        <f>(B12/(B13/1000))</f>
        <v>174.03362803666195</v>
      </c>
      <c r="C14" s="1" t="s">
        <v>16</v>
      </c>
      <c r="D14" s="1"/>
    </row>
    <row r="15" spans="1:15" x14ac:dyDescent="0.15">
      <c r="A15" s="38" t="s">
        <v>33</v>
      </c>
      <c r="B15" s="39">
        <f>B7-B4</f>
        <v>1.6203703708015382E-3</v>
      </c>
      <c r="C15" s="1" t="s">
        <v>35</v>
      </c>
    </row>
    <row r="17" spans="1:11" s="11" customFormat="1" x14ac:dyDescent="0.15"/>
    <row r="18" spans="1:11" ht="42" x14ac:dyDescent="0.15">
      <c r="A18" s="26" t="s">
        <v>49</v>
      </c>
      <c r="B18" s="26" t="s">
        <v>18</v>
      </c>
      <c r="C18" s="20" t="s">
        <v>17</v>
      </c>
      <c r="D18" s="20" t="s">
        <v>30</v>
      </c>
      <c r="E18" s="20" t="s">
        <v>43</v>
      </c>
      <c r="F18" s="21" t="s">
        <v>19</v>
      </c>
      <c r="G18" s="21" t="s">
        <v>20</v>
      </c>
      <c r="H18" s="21" t="s">
        <v>21</v>
      </c>
      <c r="I18" s="21" t="s">
        <v>37</v>
      </c>
      <c r="J18" s="21" t="s">
        <v>38</v>
      </c>
      <c r="K18" s="21" t="s">
        <v>40</v>
      </c>
    </row>
    <row r="19" spans="1:11" ht="28" x14ac:dyDescent="0.15">
      <c r="A19" s="26" t="s">
        <v>31</v>
      </c>
      <c r="B19" s="27" t="s">
        <v>24</v>
      </c>
      <c r="C19" s="22" t="s">
        <v>29</v>
      </c>
      <c r="D19" s="22" t="s">
        <v>32</v>
      </c>
      <c r="E19" s="22" t="s">
        <v>44</v>
      </c>
      <c r="F19" s="23" t="s">
        <v>24</v>
      </c>
      <c r="G19" s="24" t="s">
        <v>27</v>
      </c>
      <c r="H19" s="24" t="s">
        <v>28</v>
      </c>
      <c r="I19" s="21" t="s">
        <v>36</v>
      </c>
      <c r="J19" s="25" t="s">
        <v>39</v>
      </c>
      <c r="K19" s="25" t="s">
        <v>41</v>
      </c>
    </row>
    <row r="20" spans="1:11" x14ac:dyDescent="0.15">
      <c r="A20" s="7">
        <v>39235.477083333331</v>
      </c>
      <c r="B20">
        <v>39.9</v>
      </c>
      <c r="C20" s="6">
        <f t="shared" ref="C20:C83" si="0">(A20-$B$4)*24*60*60</f>
        <v>0</v>
      </c>
      <c r="D20" t="str">
        <f t="shared" ref="D20:D83" si="1">IF(F20=$B$8,A20,"")</f>
        <v/>
      </c>
      <c r="E20" t="str">
        <f>IF(B20-$B$6&gt;0,A20," ")</f>
        <v xml:space="preserve"> </v>
      </c>
      <c r="F20" s="4">
        <f t="shared" ref="F20:F51" si="2">IF((B20-$B$6)&gt;0,B20-$B$6,0)</f>
        <v>0</v>
      </c>
      <c r="G20" s="4">
        <f>F20/2</f>
        <v>0</v>
      </c>
      <c r="H20" s="5"/>
      <c r="J20" s="15">
        <v>0</v>
      </c>
      <c r="K20" s="16">
        <f>IF(J20=" ","-",J20/($B$12*1000))</f>
        <v>0</v>
      </c>
    </row>
    <row r="21" spans="1:11" x14ac:dyDescent="0.15">
      <c r="A21" s="7">
        <v>39235.477106481485</v>
      </c>
      <c r="B21">
        <v>39.9</v>
      </c>
      <c r="C21" s="6">
        <f t="shared" si="0"/>
        <v>2.0000004675239325</v>
      </c>
      <c r="D21" t="str">
        <f t="shared" si="1"/>
        <v/>
      </c>
      <c r="E21" t="str">
        <f t="shared" ref="E21:E84" si="3">IF(B21-$B$6&gt;0,A21," ")</f>
        <v xml:space="preserve"> </v>
      </c>
      <c r="F21" s="4">
        <f t="shared" si="2"/>
        <v>0</v>
      </c>
      <c r="G21" s="4">
        <f t="shared" ref="G21:G84" si="4">F21/2</f>
        <v>0</v>
      </c>
      <c r="H21" s="5">
        <f t="shared" ref="H21:H39" si="5">AVERAGE(G20:G21)*(C21-C20)</f>
        <v>0</v>
      </c>
      <c r="I21" s="14">
        <f>H21*$B$14</f>
        <v>0</v>
      </c>
      <c r="J21" s="19">
        <f>J20+I21</f>
        <v>0</v>
      </c>
      <c r="K21" s="16">
        <f t="shared" ref="K21:K84" si="6">IF(J21=" ","-",J21/($B$12*1000))</f>
        <v>0</v>
      </c>
    </row>
    <row r="22" spans="1:11" x14ac:dyDescent="0.15">
      <c r="A22" s="7">
        <v>39235.477129629631</v>
      </c>
      <c r="B22">
        <v>39.9</v>
      </c>
      <c r="C22" s="6">
        <f t="shared" si="0"/>
        <v>4.000000306405127</v>
      </c>
      <c r="D22" t="str">
        <f t="shared" si="1"/>
        <v/>
      </c>
      <c r="E22" t="str">
        <f t="shared" si="3"/>
        <v xml:space="preserve"> </v>
      </c>
      <c r="F22" s="4">
        <f t="shared" si="2"/>
        <v>0</v>
      </c>
      <c r="G22" s="4">
        <f t="shared" si="4"/>
        <v>0</v>
      </c>
      <c r="H22" s="5">
        <f t="shared" si="5"/>
        <v>0</v>
      </c>
      <c r="I22" s="14">
        <f t="shared" ref="I22:I85" si="7">H22*$B$14</f>
        <v>0</v>
      </c>
      <c r="J22" s="19">
        <f t="shared" ref="J22:J85" si="8">J21+I22</f>
        <v>0</v>
      </c>
      <c r="K22" s="16">
        <f t="shared" si="6"/>
        <v>0</v>
      </c>
    </row>
    <row r="23" spans="1:11" x14ac:dyDescent="0.15">
      <c r="A23" s="7">
        <v>39235.477152777778</v>
      </c>
      <c r="B23">
        <v>39.9</v>
      </c>
      <c r="C23" s="6">
        <f t="shared" si="0"/>
        <v>6.0000001452863216</v>
      </c>
      <c r="D23" t="str">
        <f t="shared" si="1"/>
        <v/>
      </c>
      <c r="E23" t="str">
        <f t="shared" si="3"/>
        <v xml:space="preserve"> </v>
      </c>
      <c r="F23" s="4">
        <f t="shared" si="2"/>
        <v>0</v>
      </c>
      <c r="G23" s="4">
        <f t="shared" si="4"/>
        <v>0</v>
      </c>
      <c r="H23" s="5">
        <f t="shared" si="5"/>
        <v>0</v>
      </c>
      <c r="I23" s="14">
        <f t="shared" si="7"/>
        <v>0</v>
      </c>
      <c r="J23" s="19">
        <f t="shared" si="8"/>
        <v>0</v>
      </c>
      <c r="K23" s="16">
        <f t="shared" si="6"/>
        <v>0</v>
      </c>
    </row>
    <row r="24" spans="1:11" x14ac:dyDescent="0.15">
      <c r="A24" s="7">
        <v>39235.477175925924</v>
      </c>
      <c r="B24">
        <v>39.9</v>
      </c>
      <c r="C24" s="6">
        <f t="shared" si="0"/>
        <v>7.9999999841675162</v>
      </c>
      <c r="D24" t="str">
        <f t="shared" si="1"/>
        <v/>
      </c>
      <c r="E24" t="str">
        <f t="shared" si="3"/>
        <v xml:space="preserve"> </v>
      </c>
      <c r="F24" s="4">
        <f t="shared" si="2"/>
        <v>0</v>
      </c>
      <c r="G24" s="4">
        <f t="shared" si="4"/>
        <v>0</v>
      </c>
      <c r="H24" s="5">
        <f t="shared" si="5"/>
        <v>0</v>
      </c>
      <c r="I24" s="14">
        <f t="shared" si="7"/>
        <v>0</v>
      </c>
      <c r="J24" s="19">
        <f t="shared" si="8"/>
        <v>0</v>
      </c>
      <c r="K24" s="16">
        <f t="shared" si="6"/>
        <v>0</v>
      </c>
    </row>
    <row r="25" spans="1:11" x14ac:dyDescent="0.15">
      <c r="A25" s="7">
        <v>39235.477199074077</v>
      </c>
      <c r="B25">
        <v>39.9</v>
      </c>
      <c r="C25" s="6">
        <f t="shared" si="0"/>
        <v>10.000000451691449</v>
      </c>
      <c r="D25" t="str">
        <f t="shared" si="1"/>
        <v/>
      </c>
      <c r="E25" t="str">
        <f t="shared" si="3"/>
        <v xml:space="preserve"> </v>
      </c>
      <c r="F25" s="4">
        <f t="shared" si="2"/>
        <v>0</v>
      </c>
      <c r="G25" s="4">
        <f t="shared" si="4"/>
        <v>0</v>
      </c>
      <c r="H25" s="5">
        <f t="shared" si="5"/>
        <v>0</v>
      </c>
      <c r="I25" s="14">
        <f t="shared" si="7"/>
        <v>0</v>
      </c>
      <c r="J25" s="19">
        <f t="shared" si="8"/>
        <v>0</v>
      </c>
      <c r="K25" s="16">
        <f t="shared" si="6"/>
        <v>0</v>
      </c>
    </row>
    <row r="26" spans="1:11" x14ac:dyDescent="0.15">
      <c r="A26" s="7">
        <v>39235.477222222224</v>
      </c>
      <c r="B26">
        <v>39.9</v>
      </c>
      <c r="C26" s="6">
        <f t="shared" si="0"/>
        <v>12.000000290572643</v>
      </c>
      <c r="D26" t="str">
        <f t="shared" si="1"/>
        <v/>
      </c>
      <c r="E26" t="str">
        <f t="shared" si="3"/>
        <v xml:space="preserve"> </v>
      </c>
      <c r="F26" s="4">
        <f t="shared" si="2"/>
        <v>0</v>
      </c>
      <c r="G26" s="4">
        <f t="shared" si="4"/>
        <v>0</v>
      </c>
      <c r="H26" s="5">
        <f t="shared" si="5"/>
        <v>0</v>
      </c>
      <c r="I26" s="14">
        <f t="shared" si="7"/>
        <v>0</v>
      </c>
      <c r="J26" s="19">
        <f t="shared" si="8"/>
        <v>0</v>
      </c>
      <c r="K26" s="16">
        <f t="shared" si="6"/>
        <v>0</v>
      </c>
    </row>
    <row r="27" spans="1:11" x14ac:dyDescent="0.15">
      <c r="A27" s="7">
        <v>39235.47724537037</v>
      </c>
      <c r="B27">
        <v>39.9</v>
      </c>
      <c r="C27" s="6">
        <f t="shared" si="0"/>
        <v>14.000000129453838</v>
      </c>
      <c r="D27" t="str">
        <f t="shared" si="1"/>
        <v/>
      </c>
      <c r="E27" t="str">
        <f t="shared" si="3"/>
        <v xml:space="preserve"> </v>
      </c>
      <c r="F27" s="4">
        <f t="shared" si="2"/>
        <v>0</v>
      </c>
      <c r="G27" s="4">
        <f t="shared" si="4"/>
        <v>0</v>
      </c>
      <c r="H27" s="5">
        <f t="shared" si="5"/>
        <v>0</v>
      </c>
      <c r="I27" s="14">
        <f t="shared" si="7"/>
        <v>0</v>
      </c>
      <c r="J27" s="19">
        <f t="shared" si="8"/>
        <v>0</v>
      </c>
      <c r="K27" s="16">
        <f t="shared" si="6"/>
        <v>0</v>
      </c>
    </row>
    <row r="28" spans="1:11" x14ac:dyDescent="0.15">
      <c r="A28" s="7">
        <v>39235.477268518516</v>
      </c>
      <c r="B28">
        <v>39.9</v>
      </c>
      <c r="C28" s="6">
        <f t="shared" si="0"/>
        <v>15.999999968335032</v>
      </c>
      <c r="D28" t="str">
        <f t="shared" si="1"/>
        <v/>
      </c>
      <c r="E28" t="str">
        <f t="shared" si="3"/>
        <v xml:space="preserve"> </v>
      </c>
      <c r="F28" s="4">
        <f t="shared" si="2"/>
        <v>0</v>
      </c>
      <c r="G28" s="4">
        <f t="shared" si="4"/>
        <v>0</v>
      </c>
      <c r="H28" s="5">
        <f t="shared" si="5"/>
        <v>0</v>
      </c>
      <c r="I28" s="14">
        <f t="shared" si="7"/>
        <v>0</v>
      </c>
      <c r="J28" s="19">
        <f t="shared" si="8"/>
        <v>0</v>
      </c>
      <c r="K28" s="16">
        <f t="shared" si="6"/>
        <v>0</v>
      </c>
    </row>
    <row r="29" spans="1:11" x14ac:dyDescent="0.15">
      <c r="A29" s="7">
        <v>39235.47729166667</v>
      </c>
      <c r="B29">
        <v>39.9</v>
      </c>
      <c r="C29" s="6">
        <f t="shared" si="0"/>
        <v>18.000000435858965</v>
      </c>
      <c r="D29" t="str">
        <f t="shared" si="1"/>
        <v/>
      </c>
      <c r="E29" t="str">
        <f t="shared" si="3"/>
        <v xml:space="preserve"> </v>
      </c>
      <c r="F29" s="4">
        <f t="shared" si="2"/>
        <v>0</v>
      </c>
      <c r="G29" s="4">
        <f t="shared" si="4"/>
        <v>0</v>
      </c>
      <c r="H29" s="5">
        <f t="shared" si="5"/>
        <v>0</v>
      </c>
      <c r="I29" s="14">
        <f t="shared" si="7"/>
        <v>0</v>
      </c>
      <c r="J29" s="19">
        <f t="shared" si="8"/>
        <v>0</v>
      </c>
      <c r="K29" s="16">
        <f t="shared" si="6"/>
        <v>0</v>
      </c>
    </row>
    <row r="30" spans="1:11" x14ac:dyDescent="0.15">
      <c r="A30" s="7">
        <v>39235.477314814816</v>
      </c>
      <c r="B30">
        <v>39.9</v>
      </c>
      <c r="C30" s="6">
        <f t="shared" si="0"/>
        <v>20.00000027474016</v>
      </c>
      <c r="D30" t="str">
        <f t="shared" si="1"/>
        <v/>
      </c>
      <c r="E30" t="str">
        <f t="shared" si="3"/>
        <v xml:space="preserve"> </v>
      </c>
      <c r="F30" s="4">
        <f t="shared" si="2"/>
        <v>0</v>
      </c>
      <c r="G30" s="4">
        <f t="shared" si="4"/>
        <v>0</v>
      </c>
      <c r="H30" s="5">
        <f t="shared" si="5"/>
        <v>0</v>
      </c>
      <c r="I30" s="14">
        <f t="shared" si="7"/>
        <v>0</v>
      </c>
      <c r="J30" s="19">
        <f t="shared" si="8"/>
        <v>0</v>
      </c>
      <c r="K30" s="16">
        <f t="shared" si="6"/>
        <v>0</v>
      </c>
    </row>
    <row r="31" spans="1:11" x14ac:dyDescent="0.15">
      <c r="A31" s="7">
        <v>39235.477337962962</v>
      </c>
      <c r="B31">
        <v>39.9</v>
      </c>
      <c r="C31" s="6">
        <f t="shared" si="0"/>
        <v>22.000000113621354</v>
      </c>
      <c r="D31" t="str">
        <f t="shared" si="1"/>
        <v/>
      </c>
      <c r="E31" t="str">
        <f t="shared" si="3"/>
        <v xml:space="preserve"> </v>
      </c>
      <c r="F31" s="4">
        <f t="shared" si="2"/>
        <v>0</v>
      </c>
      <c r="G31" s="4">
        <f t="shared" si="4"/>
        <v>0</v>
      </c>
      <c r="H31" s="5">
        <f t="shared" si="5"/>
        <v>0</v>
      </c>
      <c r="I31" s="14">
        <f t="shared" si="7"/>
        <v>0</v>
      </c>
      <c r="J31" s="19">
        <f t="shared" si="8"/>
        <v>0</v>
      </c>
      <c r="K31" s="16">
        <f t="shared" si="6"/>
        <v>0</v>
      </c>
    </row>
    <row r="32" spans="1:11" x14ac:dyDescent="0.15">
      <c r="A32" s="7">
        <v>39235.477361111109</v>
      </c>
      <c r="B32">
        <v>39.9</v>
      </c>
      <c r="C32" s="6">
        <f t="shared" si="0"/>
        <v>23.999999952502549</v>
      </c>
      <c r="D32" t="str">
        <f t="shared" si="1"/>
        <v/>
      </c>
      <c r="E32" t="str">
        <f t="shared" si="3"/>
        <v xml:space="preserve"> </v>
      </c>
      <c r="F32" s="4">
        <f t="shared" si="2"/>
        <v>0</v>
      </c>
      <c r="G32" s="4">
        <f t="shared" si="4"/>
        <v>0</v>
      </c>
      <c r="H32" s="5">
        <f t="shared" si="5"/>
        <v>0</v>
      </c>
      <c r="I32" s="14">
        <f t="shared" si="7"/>
        <v>0</v>
      </c>
      <c r="J32" s="19">
        <f t="shared" si="8"/>
        <v>0</v>
      </c>
      <c r="K32" s="16">
        <f t="shared" si="6"/>
        <v>0</v>
      </c>
    </row>
    <row r="33" spans="1:11" x14ac:dyDescent="0.15">
      <c r="A33" s="7">
        <v>39235.477384259262</v>
      </c>
      <c r="B33">
        <v>39.9</v>
      </c>
      <c r="C33" s="6">
        <f t="shared" si="0"/>
        <v>26.000000420026481</v>
      </c>
      <c r="D33" t="str">
        <f t="shared" si="1"/>
        <v/>
      </c>
      <c r="E33" t="str">
        <f t="shared" si="3"/>
        <v xml:space="preserve"> </v>
      </c>
      <c r="F33" s="4">
        <f t="shared" si="2"/>
        <v>0</v>
      </c>
      <c r="G33" s="4">
        <f t="shared" si="4"/>
        <v>0</v>
      </c>
      <c r="H33" s="5">
        <f t="shared" si="5"/>
        <v>0</v>
      </c>
      <c r="I33" s="14">
        <f t="shared" si="7"/>
        <v>0</v>
      </c>
      <c r="J33" s="19">
        <f t="shared" si="8"/>
        <v>0</v>
      </c>
      <c r="K33" s="16">
        <f t="shared" si="6"/>
        <v>0</v>
      </c>
    </row>
    <row r="34" spans="1:11" x14ac:dyDescent="0.15">
      <c r="A34" s="7">
        <v>39235.477407407408</v>
      </c>
      <c r="B34">
        <v>39.9</v>
      </c>
      <c r="C34" s="6">
        <f t="shared" si="0"/>
        <v>28.000000258907676</v>
      </c>
      <c r="D34" t="str">
        <f t="shared" si="1"/>
        <v/>
      </c>
      <c r="E34" t="str">
        <f t="shared" si="3"/>
        <v xml:space="preserve"> </v>
      </c>
      <c r="F34" s="4">
        <f t="shared" si="2"/>
        <v>0</v>
      </c>
      <c r="G34" s="4">
        <f t="shared" si="4"/>
        <v>0</v>
      </c>
      <c r="H34" s="5">
        <f t="shared" si="5"/>
        <v>0</v>
      </c>
      <c r="I34" s="14">
        <f t="shared" si="7"/>
        <v>0</v>
      </c>
      <c r="J34" s="19">
        <f t="shared" si="8"/>
        <v>0</v>
      </c>
      <c r="K34" s="16">
        <f t="shared" si="6"/>
        <v>0</v>
      </c>
    </row>
    <row r="35" spans="1:11" x14ac:dyDescent="0.15">
      <c r="A35" s="7">
        <v>39235.477430555555</v>
      </c>
      <c r="B35">
        <v>39.9</v>
      </c>
      <c r="C35" s="6">
        <f t="shared" si="0"/>
        <v>30.00000009778887</v>
      </c>
      <c r="D35" t="str">
        <f t="shared" si="1"/>
        <v/>
      </c>
      <c r="E35" t="str">
        <f t="shared" si="3"/>
        <v xml:space="preserve"> </v>
      </c>
      <c r="F35" s="4">
        <f t="shared" si="2"/>
        <v>0</v>
      </c>
      <c r="G35" s="4">
        <f t="shared" si="4"/>
        <v>0</v>
      </c>
      <c r="H35" s="5">
        <f t="shared" si="5"/>
        <v>0</v>
      </c>
      <c r="I35" s="14">
        <f t="shared" si="7"/>
        <v>0</v>
      </c>
      <c r="J35" s="19">
        <f t="shared" si="8"/>
        <v>0</v>
      </c>
      <c r="K35" s="16">
        <f t="shared" si="6"/>
        <v>0</v>
      </c>
    </row>
    <row r="36" spans="1:11" x14ac:dyDescent="0.15">
      <c r="A36" s="7">
        <v>39235.477453703701</v>
      </c>
      <c r="B36">
        <v>39.9</v>
      </c>
      <c r="C36" s="6">
        <f t="shared" si="0"/>
        <v>31.999999936670065</v>
      </c>
      <c r="D36" t="str">
        <f t="shared" si="1"/>
        <v/>
      </c>
      <c r="E36" t="str">
        <f t="shared" si="3"/>
        <v xml:space="preserve"> </v>
      </c>
      <c r="F36" s="4">
        <f t="shared" si="2"/>
        <v>0</v>
      </c>
      <c r="G36" s="4">
        <f t="shared" si="4"/>
        <v>0</v>
      </c>
      <c r="H36" s="5">
        <f t="shared" si="5"/>
        <v>0</v>
      </c>
      <c r="I36" s="14">
        <f t="shared" si="7"/>
        <v>0</v>
      </c>
      <c r="J36" s="19">
        <f t="shared" si="8"/>
        <v>0</v>
      </c>
      <c r="K36" s="16">
        <f t="shared" si="6"/>
        <v>0</v>
      </c>
    </row>
    <row r="37" spans="1:11" x14ac:dyDescent="0.15">
      <c r="A37" s="7">
        <v>39235.477476851855</v>
      </c>
      <c r="B37">
        <v>39.9</v>
      </c>
      <c r="C37" s="6">
        <f t="shared" si="0"/>
        <v>34.000000404193997</v>
      </c>
      <c r="D37" t="str">
        <f t="shared" si="1"/>
        <v/>
      </c>
      <c r="E37" t="str">
        <f t="shared" si="3"/>
        <v xml:space="preserve"> </v>
      </c>
      <c r="F37" s="4">
        <f t="shared" si="2"/>
        <v>0</v>
      </c>
      <c r="G37" s="4">
        <f t="shared" si="4"/>
        <v>0</v>
      </c>
      <c r="H37" s="5">
        <f t="shared" si="5"/>
        <v>0</v>
      </c>
      <c r="I37" s="14">
        <f t="shared" si="7"/>
        <v>0</v>
      </c>
      <c r="J37" s="19">
        <f t="shared" si="8"/>
        <v>0</v>
      </c>
      <c r="K37" s="16">
        <f t="shared" si="6"/>
        <v>0</v>
      </c>
    </row>
    <row r="38" spans="1:11" x14ac:dyDescent="0.15">
      <c r="A38" s="7">
        <v>39235.477500000001</v>
      </c>
      <c r="B38">
        <v>39.9</v>
      </c>
      <c r="C38" s="6">
        <f t="shared" si="0"/>
        <v>36.000000243075192</v>
      </c>
      <c r="D38" t="str">
        <f t="shared" si="1"/>
        <v/>
      </c>
      <c r="E38" t="str">
        <f t="shared" si="3"/>
        <v xml:space="preserve"> </v>
      </c>
      <c r="F38" s="4">
        <f t="shared" si="2"/>
        <v>0</v>
      </c>
      <c r="G38" s="4">
        <f t="shared" si="4"/>
        <v>0</v>
      </c>
      <c r="H38" s="5">
        <f t="shared" si="5"/>
        <v>0</v>
      </c>
      <c r="I38" s="14">
        <f t="shared" si="7"/>
        <v>0</v>
      </c>
      <c r="J38" s="19">
        <f t="shared" si="8"/>
        <v>0</v>
      </c>
      <c r="K38" s="16">
        <f t="shared" si="6"/>
        <v>0</v>
      </c>
    </row>
    <row r="39" spans="1:11" x14ac:dyDescent="0.15">
      <c r="A39" s="7">
        <v>39235.477523148147</v>
      </c>
      <c r="B39">
        <v>39.9</v>
      </c>
      <c r="C39" s="6">
        <f t="shared" si="0"/>
        <v>38.000000081956387</v>
      </c>
      <c r="D39" t="str">
        <f t="shared" si="1"/>
        <v/>
      </c>
      <c r="E39" t="str">
        <f t="shared" si="3"/>
        <v xml:space="preserve"> </v>
      </c>
      <c r="F39" s="4">
        <f t="shared" si="2"/>
        <v>0</v>
      </c>
      <c r="G39" s="4">
        <f t="shared" si="4"/>
        <v>0</v>
      </c>
      <c r="H39" s="5">
        <f t="shared" si="5"/>
        <v>0</v>
      </c>
      <c r="I39" s="14">
        <f t="shared" si="7"/>
        <v>0</v>
      </c>
      <c r="J39" s="19">
        <f t="shared" si="8"/>
        <v>0</v>
      </c>
      <c r="K39" s="16">
        <f t="shared" si="6"/>
        <v>0</v>
      </c>
    </row>
    <row r="40" spans="1:11" x14ac:dyDescent="0.15">
      <c r="A40" s="7">
        <v>39235.477546296293</v>
      </c>
      <c r="B40">
        <v>39.9</v>
      </c>
      <c r="C40" s="6">
        <f t="shared" si="0"/>
        <v>39.999999920837581</v>
      </c>
      <c r="D40" t="str">
        <f t="shared" si="1"/>
        <v/>
      </c>
      <c r="E40" t="str">
        <f t="shared" si="3"/>
        <v xml:space="preserve"> </v>
      </c>
      <c r="F40" s="4">
        <f t="shared" si="2"/>
        <v>0</v>
      </c>
      <c r="G40" s="4">
        <f t="shared" si="4"/>
        <v>0</v>
      </c>
      <c r="H40" s="5">
        <f t="shared" ref="H40:H103" si="9">AVERAGE(G39:G40)*(C40-C39)</f>
        <v>0</v>
      </c>
      <c r="I40" s="14">
        <f t="shared" si="7"/>
        <v>0</v>
      </c>
      <c r="J40" s="19">
        <f t="shared" si="8"/>
        <v>0</v>
      </c>
      <c r="K40" s="16">
        <f t="shared" si="6"/>
        <v>0</v>
      </c>
    </row>
    <row r="41" spans="1:11" x14ac:dyDescent="0.15">
      <c r="A41" s="7">
        <v>39235.477569444447</v>
      </c>
      <c r="B41">
        <v>39.9</v>
      </c>
      <c r="C41" s="6">
        <f t="shared" si="0"/>
        <v>42.000000388361514</v>
      </c>
      <c r="D41" t="str">
        <f t="shared" si="1"/>
        <v/>
      </c>
      <c r="E41" t="str">
        <f t="shared" si="3"/>
        <v xml:space="preserve"> </v>
      </c>
      <c r="F41" s="4">
        <f t="shared" si="2"/>
        <v>0</v>
      </c>
      <c r="G41" s="4">
        <f t="shared" si="4"/>
        <v>0</v>
      </c>
      <c r="H41" s="5">
        <f t="shared" si="9"/>
        <v>0</v>
      </c>
      <c r="I41" s="14">
        <f t="shared" si="7"/>
        <v>0</v>
      </c>
      <c r="J41" s="19">
        <f t="shared" si="8"/>
        <v>0</v>
      </c>
      <c r="K41" s="16">
        <f t="shared" si="6"/>
        <v>0</v>
      </c>
    </row>
    <row r="42" spans="1:11" x14ac:dyDescent="0.15">
      <c r="A42" s="7">
        <v>39235.477592592593</v>
      </c>
      <c r="B42">
        <v>39.9</v>
      </c>
      <c r="C42" s="6">
        <f t="shared" si="0"/>
        <v>44.000000227242708</v>
      </c>
      <c r="D42" t="str">
        <f t="shared" si="1"/>
        <v/>
      </c>
      <c r="E42" t="str">
        <f t="shared" si="3"/>
        <v xml:space="preserve"> </v>
      </c>
      <c r="F42" s="4">
        <f t="shared" si="2"/>
        <v>0</v>
      </c>
      <c r="G42" s="4">
        <f t="shared" si="4"/>
        <v>0</v>
      </c>
      <c r="H42" s="5">
        <f t="shared" si="9"/>
        <v>0</v>
      </c>
      <c r="I42" s="14">
        <f t="shared" si="7"/>
        <v>0</v>
      </c>
      <c r="J42" s="19">
        <f t="shared" si="8"/>
        <v>0</v>
      </c>
      <c r="K42" s="16">
        <f t="shared" si="6"/>
        <v>0</v>
      </c>
    </row>
    <row r="43" spans="1:11" x14ac:dyDescent="0.15">
      <c r="A43" s="7">
        <v>39235.47761574074</v>
      </c>
      <c r="B43">
        <v>39.9</v>
      </c>
      <c r="C43" s="6">
        <f t="shared" si="0"/>
        <v>46.000000066123903</v>
      </c>
      <c r="D43" t="str">
        <f t="shared" si="1"/>
        <v/>
      </c>
      <c r="E43" t="str">
        <f t="shared" si="3"/>
        <v xml:space="preserve"> </v>
      </c>
      <c r="F43" s="4">
        <f t="shared" si="2"/>
        <v>0</v>
      </c>
      <c r="G43" s="4">
        <f t="shared" si="4"/>
        <v>0</v>
      </c>
      <c r="H43" s="5">
        <f t="shared" si="9"/>
        <v>0</v>
      </c>
      <c r="I43" s="14">
        <f t="shared" si="7"/>
        <v>0</v>
      </c>
      <c r="J43" s="19">
        <f t="shared" si="8"/>
        <v>0</v>
      </c>
      <c r="K43" s="16">
        <f t="shared" si="6"/>
        <v>0</v>
      </c>
    </row>
    <row r="44" spans="1:11" x14ac:dyDescent="0.15">
      <c r="A44" s="7">
        <v>39235.477638888886</v>
      </c>
      <c r="B44">
        <v>39.9</v>
      </c>
      <c r="C44" s="6">
        <f t="shared" si="0"/>
        <v>47.999999905005097</v>
      </c>
      <c r="D44" t="str">
        <f t="shared" si="1"/>
        <v/>
      </c>
      <c r="E44" t="str">
        <f t="shared" si="3"/>
        <v xml:space="preserve"> </v>
      </c>
      <c r="F44" s="4">
        <f t="shared" si="2"/>
        <v>0</v>
      </c>
      <c r="G44" s="4">
        <f t="shared" si="4"/>
        <v>0</v>
      </c>
      <c r="H44" s="5">
        <f t="shared" si="9"/>
        <v>0</v>
      </c>
      <c r="I44" s="14">
        <f t="shared" si="7"/>
        <v>0</v>
      </c>
      <c r="J44" s="19">
        <f t="shared" si="8"/>
        <v>0</v>
      </c>
      <c r="K44" s="16">
        <f t="shared" si="6"/>
        <v>0</v>
      </c>
    </row>
    <row r="45" spans="1:11" x14ac:dyDescent="0.15">
      <c r="A45" s="7">
        <v>39235.477662037039</v>
      </c>
      <c r="B45">
        <v>39.9</v>
      </c>
      <c r="C45" s="6">
        <f t="shared" si="0"/>
        <v>50.00000037252903</v>
      </c>
      <c r="D45" t="str">
        <f t="shared" si="1"/>
        <v/>
      </c>
      <c r="E45" t="str">
        <f t="shared" si="3"/>
        <v xml:space="preserve"> </v>
      </c>
      <c r="F45" s="4">
        <f t="shared" si="2"/>
        <v>0</v>
      </c>
      <c r="G45" s="4">
        <f t="shared" si="4"/>
        <v>0</v>
      </c>
      <c r="H45" s="5">
        <f t="shared" si="9"/>
        <v>0</v>
      </c>
      <c r="I45" s="14">
        <f t="shared" si="7"/>
        <v>0</v>
      </c>
      <c r="J45" s="19">
        <f t="shared" si="8"/>
        <v>0</v>
      </c>
      <c r="K45" s="16">
        <f t="shared" si="6"/>
        <v>0</v>
      </c>
    </row>
    <row r="46" spans="1:11" x14ac:dyDescent="0.15">
      <c r="A46" s="7">
        <v>39235.477685185186</v>
      </c>
      <c r="B46">
        <v>39.9</v>
      </c>
      <c r="C46" s="6">
        <f t="shared" si="0"/>
        <v>52.000000211410224</v>
      </c>
      <c r="D46" t="str">
        <f t="shared" si="1"/>
        <v/>
      </c>
      <c r="E46" t="str">
        <f t="shared" si="3"/>
        <v xml:space="preserve"> </v>
      </c>
      <c r="F46" s="4">
        <f t="shared" si="2"/>
        <v>0</v>
      </c>
      <c r="G46" s="4">
        <f t="shared" si="4"/>
        <v>0</v>
      </c>
      <c r="H46" s="5">
        <f t="shared" si="9"/>
        <v>0</v>
      </c>
      <c r="I46" s="14">
        <f t="shared" si="7"/>
        <v>0</v>
      </c>
      <c r="J46" s="19">
        <f t="shared" si="8"/>
        <v>0</v>
      </c>
      <c r="K46" s="16">
        <f t="shared" si="6"/>
        <v>0</v>
      </c>
    </row>
    <row r="47" spans="1:11" x14ac:dyDescent="0.15">
      <c r="A47" s="7">
        <v>39235.477708333332</v>
      </c>
      <c r="B47">
        <v>39.9</v>
      </c>
      <c r="C47" s="6">
        <f t="shared" si="0"/>
        <v>54.000000050291419</v>
      </c>
      <c r="D47" t="str">
        <f t="shared" si="1"/>
        <v/>
      </c>
      <c r="E47" t="str">
        <f t="shared" si="3"/>
        <v xml:space="preserve"> </v>
      </c>
      <c r="F47" s="4">
        <f t="shared" si="2"/>
        <v>0</v>
      </c>
      <c r="G47" s="4">
        <f t="shared" si="4"/>
        <v>0</v>
      </c>
      <c r="H47" s="5">
        <f t="shared" si="9"/>
        <v>0</v>
      </c>
      <c r="I47" s="14">
        <f t="shared" si="7"/>
        <v>0</v>
      </c>
      <c r="J47" s="19">
        <f t="shared" si="8"/>
        <v>0</v>
      </c>
      <c r="K47" s="16">
        <f t="shared" si="6"/>
        <v>0</v>
      </c>
    </row>
    <row r="48" spans="1:11" x14ac:dyDescent="0.15">
      <c r="A48" s="7">
        <v>39235.477731481478</v>
      </c>
      <c r="B48">
        <v>39.9</v>
      </c>
      <c r="C48" s="6">
        <f t="shared" si="0"/>
        <v>55.999999889172614</v>
      </c>
      <c r="D48" t="str">
        <f t="shared" si="1"/>
        <v/>
      </c>
      <c r="E48" t="str">
        <f t="shared" si="3"/>
        <v xml:space="preserve"> </v>
      </c>
      <c r="F48" s="4">
        <f t="shared" si="2"/>
        <v>0</v>
      </c>
      <c r="G48" s="4">
        <f t="shared" si="4"/>
        <v>0</v>
      </c>
      <c r="H48" s="5">
        <f t="shared" si="9"/>
        <v>0</v>
      </c>
      <c r="I48" s="14">
        <f t="shared" si="7"/>
        <v>0</v>
      </c>
      <c r="J48" s="19">
        <f t="shared" si="8"/>
        <v>0</v>
      </c>
      <c r="K48" s="16">
        <f t="shared" si="6"/>
        <v>0</v>
      </c>
    </row>
    <row r="49" spans="1:11" x14ac:dyDescent="0.15">
      <c r="A49" s="7">
        <v>39235.477754629632</v>
      </c>
      <c r="B49">
        <v>39.9</v>
      </c>
      <c r="C49" s="6">
        <f t="shared" si="0"/>
        <v>58.000000356696546</v>
      </c>
      <c r="D49" t="str">
        <f t="shared" si="1"/>
        <v/>
      </c>
      <c r="E49" t="str">
        <f t="shared" si="3"/>
        <v xml:space="preserve"> </v>
      </c>
      <c r="F49" s="4">
        <f t="shared" si="2"/>
        <v>0</v>
      </c>
      <c r="G49" s="4">
        <f t="shared" si="4"/>
        <v>0</v>
      </c>
      <c r="H49" s="5">
        <f t="shared" si="9"/>
        <v>0</v>
      </c>
      <c r="I49" s="14">
        <f t="shared" si="7"/>
        <v>0</v>
      </c>
      <c r="J49" s="19">
        <f t="shared" si="8"/>
        <v>0</v>
      </c>
      <c r="K49" s="16">
        <f t="shared" si="6"/>
        <v>0</v>
      </c>
    </row>
    <row r="50" spans="1:11" x14ac:dyDescent="0.15">
      <c r="A50" s="7">
        <v>39235.477777777778</v>
      </c>
      <c r="B50">
        <v>39.9</v>
      </c>
      <c r="C50" s="6">
        <f t="shared" si="0"/>
        <v>60.000000195577741</v>
      </c>
      <c r="D50" t="str">
        <f t="shared" si="1"/>
        <v/>
      </c>
      <c r="E50" t="str">
        <f t="shared" si="3"/>
        <v xml:space="preserve"> </v>
      </c>
      <c r="F50" s="4">
        <f t="shared" si="2"/>
        <v>0</v>
      </c>
      <c r="G50" s="4">
        <f t="shared" si="4"/>
        <v>0</v>
      </c>
      <c r="H50" s="5">
        <f t="shared" si="9"/>
        <v>0</v>
      </c>
      <c r="I50" s="14">
        <f t="shared" si="7"/>
        <v>0</v>
      </c>
      <c r="J50" s="19">
        <f t="shared" si="8"/>
        <v>0</v>
      </c>
      <c r="K50" s="16">
        <f t="shared" si="6"/>
        <v>0</v>
      </c>
    </row>
    <row r="51" spans="1:11" x14ac:dyDescent="0.15">
      <c r="A51" s="7">
        <v>39235.477800925924</v>
      </c>
      <c r="B51">
        <v>39.9</v>
      </c>
      <c r="C51" s="6">
        <f t="shared" si="0"/>
        <v>62.000000034458935</v>
      </c>
      <c r="D51" t="str">
        <f t="shared" si="1"/>
        <v/>
      </c>
      <c r="E51" t="str">
        <f t="shared" si="3"/>
        <v xml:space="preserve"> </v>
      </c>
      <c r="F51" s="4">
        <f t="shared" si="2"/>
        <v>0</v>
      </c>
      <c r="G51" s="4">
        <f t="shared" si="4"/>
        <v>0</v>
      </c>
      <c r="H51" s="5">
        <f t="shared" si="9"/>
        <v>0</v>
      </c>
      <c r="I51" s="14">
        <f t="shared" si="7"/>
        <v>0</v>
      </c>
      <c r="J51" s="19">
        <f t="shared" si="8"/>
        <v>0</v>
      </c>
      <c r="K51" s="16">
        <f t="shared" si="6"/>
        <v>0</v>
      </c>
    </row>
    <row r="52" spans="1:11" x14ac:dyDescent="0.15">
      <c r="A52" s="7">
        <v>39235.477824074071</v>
      </c>
      <c r="B52">
        <v>39.9</v>
      </c>
      <c r="C52" s="6">
        <f t="shared" si="0"/>
        <v>63.99999987334013</v>
      </c>
      <c r="D52" t="str">
        <f t="shared" si="1"/>
        <v/>
      </c>
      <c r="E52" t="str">
        <f t="shared" si="3"/>
        <v xml:space="preserve"> </v>
      </c>
      <c r="F52" s="4">
        <f t="shared" ref="F52:F83" si="10">IF((B52-$B$6)&gt;0,B52-$B$6,0)</f>
        <v>0</v>
      </c>
      <c r="G52" s="4">
        <f t="shared" si="4"/>
        <v>0</v>
      </c>
      <c r="H52" s="5">
        <f t="shared" si="9"/>
        <v>0</v>
      </c>
      <c r="I52" s="14">
        <f t="shared" si="7"/>
        <v>0</v>
      </c>
      <c r="J52" s="19">
        <f t="shared" si="8"/>
        <v>0</v>
      </c>
      <c r="K52" s="16">
        <f t="shared" si="6"/>
        <v>0</v>
      </c>
    </row>
    <row r="53" spans="1:11" x14ac:dyDescent="0.15">
      <c r="A53" s="7">
        <v>39235.477847222224</v>
      </c>
      <c r="B53">
        <v>39.9</v>
      </c>
      <c r="C53" s="6">
        <f t="shared" si="0"/>
        <v>66.000000340864062</v>
      </c>
      <c r="D53" t="str">
        <f t="shared" si="1"/>
        <v/>
      </c>
      <c r="E53" t="str">
        <f t="shared" si="3"/>
        <v xml:space="preserve"> </v>
      </c>
      <c r="F53" s="4">
        <f t="shared" si="10"/>
        <v>0</v>
      </c>
      <c r="G53" s="4">
        <f t="shared" si="4"/>
        <v>0</v>
      </c>
      <c r="H53" s="5">
        <f t="shared" si="9"/>
        <v>0</v>
      </c>
      <c r="I53" s="14">
        <f t="shared" si="7"/>
        <v>0</v>
      </c>
      <c r="J53" s="19">
        <f t="shared" si="8"/>
        <v>0</v>
      </c>
      <c r="K53" s="16">
        <f t="shared" si="6"/>
        <v>0</v>
      </c>
    </row>
    <row r="54" spans="1:11" x14ac:dyDescent="0.15">
      <c r="A54" s="7">
        <v>39235.477870370371</v>
      </c>
      <c r="B54">
        <v>39.9</v>
      </c>
      <c r="C54" s="6">
        <f t="shared" si="0"/>
        <v>68.000000179745257</v>
      </c>
      <c r="D54" t="str">
        <f t="shared" si="1"/>
        <v/>
      </c>
      <c r="E54" t="str">
        <f t="shared" si="3"/>
        <v xml:space="preserve"> </v>
      </c>
      <c r="F54" s="4">
        <f t="shared" si="10"/>
        <v>0</v>
      </c>
      <c r="G54" s="4">
        <f t="shared" si="4"/>
        <v>0</v>
      </c>
      <c r="H54" s="5">
        <f t="shared" si="9"/>
        <v>0</v>
      </c>
      <c r="I54" s="14">
        <f t="shared" si="7"/>
        <v>0</v>
      </c>
      <c r="J54" s="19">
        <f t="shared" si="8"/>
        <v>0</v>
      </c>
      <c r="K54" s="16">
        <f t="shared" si="6"/>
        <v>0</v>
      </c>
    </row>
    <row r="55" spans="1:11" x14ac:dyDescent="0.15">
      <c r="A55" s="7">
        <v>39235.477893518517</v>
      </c>
      <c r="B55">
        <v>39.9</v>
      </c>
      <c r="C55" s="6">
        <f t="shared" si="0"/>
        <v>70.000000018626451</v>
      </c>
      <c r="D55" t="str">
        <f t="shared" si="1"/>
        <v/>
      </c>
      <c r="E55" t="str">
        <f t="shared" si="3"/>
        <v xml:space="preserve"> </v>
      </c>
      <c r="F55" s="4">
        <f t="shared" si="10"/>
        <v>0</v>
      </c>
      <c r="G55" s="4">
        <f t="shared" si="4"/>
        <v>0</v>
      </c>
      <c r="H55" s="5">
        <f t="shared" si="9"/>
        <v>0</v>
      </c>
      <c r="I55" s="14">
        <f t="shared" si="7"/>
        <v>0</v>
      </c>
      <c r="J55" s="19">
        <f t="shared" si="8"/>
        <v>0</v>
      </c>
      <c r="K55" s="16">
        <f t="shared" si="6"/>
        <v>0</v>
      </c>
    </row>
    <row r="56" spans="1:11" x14ac:dyDescent="0.15">
      <c r="A56" s="7">
        <v>39235.477916666663</v>
      </c>
      <c r="B56">
        <v>39.9</v>
      </c>
      <c r="C56" s="6">
        <f t="shared" si="0"/>
        <v>71.999999857507646</v>
      </c>
      <c r="D56" t="str">
        <f t="shared" si="1"/>
        <v/>
      </c>
      <c r="E56" t="str">
        <f t="shared" si="3"/>
        <v xml:space="preserve"> </v>
      </c>
      <c r="F56" s="4">
        <f t="shared" si="10"/>
        <v>0</v>
      </c>
      <c r="G56" s="4">
        <f t="shared" si="4"/>
        <v>0</v>
      </c>
      <c r="H56" s="5">
        <f t="shared" si="9"/>
        <v>0</v>
      </c>
      <c r="I56" s="14">
        <f t="shared" si="7"/>
        <v>0</v>
      </c>
      <c r="J56" s="19">
        <f t="shared" si="8"/>
        <v>0</v>
      </c>
      <c r="K56" s="16">
        <f t="shared" si="6"/>
        <v>0</v>
      </c>
    </row>
    <row r="57" spans="1:11" x14ac:dyDescent="0.15">
      <c r="A57" s="7">
        <v>39235.477939814817</v>
      </c>
      <c r="B57">
        <v>39.9</v>
      </c>
      <c r="C57" s="6">
        <f t="shared" si="0"/>
        <v>74.000000325031579</v>
      </c>
      <c r="D57" t="str">
        <f t="shared" si="1"/>
        <v/>
      </c>
      <c r="E57" t="str">
        <f t="shared" si="3"/>
        <v xml:space="preserve"> </v>
      </c>
      <c r="F57" s="4">
        <f t="shared" si="10"/>
        <v>0</v>
      </c>
      <c r="G57" s="4">
        <f t="shared" si="4"/>
        <v>0</v>
      </c>
      <c r="H57" s="5">
        <f t="shared" si="9"/>
        <v>0</v>
      </c>
      <c r="I57" s="14">
        <f t="shared" si="7"/>
        <v>0</v>
      </c>
      <c r="J57" s="19">
        <f t="shared" si="8"/>
        <v>0</v>
      </c>
      <c r="K57" s="16">
        <f t="shared" si="6"/>
        <v>0</v>
      </c>
    </row>
    <row r="58" spans="1:11" x14ac:dyDescent="0.15">
      <c r="A58" s="7">
        <v>39235.477962962963</v>
      </c>
      <c r="B58">
        <v>39.9</v>
      </c>
      <c r="C58" s="6">
        <f t="shared" si="0"/>
        <v>76.000000163912773</v>
      </c>
      <c r="D58" t="str">
        <f t="shared" si="1"/>
        <v/>
      </c>
      <c r="E58" t="str">
        <f t="shared" si="3"/>
        <v xml:space="preserve"> </v>
      </c>
      <c r="F58" s="4">
        <f t="shared" si="10"/>
        <v>0</v>
      </c>
      <c r="G58" s="4">
        <f t="shared" si="4"/>
        <v>0</v>
      </c>
      <c r="H58" s="5">
        <f t="shared" si="9"/>
        <v>0</v>
      </c>
      <c r="I58" s="14">
        <f t="shared" si="7"/>
        <v>0</v>
      </c>
      <c r="J58" s="19">
        <f t="shared" si="8"/>
        <v>0</v>
      </c>
      <c r="K58" s="16">
        <f t="shared" si="6"/>
        <v>0</v>
      </c>
    </row>
    <row r="59" spans="1:11" x14ac:dyDescent="0.15">
      <c r="A59" s="7">
        <v>39235.477986111109</v>
      </c>
      <c r="B59">
        <v>39.9</v>
      </c>
      <c r="C59" s="6">
        <f t="shared" si="0"/>
        <v>78.000000002793968</v>
      </c>
      <c r="D59" t="str">
        <f t="shared" si="1"/>
        <v/>
      </c>
      <c r="E59" t="str">
        <f t="shared" si="3"/>
        <v xml:space="preserve"> </v>
      </c>
      <c r="F59" s="4">
        <f t="shared" si="10"/>
        <v>0</v>
      </c>
      <c r="G59" s="4">
        <f t="shared" si="4"/>
        <v>0</v>
      </c>
      <c r="H59" s="5">
        <f t="shared" si="9"/>
        <v>0</v>
      </c>
      <c r="I59" s="14">
        <f t="shared" si="7"/>
        <v>0</v>
      </c>
      <c r="J59" s="19">
        <f t="shared" si="8"/>
        <v>0</v>
      </c>
      <c r="K59" s="16">
        <f t="shared" si="6"/>
        <v>0</v>
      </c>
    </row>
    <row r="60" spans="1:11" x14ac:dyDescent="0.15">
      <c r="A60" s="7">
        <v>39235.478009259263</v>
      </c>
      <c r="B60">
        <v>39.9</v>
      </c>
      <c r="C60" s="6">
        <f t="shared" si="0"/>
        <v>80.0000004703179</v>
      </c>
      <c r="D60" t="str">
        <f t="shared" si="1"/>
        <v/>
      </c>
      <c r="E60" t="str">
        <f t="shared" si="3"/>
        <v xml:space="preserve"> </v>
      </c>
      <c r="F60" s="4">
        <f t="shared" si="10"/>
        <v>0</v>
      </c>
      <c r="G60" s="4">
        <f t="shared" si="4"/>
        <v>0</v>
      </c>
      <c r="H60" s="5">
        <f t="shared" si="9"/>
        <v>0</v>
      </c>
      <c r="I60" s="14">
        <f t="shared" si="7"/>
        <v>0</v>
      </c>
      <c r="J60" s="19">
        <f t="shared" si="8"/>
        <v>0</v>
      </c>
      <c r="K60" s="16">
        <f t="shared" si="6"/>
        <v>0</v>
      </c>
    </row>
    <row r="61" spans="1:11" x14ac:dyDescent="0.15">
      <c r="A61" s="7">
        <v>39235.478032407409</v>
      </c>
      <c r="B61">
        <v>39.9</v>
      </c>
      <c r="C61" s="6">
        <f t="shared" si="0"/>
        <v>82.000000309199095</v>
      </c>
      <c r="D61" t="str">
        <f t="shared" si="1"/>
        <v/>
      </c>
      <c r="E61" t="str">
        <f t="shared" si="3"/>
        <v xml:space="preserve"> </v>
      </c>
      <c r="F61" s="4">
        <f t="shared" si="10"/>
        <v>0</v>
      </c>
      <c r="G61" s="4">
        <f t="shared" si="4"/>
        <v>0</v>
      </c>
      <c r="H61" s="5">
        <f t="shared" si="9"/>
        <v>0</v>
      </c>
      <c r="I61" s="14">
        <f t="shared" si="7"/>
        <v>0</v>
      </c>
      <c r="J61" s="19">
        <f t="shared" si="8"/>
        <v>0</v>
      </c>
      <c r="K61" s="16">
        <f t="shared" si="6"/>
        <v>0</v>
      </c>
    </row>
    <row r="62" spans="1:11" x14ac:dyDescent="0.15">
      <c r="A62" s="7">
        <v>39235.478055555555</v>
      </c>
      <c r="B62">
        <v>39.9</v>
      </c>
      <c r="C62" s="6">
        <f t="shared" si="0"/>
        <v>84.000000148080289</v>
      </c>
      <c r="D62" t="str">
        <f t="shared" si="1"/>
        <v/>
      </c>
      <c r="E62" t="str">
        <f t="shared" si="3"/>
        <v xml:space="preserve"> </v>
      </c>
      <c r="F62" s="4">
        <f t="shared" si="10"/>
        <v>0</v>
      </c>
      <c r="G62" s="4">
        <f t="shared" si="4"/>
        <v>0</v>
      </c>
      <c r="H62" s="5">
        <f t="shared" si="9"/>
        <v>0</v>
      </c>
      <c r="I62" s="14">
        <f t="shared" si="7"/>
        <v>0</v>
      </c>
      <c r="J62" s="19">
        <f t="shared" si="8"/>
        <v>0</v>
      </c>
      <c r="K62" s="16">
        <f t="shared" si="6"/>
        <v>0</v>
      </c>
    </row>
    <row r="63" spans="1:11" x14ac:dyDescent="0.15">
      <c r="A63" s="7">
        <v>39235.478078703702</v>
      </c>
      <c r="B63">
        <v>40.1</v>
      </c>
      <c r="C63" s="6">
        <f t="shared" si="0"/>
        <v>85.999999986961484</v>
      </c>
      <c r="D63" t="str">
        <f t="shared" si="1"/>
        <v/>
      </c>
      <c r="E63">
        <f t="shared" si="3"/>
        <v>39235.478078703702</v>
      </c>
      <c r="F63" s="4">
        <f t="shared" si="10"/>
        <v>0.20000000000000284</v>
      </c>
      <c r="G63" s="4">
        <f t="shared" si="4"/>
        <v>0.10000000000000142</v>
      </c>
      <c r="H63" s="5">
        <f t="shared" si="9"/>
        <v>9.9999991944061145E-2</v>
      </c>
      <c r="I63" s="14">
        <f t="shared" si="7"/>
        <v>17.403361401661929</v>
      </c>
      <c r="J63" s="19">
        <f t="shared" si="8"/>
        <v>17.403361401661929</v>
      </c>
      <c r="K63" s="16">
        <f t="shared" si="6"/>
        <v>1.7334025300460088E-5</v>
      </c>
    </row>
    <row r="64" spans="1:11" x14ac:dyDescent="0.15">
      <c r="A64" s="7">
        <v>39235.478101851855</v>
      </c>
      <c r="B64">
        <v>40.1</v>
      </c>
      <c r="C64" s="6">
        <f t="shared" si="0"/>
        <v>88.000000454485416</v>
      </c>
      <c r="D64" t="str">
        <f t="shared" si="1"/>
        <v/>
      </c>
      <c r="E64">
        <f t="shared" si="3"/>
        <v>39235.478101851855</v>
      </c>
      <c r="F64" s="4">
        <f t="shared" si="10"/>
        <v>0.20000000000000284</v>
      </c>
      <c r="G64" s="4">
        <f t="shared" si="4"/>
        <v>0.10000000000000142</v>
      </c>
      <c r="H64" s="5">
        <f t="shared" si="9"/>
        <v>0.20000004675239608</v>
      </c>
      <c r="I64" s="14">
        <f t="shared" si="7"/>
        <v>34.806733743821496</v>
      </c>
      <c r="J64" s="19">
        <f t="shared" si="8"/>
        <v>52.210095145483422</v>
      </c>
      <c r="K64" s="16">
        <f t="shared" si="6"/>
        <v>5.2002086798290263E-5</v>
      </c>
    </row>
    <row r="65" spans="1:11" x14ac:dyDescent="0.15">
      <c r="A65" s="7">
        <v>39235.478125000001</v>
      </c>
      <c r="B65">
        <v>41.1</v>
      </c>
      <c r="C65" s="6">
        <f t="shared" si="0"/>
        <v>90.000000293366611</v>
      </c>
      <c r="D65" t="str">
        <f t="shared" si="1"/>
        <v/>
      </c>
      <c r="E65">
        <f t="shared" si="3"/>
        <v>39235.478125000001</v>
      </c>
      <c r="F65" s="4">
        <f t="shared" si="10"/>
        <v>1.2000000000000028</v>
      </c>
      <c r="G65" s="4">
        <f t="shared" si="4"/>
        <v>0.60000000000000142</v>
      </c>
      <c r="H65" s="5">
        <f t="shared" si="9"/>
        <v>0.69999994360842099</v>
      </c>
      <c r="I65" s="14">
        <f t="shared" si="7"/>
        <v>121.82352981163228</v>
      </c>
      <c r="J65" s="19">
        <f t="shared" si="8"/>
        <v>174.03362495711571</v>
      </c>
      <c r="K65" s="16">
        <f t="shared" si="6"/>
        <v>1.7334026390150966E-4</v>
      </c>
    </row>
    <row r="66" spans="1:11" x14ac:dyDescent="0.15">
      <c r="A66" s="7">
        <v>39235.478148148148</v>
      </c>
      <c r="B66">
        <v>41.4</v>
      </c>
      <c r="C66" s="6">
        <f t="shared" si="0"/>
        <v>92.000000132247806</v>
      </c>
      <c r="D66" t="str">
        <f t="shared" si="1"/>
        <v/>
      </c>
      <c r="E66">
        <f t="shared" si="3"/>
        <v>39235.478148148148</v>
      </c>
      <c r="F66" s="4">
        <f t="shared" si="10"/>
        <v>1.5</v>
      </c>
      <c r="G66" s="4">
        <f t="shared" si="4"/>
        <v>0.75</v>
      </c>
      <c r="H66" s="5">
        <f t="shared" si="9"/>
        <v>1.3499998912448077</v>
      </c>
      <c r="I66" s="14">
        <f t="shared" si="7"/>
        <v>234.94537892243295</v>
      </c>
      <c r="J66" s="19">
        <f t="shared" si="8"/>
        <v>408.97900387954866</v>
      </c>
      <c r="K66" s="16">
        <f t="shared" si="6"/>
        <v>4.0734960545771781E-4</v>
      </c>
    </row>
    <row r="67" spans="1:11" x14ac:dyDescent="0.15">
      <c r="A67" s="7">
        <v>39235.478171296294</v>
      </c>
      <c r="B67">
        <v>42</v>
      </c>
      <c r="C67" s="6">
        <f t="shared" si="0"/>
        <v>93.999999971129</v>
      </c>
      <c r="D67" t="str">
        <f t="shared" si="1"/>
        <v/>
      </c>
      <c r="E67">
        <f t="shared" si="3"/>
        <v>39235.478171296294</v>
      </c>
      <c r="F67" s="4">
        <f t="shared" si="10"/>
        <v>2.1000000000000014</v>
      </c>
      <c r="G67" s="4">
        <f t="shared" si="4"/>
        <v>1.0500000000000007</v>
      </c>
      <c r="H67" s="5">
        <f t="shared" si="9"/>
        <v>1.7999998549930758</v>
      </c>
      <c r="I67" s="14">
        <f t="shared" si="7"/>
        <v>313.26050522991039</v>
      </c>
      <c r="J67" s="19">
        <f t="shared" si="8"/>
        <v>722.23950910945905</v>
      </c>
      <c r="K67" s="16">
        <f t="shared" si="6"/>
        <v>7.1936206086599505E-4</v>
      </c>
    </row>
    <row r="68" spans="1:11" x14ac:dyDescent="0.15">
      <c r="A68" s="7">
        <v>39235.478194444448</v>
      </c>
      <c r="B68">
        <v>44.7</v>
      </c>
      <c r="C68" s="6">
        <f t="shared" si="0"/>
        <v>96.000000438652933</v>
      </c>
      <c r="D68" t="str">
        <f t="shared" si="1"/>
        <v/>
      </c>
      <c r="E68">
        <f t="shared" si="3"/>
        <v>39235.478194444448</v>
      </c>
      <c r="F68" s="4">
        <f t="shared" si="10"/>
        <v>4.8000000000000043</v>
      </c>
      <c r="G68" s="4">
        <f t="shared" si="4"/>
        <v>2.4000000000000021</v>
      </c>
      <c r="H68" s="5">
        <f t="shared" si="9"/>
        <v>3.4500008064787862</v>
      </c>
      <c r="I68" s="14">
        <f t="shared" si="7"/>
        <v>600.41615708091285</v>
      </c>
      <c r="J68" s="19">
        <f t="shared" si="8"/>
        <v>1322.6556661903719</v>
      </c>
      <c r="K68" s="16">
        <f t="shared" si="6"/>
        <v>1.3173861217035576E-3</v>
      </c>
    </row>
    <row r="69" spans="1:11" x14ac:dyDescent="0.15">
      <c r="A69" s="7">
        <v>39235.478217592594</v>
      </c>
      <c r="B69">
        <v>46.8</v>
      </c>
      <c r="C69" s="6">
        <f t="shared" si="0"/>
        <v>98.000000277534127</v>
      </c>
      <c r="D69" t="str">
        <f t="shared" si="1"/>
        <v/>
      </c>
      <c r="E69">
        <f t="shared" si="3"/>
        <v>39235.478217592594</v>
      </c>
      <c r="F69" s="4">
        <f t="shared" si="10"/>
        <v>6.8999999999999986</v>
      </c>
      <c r="G69" s="4">
        <f t="shared" si="4"/>
        <v>3.4499999999999993</v>
      </c>
      <c r="H69" s="5">
        <f t="shared" si="9"/>
        <v>5.849999528727496</v>
      </c>
      <c r="I69" s="14">
        <f t="shared" si="7"/>
        <v>1018.0966419972087</v>
      </c>
      <c r="J69" s="19">
        <f t="shared" si="8"/>
        <v>2340.7523081875806</v>
      </c>
      <c r="K69" s="16">
        <f t="shared" si="6"/>
        <v>2.331426601780459E-3</v>
      </c>
    </row>
    <row r="70" spans="1:11" x14ac:dyDescent="0.15">
      <c r="A70" s="7">
        <v>39235.47824074074</v>
      </c>
      <c r="B70">
        <v>51.1</v>
      </c>
      <c r="C70" s="6">
        <f t="shared" si="0"/>
        <v>100.00000011641532</v>
      </c>
      <c r="D70" t="str">
        <f t="shared" si="1"/>
        <v/>
      </c>
      <c r="E70">
        <f t="shared" si="3"/>
        <v>39235.47824074074</v>
      </c>
      <c r="F70" s="4">
        <f t="shared" si="10"/>
        <v>11.200000000000003</v>
      </c>
      <c r="G70" s="4">
        <f t="shared" si="4"/>
        <v>5.6000000000000014</v>
      </c>
      <c r="H70" s="5">
        <f t="shared" si="9"/>
        <v>9.0499992709374055</v>
      </c>
      <c r="I70" s="14">
        <f t="shared" si="7"/>
        <v>1575.0042068503824</v>
      </c>
      <c r="J70" s="19">
        <f t="shared" si="8"/>
        <v>3915.7565150379633</v>
      </c>
      <c r="K70" s="16">
        <f t="shared" si="6"/>
        <v>3.9001558914720747E-3</v>
      </c>
    </row>
    <row r="71" spans="1:11" x14ac:dyDescent="0.15">
      <c r="A71" s="7">
        <v>39235.478263888886</v>
      </c>
      <c r="B71">
        <v>56.2</v>
      </c>
      <c r="C71" s="6">
        <f t="shared" si="0"/>
        <v>101.99999995529652</v>
      </c>
      <c r="D71" t="str">
        <f t="shared" si="1"/>
        <v/>
      </c>
      <c r="E71">
        <f t="shared" si="3"/>
        <v>39235.478263888886</v>
      </c>
      <c r="F71" s="4">
        <f t="shared" si="10"/>
        <v>16.300000000000004</v>
      </c>
      <c r="G71" s="4">
        <f t="shared" si="4"/>
        <v>8.1500000000000021</v>
      </c>
      <c r="H71" s="5">
        <f t="shared" si="9"/>
        <v>13.749998892308216</v>
      </c>
      <c r="I71" s="14">
        <f t="shared" si="7"/>
        <v>2392.962192728482</v>
      </c>
      <c r="J71" s="19">
        <f t="shared" si="8"/>
        <v>6308.7187077664457</v>
      </c>
      <c r="K71" s="16">
        <f t="shared" si="6"/>
        <v>6.2835843702853042E-3</v>
      </c>
    </row>
    <row r="72" spans="1:11" x14ac:dyDescent="0.15">
      <c r="A72" s="7">
        <v>39235.47828703704</v>
      </c>
      <c r="B72">
        <v>50.8</v>
      </c>
      <c r="C72" s="6">
        <f t="shared" si="0"/>
        <v>104.00000042282045</v>
      </c>
      <c r="D72" t="str">
        <f t="shared" si="1"/>
        <v/>
      </c>
      <c r="E72">
        <f t="shared" si="3"/>
        <v>39235.47828703704</v>
      </c>
      <c r="F72" s="4">
        <f t="shared" si="10"/>
        <v>10.899999999999999</v>
      </c>
      <c r="G72" s="4">
        <f t="shared" si="4"/>
        <v>5.4499999999999993</v>
      </c>
      <c r="H72" s="5">
        <f t="shared" si="9"/>
        <v>13.600003179162742</v>
      </c>
      <c r="I72" s="14">
        <f t="shared" si="7"/>
        <v>2366.8578945798286</v>
      </c>
      <c r="J72" s="19">
        <f t="shared" si="8"/>
        <v>8675.5766023462747</v>
      </c>
      <c r="K72" s="16">
        <f t="shared" si="6"/>
        <v>8.6410125521377244E-3</v>
      </c>
    </row>
    <row r="73" spans="1:11" x14ac:dyDescent="0.15">
      <c r="A73" s="7">
        <v>39235.478310185186</v>
      </c>
      <c r="B73">
        <v>61.8</v>
      </c>
      <c r="C73" s="6">
        <f t="shared" si="0"/>
        <v>106.00000026170164</v>
      </c>
      <c r="D73" t="str">
        <f t="shared" si="1"/>
        <v/>
      </c>
      <c r="E73">
        <f t="shared" si="3"/>
        <v>39235.478310185186</v>
      </c>
      <c r="F73" s="4">
        <f t="shared" si="10"/>
        <v>21.9</v>
      </c>
      <c r="G73" s="4">
        <f t="shared" si="4"/>
        <v>10.95</v>
      </c>
      <c r="H73" s="5">
        <f t="shared" si="9"/>
        <v>16.399998678825796</v>
      </c>
      <c r="I73" s="14">
        <f t="shared" si="7"/>
        <v>2854.151269872516</v>
      </c>
      <c r="J73" s="19">
        <f t="shared" si="8"/>
        <v>11529.727872218791</v>
      </c>
      <c r="K73" s="16">
        <f t="shared" si="6"/>
        <v>1.1483792701413139E-2</v>
      </c>
    </row>
    <row r="74" spans="1:11" x14ac:dyDescent="0.15">
      <c r="A74" s="7">
        <v>39235.478333333333</v>
      </c>
      <c r="B74">
        <v>76.7</v>
      </c>
      <c r="C74" s="6">
        <f t="shared" si="0"/>
        <v>108.00000010058284</v>
      </c>
      <c r="D74" t="str">
        <f t="shared" si="1"/>
        <v/>
      </c>
      <c r="E74">
        <f t="shared" si="3"/>
        <v>39235.478333333333</v>
      </c>
      <c r="F74" s="4">
        <f t="shared" si="10"/>
        <v>36.800000000000004</v>
      </c>
      <c r="G74" s="4">
        <f t="shared" si="4"/>
        <v>18.400000000000002</v>
      </c>
      <c r="H74" s="5">
        <f t="shared" si="9"/>
        <v>29.349997635581531</v>
      </c>
      <c r="I74" s="14">
        <f t="shared" si="7"/>
        <v>5107.886571387704</v>
      </c>
      <c r="J74" s="19">
        <f t="shared" si="8"/>
        <v>16637.614443606493</v>
      </c>
      <c r="K74" s="16">
        <f t="shared" si="6"/>
        <v>1.6571329127098102E-2</v>
      </c>
    </row>
    <row r="75" spans="1:11" x14ac:dyDescent="0.15">
      <c r="A75" s="7">
        <v>39235.478356481479</v>
      </c>
      <c r="B75">
        <v>78.3</v>
      </c>
      <c r="C75" s="6">
        <f t="shared" si="0"/>
        <v>109.99999993946403</v>
      </c>
      <c r="D75" t="str">
        <f t="shared" si="1"/>
        <v/>
      </c>
      <c r="E75">
        <f t="shared" si="3"/>
        <v>39235.478356481479</v>
      </c>
      <c r="F75" s="4">
        <f t="shared" si="10"/>
        <v>38.4</v>
      </c>
      <c r="G75" s="4">
        <f t="shared" si="4"/>
        <v>19.2</v>
      </c>
      <c r="H75" s="5">
        <f t="shared" si="9"/>
        <v>37.599996970966458</v>
      </c>
      <c r="I75" s="14">
        <f t="shared" si="7"/>
        <v>6543.6638870247925</v>
      </c>
      <c r="J75" s="19">
        <f t="shared" si="8"/>
        <v>23181.278330631285</v>
      </c>
      <c r="K75" s="16">
        <f t="shared" si="6"/>
        <v>2.3088922640071001E-2</v>
      </c>
    </row>
    <row r="76" spans="1:11" x14ac:dyDescent="0.15">
      <c r="A76" s="7">
        <v>39235.478379629632</v>
      </c>
      <c r="B76">
        <v>90.1</v>
      </c>
      <c r="C76" s="6">
        <f t="shared" si="0"/>
        <v>112.00000040698797</v>
      </c>
      <c r="D76" t="str">
        <f t="shared" si="1"/>
        <v/>
      </c>
      <c r="E76">
        <f t="shared" si="3"/>
        <v>39235.478379629632</v>
      </c>
      <c r="F76" s="4">
        <f t="shared" si="10"/>
        <v>50.199999999999996</v>
      </c>
      <c r="G76" s="4">
        <f t="shared" si="4"/>
        <v>25.099999999999998</v>
      </c>
      <c r="H76" s="5">
        <f t="shared" si="9"/>
        <v>44.300010355655104</v>
      </c>
      <c r="I76" s="14">
        <f t="shared" si="7"/>
        <v>7709.6915242563527</v>
      </c>
      <c r="J76" s="19">
        <f t="shared" si="8"/>
        <v>30890.969854887637</v>
      </c>
      <c r="K76" s="16">
        <f t="shared" si="6"/>
        <v>3.0767898261840277E-2</v>
      </c>
    </row>
    <row r="77" spans="1:11" x14ac:dyDescent="0.15">
      <c r="A77" s="7">
        <v>39235.478402777779</v>
      </c>
      <c r="B77">
        <v>92.3</v>
      </c>
      <c r="C77" s="6">
        <f t="shared" si="0"/>
        <v>114.00000024586916</v>
      </c>
      <c r="D77" t="str">
        <f t="shared" si="1"/>
        <v/>
      </c>
      <c r="E77">
        <f t="shared" si="3"/>
        <v>39235.478402777779</v>
      </c>
      <c r="F77" s="4">
        <f t="shared" si="10"/>
        <v>52.4</v>
      </c>
      <c r="G77" s="4">
        <f t="shared" si="4"/>
        <v>26.2</v>
      </c>
      <c r="H77" s="5">
        <f t="shared" si="9"/>
        <v>51.299995867302641</v>
      </c>
      <c r="I77" s="14">
        <f t="shared" si="7"/>
        <v>8927.9243990524428</v>
      </c>
      <c r="J77" s="19">
        <f t="shared" si="8"/>
        <v>39818.894253940081</v>
      </c>
      <c r="K77" s="16">
        <f t="shared" si="6"/>
        <v>3.9660253240976176E-2</v>
      </c>
    </row>
    <row r="78" spans="1:11" x14ac:dyDescent="0.15">
      <c r="A78" s="7">
        <v>39235.478425925925</v>
      </c>
      <c r="B78">
        <v>96.6</v>
      </c>
      <c r="C78" s="6">
        <f t="shared" si="0"/>
        <v>116.00000008475035</v>
      </c>
      <c r="D78" t="str">
        <f t="shared" si="1"/>
        <v/>
      </c>
      <c r="E78">
        <f t="shared" si="3"/>
        <v>39235.478425925925</v>
      </c>
      <c r="F78" s="4">
        <f t="shared" si="10"/>
        <v>56.699999999999996</v>
      </c>
      <c r="G78" s="4">
        <f t="shared" si="4"/>
        <v>28.349999999999998</v>
      </c>
      <c r="H78" s="5">
        <f t="shared" si="9"/>
        <v>54.549995605484582</v>
      </c>
      <c r="I78" s="14">
        <f t="shared" si="7"/>
        <v>9493.5336446064484</v>
      </c>
      <c r="J78" s="19">
        <f t="shared" si="8"/>
        <v>49312.427898546528</v>
      </c>
      <c r="K78" s="16">
        <f t="shared" si="6"/>
        <v>4.9115964042377017E-2</v>
      </c>
    </row>
    <row r="79" spans="1:11" x14ac:dyDescent="0.15">
      <c r="A79" s="7">
        <v>39235.478449074071</v>
      </c>
      <c r="B79">
        <v>107.7</v>
      </c>
      <c r="C79" s="6">
        <f t="shared" si="0"/>
        <v>117.99999992363155</v>
      </c>
      <c r="D79" t="str">
        <f t="shared" si="1"/>
        <v/>
      </c>
      <c r="E79">
        <f t="shared" si="3"/>
        <v>39235.478449074071</v>
      </c>
      <c r="F79" s="4">
        <f t="shared" si="10"/>
        <v>67.800000000000011</v>
      </c>
      <c r="G79" s="4">
        <f t="shared" si="4"/>
        <v>33.900000000000006</v>
      </c>
      <c r="H79" s="5">
        <f t="shared" si="9"/>
        <v>62.249994985177182</v>
      </c>
      <c r="I79" s="14">
        <f t="shared" si="7"/>
        <v>10833.592472534398</v>
      </c>
      <c r="J79" s="19">
        <f t="shared" si="8"/>
        <v>60146.020371080929</v>
      </c>
      <c r="K79" s="16">
        <f t="shared" si="6"/>
        <v>5.9906394791913273E-2</v>
      </c>
    </row>
    <row r="80" spans="1:11" x14ac:dyDescent="0.15">
      <c r="A80" s="7">
        <v>39235.478472222225</v>
      </c>
      <c r="B80">
        <v>108.8</v>
      </c>
      <c r="C80" s="6">
        <f t="shared" si="0"/>
        <v>120.00000039115548</v>
      </c>
      <c r="D80" t="str">
        <f t="shared" si="1"/>
        <v/>
      </c>
      <c r="E80">
        <f t="shared" si="3"/>
        <v>39235.478472222225</v>
      </c>
      <c r="F80" s="4">
        <f t="shared" si="10"/>
        <v>68.900000000000006</v>
      </c>
      <c r="G80" s="4">
        <f t="shared" si="4"/>
        <v>34.450000000000003</v>
      </c>
      <c r="H80" s="5">
        <f t="shared" si="9"/>
        <v>68.350015977630406</v>
      </c>
      <c r="I80" s="14">
        <f t="shared" si="7"/>
        <v>11895.201256950832</v>
      </c>
      <c r="J80" s="19">
        <f t="shared" si="8"/>
        <v>72041.221628031766</v>
      </c>
      <c r="K80" s="16">
        <f t="shared" si="6"/>
        <v>7.1754204808796573E-2</v>
      </c>
    </row>
    <row r="81" spans="1:11" x14ac:dyDescent="0.15">
      <c r="A81" s="7">
        <v>39235.478495370371</v>
      </c>
      <c r="B81">
        <v>120.7</v>
      </c>
      <c r="C81" s="6">
        <f t="shared" si="0"/>
        <v>122.00000023003668</v>
      </c>
      <c r="D81" t="str">
        <f t="shared" si="1"/>
        <v/>
      </c>
      <c r="E81">
        <f t="shared" si="3"/>
        <v>39235.478495370371</v>
      </c>
      <c r="F81" s="4">
        <f t="shared" si="10"/>
        <v>80.800000000000011</v>
      </c>
      <c r="G81" s="4">
        <f t="shared" si="4"/>
        <v>40.400000000000006</v>
      </c>
      <c r="H81" s="5">
        <f t="shared" si="9"/>
        <v>74.849993970128722</v>
      </c>
      <c r="I81" s="14">
        <f t="shared" si="7"/>
        <v>13026.416009143772</v>
      </c>
      <c r="J81" s="19">
        <f t="shared" si="8"/>
        <v>85067.637637175532</v>
      </c>
      <c r="K81" s="16">
        <f t="shared" si="6"/>
        <v>8.4728722746190768E-2</v>
      </c>
    </row>
    <row r="82" spans="1:11" x14ac:dyDescent="0.15">
      <c r="A82" s="7">
        <v>39235.478518518517</v>
      </c>
      <c r="B82">
        <v>155</v>
      </c>
      <c r="C82" s="6">
        <f t="shared" si="0"/>
        <v>124.00000006891787</v>
      </c>
      <c r="D82" t="str">
        <f t="shared" si="1"/>
        <v/>
      </c>
      <c r="E82">
        <f t="shared" si="3"/>
        <v>39235.478518518517</v>
      </c>
      <c r="F82" s="4">
        <f t="shared" si="10"/>
        <v>115.1</v>
      </c>
      <c r="G82" s="4">
        <f t="shared" si="4"/>
        <v>57.55</v>
      </c>
      <c r="H82" s="5">
        <f t="shared" si="9"/>
        <v>97.949992109206505</v>
      </c>
      <c r="I82" s="14">
        <f t="shared" si="7"/>
        <v>17046.592492927619</v>
      </c>
      <c r="J82" s="19">
        <f t="shared" si="8"/>
        <v>102114.23013010315</v>
      </c>
      <c r="K82" s="16">
        <f t="shared" si="6"/>
        <v>0.1017074005279912</v>
      </c>
    </row>
    <row r="83" spans="1:11" x14ac:dyDescent="0.15">
      <c r="A83" s="7">
        <v>39235.478541666664</v>
      </c>
      <c r="B83">
        <v>148.4</v>
      </c>
      <c r="C83" s="6">
        <f t="shared" si="0"/>
        <v>125.99999990779907</v>
      </c>
      <c r="D83" t="str">
        <f t="shared" si="1"/>
        <v/>
      </c>
      <c r="E83">
        <f t="shared" si="3"/>
        <v>39235.478541666664</v>
      </c>
      <c r="F83" s="4">
        <f t="shared" si="10"/>
        <v>108.5</v>
      </c>
      <c r="G83" s="4">
        <f t="shared" si="4"/>
        <v>54.25</v>
      </c>
      <c r="H83" s="5">
        <f t="shared" si="9"/>
        <v>111.79999099345878</v>
      </c>
      <c r="I83" s="14">
        <f t="shared" si="7"/>
        <v>19456.95804705776</v>
      </c>
      <c r="J83" s="19">
        <f t="shared" si="8"/>
        <v>121571.18817716092</v>
      </c>
      <c r="K83" s="16">
        <f t="shared" si="6"/>
        <v>0.12108684081390529</v>
      </c>
    </row>
    <row r="84" spans="1:11" x14ac:dyDescent="0.15">
      <c r="A84" s="7">
        <v>39235.478564814817</v>
      </c>
      <c r="B84">
        <v>156.69999999999999</v>
      </c>
      <c r="C84" s="6">
        <f t="shared" ref="C84:C147" si="11">(A84-$B$4)*24*60*60</f>
        <v>128.000000375323</v>
      </c>
      <c r="D84" t="str">
        <f t="shared" ref="D84:D147" si="12">IF(F84=$B$8,A84,"")</f>
        <v/>
      </c>
      <c r="E84">
        <f t="shared" si="3"/>
        <v>39235.478564814817</v>
      </c>
      <c r="F84" s="4">
        <f t="shared" ref="F84:F115" si="13">IF((B84-$B$6)&gt;0,B84-$B$6,0)</f>
        <v>116.79999999999998</v>
      </c>
      <c r="G84" s="4">
        <f t="shared" si="4"/>
        <v>58.399999999999991</v>
      </c>
      <c r="H84" s="5">
        <f t="shared" si="9"/>
        <v>112.65002633328548</v>
      </c>
      <c r="I84" s="14">
        <f t="shared" si="7"/>
        <v>19604.892781207178</v>
      </c>
      <c r="J84" s="19">
        <f t="shared" si="8"/>
        <v>141176.08095836808</v>
      </c>
      <c r="K84" s="16">
        <f t="shared" si="6"/>
        <v>0.14061362645255784</v>
      </c>
    </row>
    <row r="85" spans="1:11" x14ac:dyDescent="0.15">
      <c r="A85" s="7">
        <v>39235.478587962964</v>
      </c>
      <c r="B85">
        <v>158</v>
      </c>
      <c r="C85" s="6">
        <f t="shared" si="11"/>
        <v>130.00000021420419</v>
      </c>
      <c r="D85" t="str">
        <f t="shared" si="12"/>
        <v/>
      </c>
      <c r="E85">
        <f t="shared" ref="E85:E148" si="14">IF(B85-$B$6&gt;0,A85," ")</f>
        <v>39235.478587962964</v>
      </c>
      <c r="F85" s="4">
        <f t="shared" si="13"/>
        <v>118.1</v>
      </c>
      <c r="G85" s="4">
        <f t="shared" ref="G85:G148" si="15">F85/2</f>
        <v>59.05</v>
      </c>
      <c r="H85" s="5">
        <f t="shared" si="9"/>
        <v>117.44999053829814</v>
      </c>
      <c r="I85" s="14">
        <f t="shared" si="7"/>
        <v>20440.247966251645</v>
      </c>
      <c r="J85" s="19">
        <f t="shared" si="8"/>
        <v>161616.32892461974</v>
      </c>
      <c r="K85" s="16">
        <f t="shared" ref="K85:K148" si="16">IF(J85=" ","-",J85/($B$12*1000))</f>
        <v>0.16097243916794796</v>
      </c>
    </row>
    <row r="86" spans="1:11" x14ac:dyDescent="0.15">
      <c r="A86" s="7">
        <v>39235.47861111111</v>
      </c>
      <c r="B86">
        <v>158.69999999999999</v>
      </c>
      <c r="C86" s="6">
        <f t="shared" si="11"/>
        <v>132.00000005308539</v>
      </c>
      <c r="D86" t="str">
        <f t="shared" si="12"/>
        <v/>
      </c>
      <c r="E86">
        <f t="shared" si="14"/>
        <v>39235.47861111111</v>
      </c>
      <c r="F86" s="4">
        <f t="shared" si="13"/>
        <v>118.79999999999998</v>
      </c>
      <c r="G86" s="4">
        <f t="shared" si="15"/>
        <v>59.399999999999991</v>
      </c>
      <c r="H86" s="5">
        <f t="shared" si="9"/>
        <v>118.44999045773874</v>
      </c>
      <c r="I86" s="14">
        <f t="shared" ref="I86:I149" si="17">H86*$B$14</f>
        <v>20614.28158026826</v>
      </c>
      <c r="J86" s="19">
        <f t="shared" ref="J86:J149" si="18">J85+I86</f>
        <v>182230.610504888</v>
      </c>
      <c r="K86" s="16">
        <f t="shared" si="16"/>
        <v>0.18150459213634262</v>
      </c>
    </row>
    <row r="87" spans="1:11" x14ac:dyDescent="0.15">
      <c r="A87" s="7">
        <v>39235.478634259256</v>
      </c>
      <c r="B87">
        <v>157.30000000000001</v>
      </c>
      <c r="C87" s="6">
        <f t="shared" si="11"/>
        <v>133.99999989196658</v>
      </c>
      <c r="D87" t="str">
        <f t="shared" si="12"/>
        <v/>
      </c>
      <c r="E87">
        <f t="shared" si="14"/>
        <v>39235.478634259256</v>
      </c>
      <c r="F87" s="4">
        <f t="shared" si="13"/>
        <v>117.4</v>
      </c>
      <c r="G87" s="4">
        <f t="shared" si="15"/>
        <v>58.7</v>
      </c>
      <c r="H87" s="5">
        <f t="shared" si="9"/>
        <v>118.09999048593454</v>
      </c>
      <c r="I87" s="14">
        <f t="shared" si="17"/>
        <v>20553.369815362446</v>
      </c>
      <c r="J87" s="19">
        <f t="shared" si="18"/>
        <v>202783.98032025044</v>
      </c>
      <c r="K87" s="16">
        <f t="shared" si="16"/>
        <v>0.2019760760161857</v>
      </c>
    </row>
    <row r="88" spans="1:11" x14ac:dyDescent="0.15">
      <c r="A88" s="7">
        <v>39235.47865740741</v>
      </c>
      <c r="B88">
        <v>157.9</v>
      </c>
      <c r="C88" s="6">
        <f t="shared" si="11"/>
        <v>136.00000035949051</v>
      </c>
      <c r="D88" t="str">
        <f t="shared" si="12"/>
        <v/>
      </c>
      <c r="E88">
        <f t="shared" si="14"/>
        <v>39235.47865740741</v>
      </c>
      <c r="F88" s="4">
        <f t="shared" si="13"/>
        <v>118</v>
      </c>
      <c r="G88" s="4">
        <f t="shared" si="15"/>
        <v>59</v>
      </c>
      <c r="H88" s="5">
        <f t="shared" si="9"/>
        <v>117.70002751378343</v>
      </c>
      <c r="I88" s="14">
        <f t="shared" si="17"/>
        <v>20483.762808238662</v>
      </c>
      <c r="J88" s="19">
        <f t="shared" si="18"/>
        <v>223267.74312848909</v>
      </c>
      <c r="K88" s="16">
        <f t="shared" si="16"/>
        <v>0.22237823020765846</v>
      </c>
    </row>
    <row r="89" spans="1:11" x14ac:dyDescent="0.15">
      <c r="A89" s="7">
        <v>39235.478680555556</v>
      </c>
      <c r="B89">
        <v>163.69999999999999</v>
      </c>
      <c r="C89" s="6">
        <f t="shared" si="11"/>
        <v>138.00000019837171</v>
      </c>
      <c r="D89" t="str">
        <f t="shared" si="12"/>
        <v/>
      </c>
      <c r="E89">
        <f t="shared" si="14"/>
        <v>39235.478680555556</v>
      </c>
      <c r="F89" s="4">
        <f t="shared" si="13"/>
        <v>123.79999999999998</v>
      </c>
      <c r="G89" s="4">
        <f t="shared" si="15"/>
        <v>61.899999999999991</v>
      </c>
      <c r="H89" s="5">
        <f t="shared" si="9"/>
        <v>120.8999902603682</v>
      </c>
      <c r="I89" s="14">
        <f t="shared" si="17"/>
        <v>21040.663934608972</v>
      </c>
      <c r="J89" s="19">
        <f t="shared" si="18"/>
        <v>244308.40706309807</v>
      </c>
      <c r="K89" s="16">
        <f t="shared" si="16"/>
        <v>0.24333506679591441</v>
      </c>
    </row>
    <row r="90" spans="1:11" x14ac:dyDescent="0.15">
      <c r="A90" s="7">
        <v>39235.478703703702</v>
      </c>
      <c r="B90">
        <v>167.6</v>
      </c>
      <c r="C90" s="6">
        <f t="shared" si="11"/>
        <v>140.0000000372529</v>
      </c>
      <c r="D90">
        <f t="shared" si="12"/>
        <v>39235.478703703702</v>
      </c>
      <c r="E90">
        <f t="shared" si="14"/>
        <v>39235.478703703702</v>
      </c>
      <c r="F90" s="4">
        <f t="shared" si="13"/>
        <v>127.69999999999999</v>
      </c>
      <c r="G90" s="4">
        <f t="shared" si="15"/>
        <v>63.849999999999994</v>
      </c>
      <c r="H90" s="5">
        <f t="shared" si="9"/>
        <v>125.7499898696551</v>
      </c>
      <c r="I90" s="14">
        <f t="shared" si="17"/>
        <v>21884.726962589564</v>
      </c>
      <c r="J90" s="19">
        <f t="shared" si="18"/>
        <v>266193.13402568764</v>
      </c>
      <c r="K90" s="16">
        <f t="shared" si="16"/>
        <v>0.26513260361124269</v>
      </c>
    </row>
    <row r="91" spans="1:11" x14ac:dyDescent="0.15">
      <c r="A91" s="7">
        <v>39235.478726851848</v>
      </c>
      <c r="B91">
        <v>166.8</v>
      </c>
      <c r="C91" s="6">
        <f t="shared" si="11"/>
        <v>141.9999998761341</v>
      </c>
      <c r="D91" t="str">
        <f t="shared" si="12"/>
        <v/>
      </c>
      <c r="E91">
        <f t="shared" si="14"/>
        <v>39235.478726851848</v>
      </c>
      <c r="F91" s="4">
        <f t="shared" si="13"/>
        <v>126.9</v>
      </c>
      <c r="G91" s="4">
        <f t="shared" si="15"/>
        <v>63.45</v>
      </c>
      <c r="H91" s="5">
        <f t="shared" si="9"/>
        <v>127.29998974478804</v>
      </c>
      <c r="I91" s="14">
        <f t="shared" si="17"/>
        <v>22154.479064315321</v>
      </c>
      <c r="J91" s="19">
        <f t="shared" si="18"/>
        <v>288347.61309000297</v>
      </c>
      <c r="K91" s="16">
        <f t="shared" si="16"/>
        <v>0.28719881781872808</v>
      </c>
    </row>
    <row r="92" spans="1:11" x14ac:dyDescent="0.15">
      <c r="A92" s="7">
        <v>39235.478750000002</v>
      </c>
      <c r="B92">
        <v>165</v>
      </c>
      <c r="C92" s="6">
        <f t="shared" si="11"/>
        <v>144.00000034365803</v>
      </c>
      <c r="D92" t="str">
        <f t="shared" si="12"/>
        <v/>
      </c>
      <c r="E92">
        <f t="shared" si="14"/>
        <v>39235.478750000002</v>
      </c>
      <c r="F92" s="4">
        <f t="shared" si="13"/>
        <v>125.1</v>
      </c>
      <c r="G92" s="4">
        <f t="shared" si="15"/>
        <v>62.55</v>
      </c>
      <c r="H92" s="5">
        <f t="shared" si="9"/>
        <v>126.00002945400774</v>
      </c>
      <c r="I92" s="14">
        <f t="shared" si="17"/>
        <v>21928.242258607235</v>
      </c>
      <c r="J92" s="19">
        <f t="shared" si="18"/>
        <v>310275.8553486102</v>
      </c>
      <c r="K92" s="16">
        <f t="shared" si="16"/>
        <v>0.30903969656236074</v>
      </c>
    </row>
    <row r="93" spans="1:11" x14ac:dyDescent="0.15">
      <c r="A93" s="7">
        <v>39235.478773148148</v>
      </c>
      <c r="B93">
        <v>159.69999999999999</v>
      </c>
      <c r="C93" s="6">
        <f t="shared" si="11"/>
        <v>146.00000018253922</v>
      </c>
      <c r="D93" t="str">
        <f t="shared" si="12"/>
        <v/>
      </c>
      <c r="E93">
        <f t="shared" si="14"/>
        <v>39235.478773148148</v>
      </c>
      <c r="F93" s="4">
        <f t="shared" si="13"/>
        <v>119.79999999999998</v>
      </c>
      <c r="G93" s="4">
        <f t="shared" si="15"/>
        <v>59.899999999999991</v>
      </c>
      <c r="H93" s="5">
        <f t="shared" si="9"/>
        <v>122.44999013550112</v>
      </c>
      <c r="I93" s="14">
        <f t="shared" si="17"/>
        <v>21310.416036334729</v>
      </c>
      <c r="J93" s="19">
        <f t="shared" si="18"/>
        <v>331586.27138494491</v>
      </c>
      <c r="K93" s="16">
        <f t="shared" si="16"/>
        <v>0.3302652105427738</v>
      </c>
    </row>
    <row r="94" spans="1:11" x14ac:dyDescent="0.15">
      <c r="A94" s="7">
        <v>39235.478796296295</v>
      </c>
      <c r="B94">
        <v>160.30000000000001</v>
      </c>
      <c r="C94" s="6">
        <f t="shared" si="11"/>
        <v>148.00000002142042</v>
      </c>
      <c r="D94" t="str">
        <f t="shared" si="12"/>
        <v/>
      </c>
      <c r="E94">
        <f t="shared" si="14"/>
        <v>39235.478796296295</v>
      </c>
      <c r="F94" s="4">
        <f t="shared" si="13"/>
        <v>120.4</v>
      </c>
      <c r="G94" s="4">
        <f t="shared" si="15"/>
        <v>60.2</v>
      </c>
      <c r="H94" s="5">
        <f t="shared" si="9"/>
        <v>120.09999032481574</v>
      </c>
      <c r="I94" s="14">
        <f t="shared" si="17"/>
        <v>20901.437043395679</v>
      </c>
      <c r="J94" s="19">
        <f t="shared" si="18"/>
        <v>352487.70842834061</v>
      </c>
      <c r="K94" s="16">
        <f t="shared" si="16"/>
        <v>0.35108337492862612</v>
      </c>
    </row>
    <row r="95" spans="1:11" x14ac:dyDescent="0.15">
      <c r="A95" s="7">
        <v>39235.478819444441</v>
      </c>
      <c r="B95">
        <v>156.19999999999999</v>
      </c>
      <c r="C95" s="6">
        <f t="shared" si="11"/>
        <v>149.99999986030161</v>
      </c>
      <c r="D95" t="str">
        <f t="shared" si="12"/>
        <v/>
      </c>
      <c r="E95">
        <f t="shared" si="14"/>
        <v>39235.478819444441</v>
      </c>
      <c r="F95" s="4">
        <f t="shared" si="13"/>
        <v>116.29999999999998</v>
      </c>
      <c r="G95" s="4">
        <f t="shared" si="15"/>
        <v>58.149999999999991</v>
      </c>
      <c r="H95" s="5">
        <f t="shared" si="9"/>
        <v>118.34999046579469</v>
      </c>
      <c r="I95" s="14">
        <f t="shared" si="17"/>
        <v>20596.878218866601</v>
      </c>
      <c r="J95" s="19">
        <f t="shared" si="18"/>
        <v>373084.58664720721</v>
      </c>
      <c r="K95" s="16">
        <f t="shared" si="16"/>
        <v>0.37159819387172033</v>
      </c>
    </row>
    <row r="96" spans="1:11" x14ac:dyDescent="0.15">
      <c r="A96" s="7">
        <v>39235.478842592594</v>
      </c>
      <c r="B96">
        <v>154.9</v>
      </c>
      <c r="C96" s="6">
        <f t="shared" si="11"/>
        <v>152.00000032782555</v>
      </c>
      <c r="D96" t="str">
        <f t="shared" si="12"/>
        <v/>
      </c>
      <c r="E96">
        <f t="shared" si="14"/>
        <v>39235.478842592594</v>
      </c>
      <c r="F96" s="4">
        <f t="shared" si="13"/>
        <v>115</v>
      </c>
      <c r="G96" s="4">
        <f t="shared" si="15"/>
        <v>57.5</v>
      </c>
      <c r="H96" s="5">
        <f t="shared" si="9"/>
        <v>115.65002703457138</v>
      </c>
      <c r="I96" s="14">
        <f t="shared" si="17"/>
        <v>20126.993787364496</v>
      </c>
      <c r="J96" s="19">
        <f t="shared" si="18"/>
        <v>393211.58043457172</v>
      </c>
      <c r="K96" s="16">
        <f t="shared" si="16"/>
        <v>0.39164500043284034</v>
      </c>
    </row>
    <row r="97" spans="1:11" x14ac:dyDescent="0.15">
      <c r="A97" s="7">
        <v>39235.478865740741</v>
      </c>
      <c r="B97">
        <v>149.4</v>
      </c>
      <c r="C97" s="6">
        <f t="shared" si="11"/>
        <v>154.00000016670674</v>
      </c>
      <c r="D97" t="str">
        <f t="shared" si="12"/>
        <v/>
      </c>
      <c r="E97">
        <f t="shared" si="14"/>
        <v>39235.478865740741</v>
      </c>
      <c r="F97" s="4">
        <f t="shared" si="13"/>
        <v>109.5</v>
      </c>
      <c r="G97" s="4">
        <f t="shared" si="15"/>
        <v>54.75</v>
      </c>
      <c r="H97" s="5">
        <f t="shared" si="9"/>
        <v>112.24999095720705</v>
      </c>
      <c r="I97" s="14">
        <f t="shared" si="17"/>
        <v>19535.27317336524</v>
      </c>
      <c r="J97" s="19">
        <f t="shared" si="18"/>
        <v>412746.85360793694</v>
      </c>
      <c r="K97" s="16">
        <f t="shared" si="16"/>
        <v>0.41110244383260652</v>
      </c>
    </row>
    <row r="98" spans="1:11" x14ac:dyDescent="0.15">
      <c r="A98" s="7">
        <v>39235.478888888887</v>
      </c>
      <c r="B98">
        <v>153.80000000000001</v>
      </c>
      <c r="C98" s="6">
        <f t="shared" si="11"/>
        <v>156.00000000558794</v>
      </c>
      <c r="D98" t="str">
        <f t="shared" si="12"/>
        <v/>
      </c>
      <c r="E98">
        <f t="shared" si="14"/>
        <v>39235.478888888887</v>
      </c>
      <c r="F98" s="4">
        <f t="shared" si="13"/>
        <v>113.9</v>
      </c>
      <c r="G98" s="4">
        <f t="shared" si="15"/>
        <v>56.95</v>
      </c>
      <c r="H98" s="5">
        <f t="shared" si="9"/>
        <v>111.69999100151472</v>
      </c>
      <c r="I98" s="14">
        <f t="shared" si="17"/>
        <v>19439.554685656101</v>
      </c>
      <c r="J98" s="19">
        <f t="shared" si="18"/>
        <v>432186.40829359303</v>
      </c>
      <c r="K98" s="16">
        <f t="shared" si="16"/>
        <v>0.43046455009322016</v>
      </c>
    </row>
    <row r="99" spans="1:11" x14ac:dyDescent="0.15">
      <c r="A99" s="7">
        <v>39235.478912037041</v>
      </c>
      <c r="B99">
        <v>142.6</v>
      </c>
      <c r="C99" s="6">
        <f t="shared" si="11"/>
        <v>158.00000047311187</v>
      </c>
      <c r="D99" t="str">
        <f t="shared" si="12"/>
        <v/>
      </c>
      <c r="E99">
        <f t="shared" si="14"/>
        <v>39235.478912037041</v>
      </c>
      <c r="F99" s="4">
        <f t="shared" si="13"/>
        <v>102.69999999999999</v>
      </c>
      <c r="G99" s="4">
        <f t="shared" si="15"/>
        <v>51.349999999999994</v>
      </c>
      <c r="H99" s="5">
        <f t="shared" si="9"/>
        <v>108.30002531642094</v>
      </c>
      <c r="I99" s="14">
        <f t="shared" si="17"/>
        <v>18847.846322279074</v>
      </c>
      <c r="J99" s="19">
        <f t="shared" si="18"/>
        <v>451034.25461587211</v>
      </c>
      <c r="K99" s="16">
        <f t="shared" si="16"/>
        <v>0.44923730539429491</v>
      </c>
    </row>
    <row r="100" spans="1:11" x14ac:dyDescent="0.15">
      <c r="A100" s="7">
        <v>39235.478935185187</v>
      </c>
      <c r="B100">
        <v>140.69999999999999</v>
      </c>
      <c r="C100" s="6">
        <f t="shared" si="11"/>
        <v>160.00000031199306</v>
      </c>
      <c r="D100" t="str">
        <f t="shared" si="12"/>
        <v/>
      </c>
      <c r="E100">
        <f t="shared" si="14"/>
        <v>39235.478935185187</v>
      </c>
      <c r="F100" s="4">
        <f t="shared" si="13"/>
        <v>100.79999999999998</v>
      </c>
      <c r="G100" s="4">
        <f t="shared" si="15"/>
        <v>50.399999999999991</v>
      </c>
      <c r="H100" s="5">
        <f t="shared" si="9"/>
        <v>101.74999180308076</v>
      </c>
      <c r="I100" s="14">
        <f t="shared" si="17"/>
        <v>17707.920226190759</v>
      </c>
      <c r="J100" s="19">
        <f t="shared" si="18"/>
        <v>468742.17484206287</v>
      </c>
      <c r="K100" s="16">
        <f t="shared" si="16"/>
        <v>0.46687467613751282</v>
      </c>
    </row>
    <row r="101" spans="1:11" x14ac:dyDescent="0.15">
      <c r="A101" s="7">
        <v>39235.478958333333</v>
      </c>
      <c r="B101">
        <v>140.30000000000001</v>
      </c>
      <c r="C101" s="6">
        <f t="shared" si="11"/>
        <v>162.00000015087426</v>
      </c>
      <c r="D101" t="str">
        <f t="shared" si="12"/>
        <v/>
      </c>
      <c r="E101">
        <f t="shared" si="14"/>
        <v>39235.478958333333</v>
      </c>
      <c r="F101" s="4">
        <f t="shared" si="13"/>
        <v>100.4</v>
      </c>
      <c r="G101" s="4">
        <f t="shared" si="15"/>
        <v>50.2</v>
      </c>
      <c r="H101" s="5">
        <f t="shared" si="9"/>
        <v>100.59999189572409</v>
      </c>
      <c r="I101" s="14">
        <f t="shared" si="17"/>
        <v>17507.781570071653</v>
      </c>
      <c r="J101" s="19">
        <f t="shared" si="18"/>
        <v>486249.95641213452</v>
      </c>
      <c r="K101" s="16">
        <f t="shared" si="16"/>
        <v>0.48431270558977541</v>
      </c>
    </row>
    <row r="102" spans="1:11" x14ac:dyDescent="0.15">
      <c r="A102" s="7">
        <v>39235.478981481479</v>
      </c>
      <c r="B102">
        <v>136.69999999999999</v>
      </c>
      <c r="C102" s="6">
        <f t="shared" si="11"/>
        <v>163.99999998975545</v>
      </c>
      <c r="D102" t="str">
        <f t="shared" si="12"/>
        <v/>
      </c>
      <c r="E102">
        <f t="shared" si="14"/>
        <v>39235.478981481479</v>
      </c>
      <c r="F102" s="4">
        <f t="shared" si="13"/>
        <v>96.799999999999983</v>
      </c>
      <c r="G102" s="4">
        <f t="shared" si="15"/>
        <v>48.399999999999991</v>
      </c>
      <c r="H102" s="5">
        <f t="shared" si="9"/>
        <v>98.599992056842893</v>
      </c>
      <c r="I102" s="14">
        <f t="shared" si="17"/>
        <v>17159.71434203842</v>
      </c>
      <c r="J102" s="19">
        <f t="shared" si="18"/>
        <v>503409.67075417296</v>
      </c>
      <c r="K102" s="16">
        <f t="shared" si="16"/>
        <v>0.50140405453602888</v>
      </c>
    </row>
    <row r="103" spans="1:11" x14ac:dyDescent="0.15">
      <c r="A103" s="7">
        <v>39235.479004629633</v>
      </c>
      <c r="B103">
        <v>128.5</v>
      </c>
      <c r="C103" s="6">
        <f t="shared" si="11"/>
        <v>166.00000045727938</v>
      </c>
      <c r="D103" t="str">
        <f t="shared" si="12"/>
        <v/>
      </c>
      <c r="E103">
        <f t="shared" si="14"/>
        <v>39235.479004629633</v>
      </c>
      <c r="F103" s="4">
        <f t="shared" si="13"/>
        <v>88.6</v>
      </c>
      <c r="G103" s="4">
        <f t="shared" si="15"/>
        <v>44.3</v>
      </c>
      <c r="H103" s="5">
        <f t="shared" si="9"/>
        <v>92.700021669734255</v>
      </c>
      <c r="I103" s="14">
        <f t="shared" si="17"/>
        <v>16132.921090261034</v>
      </c>
      <c r="J103" s="19">
        <f t="shared" si="18"/>
        <v>519542.59184443398</v>
      </c>
      <c r="K103" s="16">
        <f t="shared" si="16"/>
        <v>0.51747270104027288</v>
      </c>
    </row>
    <row r="104" spans="1:11" x14ac:dyDescent="0.15">
      <c r="A104" s="7">
        <v>39235.479027777779</v>
      </c>
      <c r="B104">
        <v>132.5</v>
      </c>
      <c r="C104" s="6">
        <f t="shared" si="11"/>
        <v>168.00000029616058</v>
      </c>
      <c r="D104" t="str">
        <f t="shared" si="12"/>
        <v/>
      </c>
      <c r="E104">
        <f t="shared" si="14"/>
        <v>39235.479027777779</v>
      </c>
      <c r="F104" s="4">
        <f t="shared" si="13"/>
        <v>92.6</v>
      </c>
      <c r="G104" s="4">
        <f t="shared" si="15"/>
        <v>46.3</v>
      </c>
      <c r="H104" s="5">
        <f t="shared" ref="H104:H167" si="19">AVERAGE(G103:G104)*(C104-C103)</f>
        <v>90.599992701318115</v>
      </c>
      <c r="I104" s="14">
        <f t="shared" si="17"/>
        <v>15767.445429905485</v>
      </c>
      <c r="J104" s="19">
        <f t="shared" si="18"/>
        <v>535310.03727433947</v>
      </c>
      <c r="K104" s="16">
        <f t="shared" si="16"/>
        <v>0.53317732796248951</v>
      </c>
    </row>
    <row r="105" spans="1:11" x14ac:dyDescent="0.15">
      <c r="A105" s="7">
        <v>39235.479050925926</v>
      </c>
      <c r="B105">
        <v>125.5</v>
      </c>
      <c r="C105" s="6">
        <f t="shared" si="11"/>
        <v>170.00000013504177</v>
      </c>
      <c r="D105" t="str">
        <f t="shared" si="12"/>
        <v/>
      </c>
      <c r="E105">
        <f t="shared" si="14"/>
        <v>39235.479050925926</v>
      </c>
      <c r="F105" s="4">
        <f t="shared" si="13"/>
        <v>85.6</v>
      </c>
      <c r="G105" s="4">
        <f t="shared" si="15"/>
        <v>42.8</v>
      </c>
      <c r="H105" s="5">
        <f t="shared" si="19"/>
        <v>89.099992822157219</v>
      </c>
      <c r="I105" s="14">
        <f t="shared" si="17"/>
        <v>15506.39500888056</v>
      </c>
      <c r="J105" s="19">
        <f t="shared" si="18"/>
        <v>550816.43228322</v>
      </c>
      <c r="K105" s="16">
        <f t="shared" si="16"/>
        <v>0.54862194450519919</v>
      </c>
    </row>
    <row r="106" spans="1:11" x14ac:dyDescent="0.15">
      <c r="A106" s="7">
        <v>39235.479074074072</v>
      </c>
      <c r="B106">
        <v>124.7</v>
      </c>
      <c r="C106" s="6">
        <f t="shared" si="11"/>
        <v>171.99999997392297</v>
      </c>
      <c r="D106" t="str">
        <f t="shared" si="12"/>
        <v/>
      </c>
      <c r="E106">
        <f t="shared" si="14"/>
        <v>39235.479074074072</v>
      </c>
      <c r="F106" s="4">
        <f t="shared" si="13"/>
        <v>84.800000000000011</v>
      </c>
      <c r="G106" s="4">
        <f t="shared" si="15"/>
        <v>42.400000000000006</v>
      </c>
      <c r="H106" s="5">
        <f t="shared" si="19"/>
        <v>85.19999313633889</v>
      </c>
      <c r="I106" s="14">
        <f t="shared" si="17"/>
        <v>14827.663914215753</v>
      </c>
      <c r="J106" s="19">
        <f t="shared" si="18"/>
        <v>565644.09619743575</v>
      </c>
      <c r="K106" s="16">
        <f t="shared" si="16"/>
        <v>0.563390534061191</v>
      </c>
    </row>
    <row r="107" spans="1:11" x14ac:dyDescent="0.15">
      <c r="A107" s="7">
        <v>39235.479097222225</v>
      </c>
      <c r="B107">
        <v>122</v>
      </c>
      <c r="C107" s="6">
        <f t="shared" si="11"/>
        <v>174.0000004414469</v>
      </c>
      <c r="D107" t="str">
        <f t="shared" si="12"/>
        <v/>
      </c>
      <c r="E107">
        <f t="shared" si="14"/>
        <v>39235.479097222225</v>
      </c>
      <c r="F107" s="4">
        <f t="shared" si="13"/>
        <v>82.1</v>
      </c>
      <c r="G107" s="4">
        <f t="shared" si="15"/>
        <v>41.05</v>
      </c>
      <c r="H107" s="5">
        <f t="shared" si="19"/>
        <v>83.450019507436082</v>
      </c>
      <c r="I107" s="14">
        <f t="shared" si="17"/>
        <v>14523.109654609314</v>
      </c>
      <c r="J107" s="19">
        <f t="shared" si="18"/>
        <v>580167.2058520451</v>
      </c>
      <c r="K107" s="16">
        <f t="shared" si="16"/>
        <v>0.57785578272116045</v>
      </c>
    </row>
    <row r="108" spans="1:11" x14ac:dyDescent="0.15">
      <c r="A108" s="7">
        <v>39235.479120370372</v>
      </c>
      <c r="B108">
        <v>113.2</v>
      </c>
      <c r="C108" s="6">
        <f t="shared" si="11"/>
        <v>176.00000028032809</v>
      </c>
      <c r="D108" t="str">
        <f t="shared" si="12"/>
        <v/>
      </c>
      <c r="E108">
        <f t="shared" si="14"/>
        <v>39235.479120370372</v>
      </c>
      <c r="F108" s="4">
        <f t="shared" si="13"/>
        <v>73.300000000000011</v>
      </c>
      <c r="G108" s="4">
        <f t="shared" si="15"/>
        <v>36.650000000000006</v>
      </c>
      <c r="H108" s="5">
        <f t="shared" si="19"/>
        <v>77.69999374053441</v>
      </c>
      <c r="I108" s="14">
        <f t="shared" si="17"/>
        <v>13522.411809091127</v>
      </c>
      <c r="J108" s="19">
        <f t="shared" si="18"/>
        <v>593689.6176611362</v>
      </c>
      <c r="K108" s="16">
        <f t="shared" si="16"/>
        <v>0.59132432037961769</v>
      </c>
    </row>
    <row r="109" spans="1:11" x14ac:dyDescent="0.15">
      <c r="A109" s="7">
        <v>39235.479143518518</v>
      </c>
      <c r="B109">
        <v>117.9</v>
      </c>
      <c r="C109" s="6">
        <f t="shared" si="11"/>
        <v>178.00000011920929</v>
      </c>
      <c r="D109" t="str">
        <f t="shared" si="12"/>
        <v/>
      </c>
      <c r="E109">
        <f t="shared" si="14"/>
        <v>39235.479143518518</v>
      </c>
      <c r="F109" s="4">
        <f t="shared" si="13"/>
        <v>78</v>
      </c>
      <c r="G109" s="4">
        <f t="shared" si="15"/>
        <v>39</v>
      </c>
      <c r="H109" s="5">
        <f t="shared" si="19"/>
        <v>75.649993905681185</v>
      </c>
      <c r="I109" s="14">
        <f t="shared" si="17"/>
        <v>13165.642900357063</v>
      </c>
      <c r="J109" s="19">
        <f t="shared" si="18"/>
        <v>606855.26056149323</v>
      </c>
      <c r="K109" s="16">
        <f t="shared" si="16"/>
        <v>0.60443751051941552</v>
      </c>
    </row>
    <row r="110" spans="1:11" x14ac:dyDescent="0.15">
      <c r="A110" s="7">
        <v>39235.479166666664</v>
      </c>
      <c r="B110">
        <v>109.4</v>
      </c>
      <c r="C110" s="6">
        <f t="shared" si="11"/>
        <v>179.99999995809048</v>
      </c>
      <c r="D110" t="str">
        <f t="shared" si="12"/>
        <v/>
      </c>
      <c r="E110">
        <f t="shared" si="14"/>
        <v>39235.479166666664</v>
      </c>
      <c r="F110" s="4">
        <f t="shared" si="13"/>
        <v>69.5</v>
      </c>
      <c r="G110" s="4">
        <f t="shared" si="15"/>
        <v>34.75</v>
      </c>
      <c r="H110" s="5">
        <f t="shared" si="19"/>
        <v>73.749994058744051</v>
      </c>
      <c r="I110" s="14">
        <f t="shared" si="17"/>
        <v>12834.979033725491</v>
      </c>
      <c r="J110" s="19">
        <f t="shared" si="18"/>
        <v>619690.23959521868</v>
      </c>
      <c r="K110" s="16">
        <f t="shared" si="16"/>
        <v>0.61722135417850466</v>
      </c>
    </row>
    <row r="111" spans="1:11" x14ac:dyDescent="0.15">
      <c r="A111" s="7">
        <v>39235.479189814818</v>
      </c>
      <c r="B111">
        <v>109.1</v>
      </c>
      <c r="C111" s="6">
        <f t="shared" si="11"/>
        <v>182.00000042561442</v>
      </c>
      <c r="D111" t="str">
        <f t="shared" si="12"/>
        <v/>
      </c>
      <c r="E111">
        <f t="shared" si="14"/>
        <v>39235.479189814818</v>
      </c>
      <c r="F111" s="4">
        <f t="shared" si="13"/>
        <v>69.199999999999989</v>
      </c>
      <c r="G111" s="4">
        <f t="shared" si="15"/>
        <v>34.599999999999994</v>
      </c>
      <c r="H111" s="5">
        <f t="shared" si="19"/>
        <v>69.350016211392358</v>
      </c>
      <c r="I111" s="14">
        <f t="shared" si="17"/>
        <v>12069.234925669934</v>
      </c>
      <c r="J111" s="19">
        <f t="shared" si="18"/>
        <v>631759.47452088865</v>
      </c>
      <c r="K111" s="16">
        <f t="shared" si="16"/>
        <v>0.62924250450287711</v>
      </c>
    </row>
    <row r="112" spans="1:11" x14ac:dyDescent="0.15">
      <c r="A112" s="7">
        <v>39235.479212962964</v>
      </c>
      <c r="B112">
        <v>110.9</v>
      </c>
      <c r="C112" s="6">
        <f t="shared" si="11"/>
        <v>184.00000026449561</v>
      </c>
      <c r="D112" t="str">
        <f t="shared" si="12"/>
        <v/>
      </c>
      <c r="E112">
        <f t="shared" si="14"/>
        <v>39235.479212962964</v>
      </c>
      <c r="F112" s="4">
        <f t="shared" si="13"/>
        <v>71</v>
      </c>
      <c r="G112" s="4">
        <f t="shared" si="15"/>
        <v>35.5</v>
      </c>
      <c r="H112" s="5">
        <f t="shared" si="19"/>
        <v>70.09999435278587</v>
      </c>
      <c r="I112" s="14">
        <f t="shared" si="17"/>
        <v>12199.75634256484</v>
      </c>
      <c r="J112" s="19">
        <f t="shared" si="18"/>
        <v>643959.23086345347</v>
      </c>
      <c r="K112" s="16">
        <f t="shared" si="16"/>
        <v>0.64139365623849942</v>
      </c>
    </row>
    <row r="113" spans="1:11" x14ac:dyDescent="0.15">
      <c r="A113" s="7">
        <v>39235.47923611111</v>
      </c>
      <c r="B113">
        <v>101.9</v>
      </c>
      <c r="C113" s="6">
        <f t="shared" si="11"/>
        <v>186.00000010337681</v>
      </c>
      <c r="D113" t="str">
        <f t="shared" si="12"/>
        <v/>
      </c>
      <c r="E113">
        <f t="shared" si="14"/>
        <v>39235.47923611111</v>
      </c>
      <c r="F113" s="4">
        <f t="shared" si="13"/>
        <v>62.000000000000007</v>
      </c>
      <c r="G113" s="4">
        <f t="shared" si="15"/>
        <v>31.000000000000004</v>
      </c>
      <c r="H113" s="5">
        <f t="shared" si="19"/>
        <v>66.49999464279972</v>
      </c>
      <c r="I113" s="14">
        <f t="shared" si="17"/>
        <v>11573.23533210502</v>
      </c>
      <c r="J113" s="19">
        <f t="shared" si="18"/>
        <v>655532.46619555855</v>
      </c>
      <c r="K113" s="16">
        <f t="shared" si="16"/>
        <v>0.65292078306330537</v>
      </c>
    </row>
    <row r="114" spans="1:11" x14ac:dyDescent="0.15">
      <c r="A114" s="7">
        <v>39235.479259259257</v>
      </c>
      <c r="B114">
        <v>101.9</v>
      </c>
      <c r="C114" s="6">
        <f t="shared" si="11"/>
        <v>187.999999942258</v>
      </c>
      <c r="D114" t="str">
        <f t="shared" si="12"/>
        <v/>
      </c>
      <c r="E114">
        <f t="shared" si="14"/>
        <v>39235.479259259257</v>
      </c>
      <c r="F114" s="4">
        <f t="shared" si="13"/>
        <v>62.000000000000007</v>
      </c>
      <c r="G114" s="4">
        <f t="shared" si="15"/>
        <v>31.000000000000004</v>
      </c>
      <c r="H114" s="5">
        <f t="shared" si="19"/>
        <v>61.999995005317039</v>
      </c>
      <c r="I114" s="14">
        <f t="shared" si="17"/>
        <v>10790.084069030245</v>
      </c>
      <c r="J114" s="19">
        <f t="shared" si="18"/>
        <v>666322.55026458879</v>
      </c>
      <c r="K114" s="16">
        <f t="shared" si="16"/>
        <v>0.66366787874959043</v>
      </c>
    </row>
    <row r="115" spans="1:11" x14ac:dyDescent="0.15">
      <c r="A115" s="7">
        <v>39235.47928240741</v>
      </c>
      <c r="B115">
        <v>102.3</v>
      </c>
      <c r="C115" s="6">
        <f t="shared" si="11"/>
        <v>190.00000040978193</v>
      </c>
      <c r="D115" t="str">
        <f t="shared" si="12"/>
        <v/>
      </c>
      <c r="E115">
        <f t="shared" si="14"/>
        <v>39235.47928240741</v>
      </c>
      <c r="F115" s="4">
        <f t="shared" si="13"/>
        <v>62.4</v>
      </c>
      <c r="G115" s="4">
        <f t="shared" si="15"/>
        <v>31.2</v>
      </c>
      <c r="H115" s="5">
        <f t="shared" si="19"/>
        <v>62.200014539994299</v>
      </c>
      <c r="I115" s="14">
        <f t="shared" si="17"/>
        <v>10824.894194328333</v>
      </c>
      <c r="J115" s="19">
        <f t="shared" si="18"/>
        <v>677147.44445891713</v>
      </c>
      <c r="K115" s="16">
        <f t="shared" si="16"/>
        <v>0.67444964587541545</v>
      </c>
    </row>
    <row r="116" spans="1:11" x14ac:dyDescent="0.15">
      <c r="A116" s="7">
        <v>39235.479305555556</v>
      </c>
      <c r="B116">
        <v>95.9</v>
      </c>
      <c r="C116" s="6">
        <f t="shared" si="11"/>
        <v>192.00000024866313</v>
      </c>
      <c r="D116" t="str">
        <f t="shared" si="12"/>
        <v/>
      </c>
      <c r="E116">
        <f t="shared" si="14"/>
        <v>39235.479305555556</v>
      </c>
      <c r="F116" s="4">
        <f t="shared" ref="F116:F147" si="20">IF((B116-$B$6)&gt;0,B116-$B$6,0)</f>
        <v>56.000000000000007</v>
      </c>
      <c r="G116" s="4">
        <f t="shared" si="15"/>
        <v>28.000000000000004</v>
      </c>
      <c r="H116" s="5">
        <f t="shared" si="19"/>
        <v>59.19999523088336</v>
      </c>
      <c r="I116" s="14">
        <f t="shared" si="17"/>
        <v>10302.789949783717</v>
      </c>
      <c r="J116" s="19">
        <f t="shared" si="18"/>
        <v>687450.23440870084</v>
      </c>
      <c r="K116" s="16">
        <f t="shared" si="16"/>
        <v>0.68471138885328764</v>
      </c>
    </row>
    <row r="117" spans="1:11" x14ac:dyDescent="0.15">
      <c r="A117" s="7">
        <v>39235.479328703703</v>
      </c>
      <c r="B117">
        <v>98.4</v>
      </c>
      <c r="C117" s="6">
        <f t="shared" si="11"/>
        <v>194.00000008754432</v>
      </c>
      <c r="D117" t="str">
        <f t="shared" si="12"/>
        <v/>
      </c>
      <c r="E117">
        <f t="shared" si="14"/>
        <v>39235.479328703703</v>
      </c>
      <c r="F117" s="4">
        <f t="shared" si="20"/>
        <v>58.500000000000007</v>
      </c>
      <c r="G117" s="4">
        <f t="shared" si="15"/>
        <v>29.250000000000004</v>
      </c>
      <c r="H117" s="5">
        <f t="shared" si="19"/>
        <v>57.249995387974202</v>
      </c>
      <c r="I117" s="14">
        <f t="shared" si="17"/>
        <v>9963.4244024513155</v>
      </c>
      <c r="J117" s="19">
        <f t="shared" si="18"/>
        <v>697413.6588111521</v>
      </c>
      <c r="K117" s="16">
        <f t="shared" si="16"/>
        <v>0.69463511833780089</v>
      </c>
    </row>
    <row r="118" spans="1:11" x14ac:dyDescent="0.15">
      <c r="A118" s="7">
        <v>39235.479351851849</v>
      </c>
      <c r="B118">
        <v>91.1</v>
      </c>
      <c r="C118" s="6">
        <f t="shared" si="11"/>
        <v>195.99999992642552</v>
      </c>
      <c r="D118" t="str">
        <f t="shared" si="12"/>
        <v/>
      </c>
      <c r="E118">
        <f t="shared" si="14"/>
        <v>39235.479351851849</v>
      </c>
      <c r="F118" s="4">
        <f t="shared" si="20"/>
        <v>51.199999999999996</v>
      </c>
      <c r="G118" s="4">
        <f t="shared" si="15"/>
        <v>25.599999999999998</v>
      </c>
      <c r="H118" s="5">
        <f t="shared" si="19"/>
        <v>54.849995581316762</v>
      </c>
      <c r="I118" s="14">
        <f t="shared" si="17"/>
        <v>9545.7437288114324</v>
      </c>
      <c r="J118" s="19">
        <f t="shared" si="18"/>
        <v>706959.40253996348</v>
      </c>
      <c r="K118" s="16">
        <f t="shared" si="16"/>
        <v>0.70414283121510313</v>
      </c>
    </row>
    <row r="119" spans="1:11" x14ac:dyDescent="0.15">
      <c r="A119" s="7">
        <v>39235.479375000003</v>
      </c>
      <c r="B119">
        <v>88.7</v>
      </c>
      <c r="C119" s="6">
        <f t="shared" si="11"/>
        <v>198.00000039394945</v>
      </c>
      <c r="D119" t="str">
        <f t="shared" si="12"/>
        <v/>
      </c>
      <c r="E119">
        <f t="shared" si="14"/>
        <v>39235.479375000003</v>
      </c>
      <c r="F119" s="4">
        <f t="shared" si="20"/>
        <v>48.800000000000004</v>
      </c>
      <c r="G119" s="4">
        <f t="shared" si="15"/>
        <v>24.400000000000002</v>
      </c>
      <c r="H119" s="5">
        <f t="shared" si="19"/>
        <v>50.000011688098311</v>
      </c>
      <c r="I119" s="14">
        <f t="shared" si="17"/>
        <v>8701.6834359552522</v>
      </c>
      <c r="J119" s="19">
        <f t="shared" si="18"/>
        <v>715661.08597591869</v>
      </c>
      <c r="K119" s="16">
        <f t="shared" si="16"/>
        <v>0.71280984658956048</v>
      </c>
    </row>
    <row r="120" spans="1:11" x14ac:dyDescent="0.15">
      <c r="A120" s="7">
        <v>39235.479398148149</v>
      </c>
      <c r="B120">
        <v>87.7</v>
      </c>
      <c r="C120" s="6">
        <f t="shared" si="11"/>
        <v>200.00000023283064</v>
      </c>
      <c r="D120" t="str">
        <f t="shared" si="12"/>
        <v/>
      </c>
      <c r="E120">
        <f t="shared" si="14"/>
        <v>39235.479398148149</v>
      </c>
      <c r="F120" s="4">
        <f t="shared" si="20"/>
        <v>47.800000000000004</v>
      </c>
      <c r="G120" s="4">
        <f t="shared" si="15"/>
        <v>23.900000000000002</v>
      </c>
      <c r="H120" s="5">
        <f t="shared" si="19"/>
        <v>48.299996108980856</v>
      </c>
      <c r="I120" s="14">
        <f t="shared" si="17"/>
        <v>8405.8235570025936</v>
      </c>
      <c r="J120" s="19">
        <f t="shared" si="18"/>
        <v>724066.90953292127</v>
      </c>
      <c r="K120" s="16">
        <f t="shared" si="16"/>
        <v>0.72118218080968255</v>
      </c>
    </row>
    <row r="121" spans="1:11" x14ac:dyDescent="0.15">
      <c r="A121" s="7">
        <v>39235.479421296295</v>
      </c>
      <c r="B121">
        <v>86.7</v>
      </c>
      <c r="C121" s="6">
        <f t="shared" si="11"/>
        <v>202.00000007171184</v>
      </c>
      <c r="D121" t="str">
        <f t="shared" si="12"/>
        <v/>
      </c>
      <c r="E121">
        <f t="shared" si="14"/>
        <v>39235.479421296295</v>
      </c>
      <c r="F121" s="4">
        <f t="shared" si="20"/>
        <v>46.800000000000004</v>
      </c>
      <c r="G121" s="4">
        <f t="shared" si="15"/>
        <v>23.400000000000002</v>
      </c>
      <c r="H121" s="5">
        <f t="shared" si="19"/>
        <v>47.299996189540259</v>
      </c>
      <c r="I121" s="14">
        <f t="shared" si="17"/>
        <v>8231.7899429859772</v>
      </c>
      <c r="J121" s="19">
        <f t="shared" si="18"/>
        <v>732298.69947590725</v>
      </c>
      <c r="K121" s="16">
        <f t="shared" si="16"/>
        <v>0.72938117477680009</v>
      </c>
    </row>
    <row r="122" spans="1:11" x14ac:dyDescent="0.15">
      <c r="A122" s="7">
        <v>39235.479444444441</v>
      </c>
      <c r="B122">
        <v>87.5</v>
      </c>
      <c r="C122" s="6">
        <f t="shared" si="11"/>
        <v>203.99999991059303</v>
      </c>
      <c r="D122" t="str">
        <f t="shared" si="12"/>
        <v/>
      </c>
      <c r="E122">
        <f t="shared" si="14"/>
        <v>39235.479444444441</v>
      </c>
      <c r="F122" s="4">
        <f t="shared" si="20"/>
        <v>47.6</v>
      </c>
      <c r="G122" s="4">
        <f t="shared" si="15"/>
        <v>23.8</v>
      </c>
      <c r="H122" s="5">
        <f t="shared" si="19"/>
        <v>47.199996197596192</v>
      </c>
      <c r="I122" s="14">
        <f t="shared" si="17"/>
        <v>8214.3865815843146</v>
      </c>
      <c r="J122" s="19">
        <f t="shared" si="18"/>
        <v>740513.0860574916</v>
      </c>
      <c r="K122" s="16">
        <f t="shared" si="16"/>
        <v>0.73756283471861717</v>
      </c>
    </row>
    <row r="123" spans="1:11" x14ac:dyDescent="0.15">
      <c r="A123" s="7">
        <v>39235.479467592595</v>
      </c>
      <c r="B123">
        <v>83.4</v>
      </c>
      <c r="C123" s="6">
        <f t="shared" si="11"/>
        <v>206.00000037811697</v>
      </c>
      <c r="D123" t="str">
        <f t="shared" si="12"/>
        <v/>
      </c>
      <c r="E123">
        <f t="shared" si="14"/>
        <v>39235.479467592595</v>
      </c>
      <c r="F123" s="4">
        <f t="shared" si="20"/>
        <v>43.500000000000007</v>
      </c>
      <c r="G123" s="4">
        <f t="shared" si="15"/>
        <v>21.750000000000004</v>
      </c>
      <c r="H123" s="5">
        <f t="shared" si="19"/>
        <v>45.550010647857569</v>
      </c>
      <c r="I123" s="14">
        <f t="shared" si="17"/>
        <v>7927.2336101552355</v>
      </c>
      <c r="J123" s="19">
        <f t="shared" si="18"/>
        <v>748440.31966764689</v>
      </c>
      <c r="K123" s="16">
        <f t="shared" si="16"/>
        <v>0.74545848572474793</v>
      </c>
    </row>
    <row r="124" spans="1:11" x14ac:dyDescent="0.15">
      <c r="A124" s="7">
        <v>39235.479490740741</v>
      </c>
      <c r="B124">
        <v>82.4</v>
      </c>
      <c r="C124" s="6">
        <f t="shared" si="11"/>
        <v>208.00000021699816</v>
      </c>
      <c r="D124" t="str">
        <f t="shared" si="12"/>
        <v/>
      </c>
      <c r="E124">
        <f t="shared" si="14"/>
        <v>39235.479490740741</v>
      </c>
      <c r="F124" s="4">
        <f t="shared" si="20"/>
        <v>42.500000000000007</v>
      </c>
      <c r="G124" s="4">
        <f t="shared" si="15"/>
        <v>21.250000000000004</v>
      </c>
      <c r="H124" s="5">
        <f t="shared" si="19"/>
        <v>42.999996535945691</v>
      </c>
      <c r="I124" s="14">
        <f t="shared" si="17"/>
        <v>7483.4454027145248</v>
      </c>
      <c r="J124" s="19">
        <f t="shared" si="18"/>
        <v>755923.76507036143</v>
      </c>
      <c r="K124" s="16">
        <f t="shared" si="16"/>
        <v>0.75291211660394564</v>
      </c>
    </row>
    <row r="125" spans="1:11" x14ac:dyDescent="0.15">
      <c r="A125" s="7">
        <v>39235.479513888888</v>
      </c>
      <c r="B125">
        <v>80.8</v>
      </c>
      <c r="C125" s="6">
        <f t="shared" si="11"/>
        <v>210.00000005587935</v>
      </c>
      <c r="D125" t="str">
        <f t="shared" si="12"/>
        <v/>
      </c>
      <c r="E125">
        <f t="shared" si="14"/>
        <v>39235.479513888888</v>
      </c>
      <c r="F125" s="4">
        <f t="shared" si="20"/>
        <v>40.9</v>
      </c>
      <c r="G125" s="4">
        <f t="shared" si="15"/>
        <v>20.45</v>
      </c>
      <c r="H125" s="5">
        <f t="shared" si="19"/>
        <v>41.699996640672907</v>
      </c>
      <c r="I125" s="14">
        <f t="shared" si="17"/>
        <v>7257.2017044929216</v>
      </c>
      <c r="J125" s="19">
        <f t="shared" si="18"/>
        <v>763180.96677485434</v>
      </c>
      <c r="K125" s="16">
        <f t="shared" si="16"/>
        <v>0.76014040515423742</v>
      </c>
    </row>
    <row r="126" spans="1:11" x14ac:dyDescent="0.15">
      <c r="A126" s="7">
        <v>39235.479537037034</v>
      </c>
      <c r="B126">
        <v>78.400000000000006</v>
      </c>
      <c r="C126" s="6">
        <f t="shared" si="11"/>
        <v>211.99999989476055</v>
      </c>
      <c r="D126" t="str">
        <f t="shared" si="12"/>
        <v/>
      </c>
      <c r="E126">
        <f t="shared" si="14"/>
        <v>39235.479537037034</v>
      </c>
      <c r="F126" s="4">
        <f t="shared" si="20"/>
        <v>38.500000000000007</v>
      </c>
      <c r="G126" s="4">
        <f t="shared" si="15"/>
        <v>19.250000000000004</v>
      </c>
      <c r="H126" s="5">
        <f t="shared" si="19"/>
        <v>39.699996801791713</v>
      </c>
      <c r="I126" s="14">
        <f t="shared" si="17"/>
        <v>6909.1344764596879</v>
      </c>
      <c r="J126" s="19">
        <f t="shared" si="18"/>
        <v>770090.10125131404</v>
      </c>
      <c r="K126" s="16">
        <f t="shared" si="16"/>
        <v>0.76702201319851993</v>
      </c>
    </row>
    <row r="127" spans="1:11" x14ac:dyDescent="0.15">
      <c r="A127" s="7">
        <v>39235.479560185187</v>
      </c>
      <c r="B127">
        <v>75.7</v>
      </c>
      <c r="C127" s="6">
        <f t="shared" si="11"/>
        <v>214.00000036228448</v>
      </c>
      <c r="D127" t="str">
        <f t="shared" si="12"/>
        <v/>
      </c>
      <c r="E127">
        <f t="shared" si="14"/>
        <v>39235.479560185187</v>
      </c>
      <c r="F127" s="4">
        <f t="shared" si="20"/>
        <v>35.800000000000004</v>
      </c>
      <c r="G127" s="4">
        <f t="shared" si="15"/>
        <v>17.900000000000002</v>
      </c>
      <c r="H127" s="5">
        <f t="shared" si="19"/>
        <v>37.150008684257052</v>
      </c>
      <c r="I127" s="14">
        <f t="shared" si="17"/>
        <v>6465.3507929147536</v>
      </c>
      <c r="J127" s="19">
        <f t="shared" si="18"/>
        <v>776555.45204422879</v>
      </c>
      <c r="K127" s="16">
        <f t="shared" si="16"/>
        <v>0.77346160562174182</v>
      </c>
    </row>
    <row r="128" spans="1:11" x14ac:dyDescent="0.15">
      <c r="A128" s="7">
        <v>39235.479583333334</v>
      </c>
      <c r="B128">
        <v>75</v>
      </c>
      <c r="C128" s="6">
        <f t="shared" si="11"/>
        <v>216.00000020116568</v>
      </c>
      <c r="D128" t="str">
        <f t="shared" si="12"/>
        <v/>
      </c>
      <c r="E128">
        <f t="shared" si="14"/>
        <v>39235.479583333334</v>
      </c>
      <c r="F128" s="4">
        <f t="shared" si="20"/>
        <v>35.1</v>
      </c>
      <c r="G128" s="4">
        <f t="shared" si="15"/>
        <v>17.55</v>
      </c>
      <c r="H128" s="5">
        <f t="shared" si="19"/>
        <v>35.449997144169174</v>
      </c>
      <c r="I128" s="14">
        <f t="shared" si="17"/>
        <v>6169.4916168890668</v>
      </c>
      <c r="J128" s="19">
        <f t="shared" si="18"/>
        <v>782724.94366111781</v>
      </c>
      <c r="K128" s="16">
        <f t="shared" si="16"/>
        <v>0.77960651759075483</v>
      </c>
    </row>
    <row r="129" spans="1:11" x14ac:dyDescent="0.15">
      <c r="A129" s="7">
        <v>39235.47960648148</v>
      </c>
      <c r="B129">
        <v>75</v>
      </c>
      <c r="C129" s="6">
        <f t="shared" si="11"/>
        <v>218.00000004004687</v>
      </c>
      <c r="D129" t="str">
        <f t="shared" si="12"/>
        <v/>
      </c>
      <c r="E129">
        <f t="shared" si="14"/>
        <v>39235.47960648148</v>
      </c>
      <c r="F129" s="4">
        <f t="shared" si="20"/>
        <v>35.1</v>
      </c>
      <c r="G129" s="4">
        <f t="shared" si="15"/>
        <v>17.55</v>
      </c>
      <c r="H129" s="5">
        <f t="shared" si="19"/>
        <v>35.099997172364965</v>
      </c>
      <c r="I129" s="14">
        <f t="shared" si="17"/>
        <v>6108.5798519832506</v>
      </c>
      <c r="J129" s="19">
        <f t="shared" si="18"/>
        <v>788833.52351310104</v>
      </c>
      <c r="K129" s="16">
        <f t="shared" si="16"/>
        <v>0.78569076047121622</v>
      </c>
    </row>
    <row r="130" spans="1:11" x14ac:dyDescent="0.15">
      <c r="A130" s="7">
        <v>39235.479629629626</v>
      </c>
      <c r="B130">
        <v>72.599999999999994</v>
      </c>
      <c r="C130" s="6">
        <f t="shared" si="11"/>
        <v>219.99999987892807</v>
      </c>
      <c r="D130" t="str">
        <f t="shared" si="12"/>
        <v/>
      </c>
      <c r="E130">
        <f t="shared" si="14"/>
        <v>39235.479629629626</v>
      </c>
      <c r="F130" s="4">
        <f t="shared" si="20"/>
        <v>32.699999999999996</v>
      </c>
      <c r="G130" s="4">
        <f t="shared" si="15"/>
        <v>16.349999999999998</v>
      </c>
      <c r="H130" s="5">
        <f t="shared" si="19"/>
        <v>33.899997269036248</v>
      </c>
      <c r="I130" s="14">
        <f t="shared" si="17"/>
        <v>5899.73951516331</v>
      </c>
      <c r="J130" s="19">
        <f t="shared" si="18"/>
        <v>794733.26302826439</v>
      </c>
      <c r="K130" s="16">
        <f t="shared" si="16"/>
        <v>0.79156699504807215</v>
      </c>
    </row>
    <row r="131" spans="1:11" x14ac:dyDescent="0.15">
      <c r="A131" s="7">
        <v>39235.47965277778</v>
      </c>
      <c r="B131">
        <v>73.900000000000006</v>
      </c>
      <c r="C131" s="6">
        <f t="shared" si="11"/>
        <v>222.000000346452</v>
      </c>
      <c r="D131" t="str">
        <f t="shared" si="12"/>
        <v/>
      </c>
      <c r="E131">
        <f t="shared" si="14"/>
        <v>39235.47965277778</v>
      </c>
      <c r="F131" s="4">
        <f t="shared" si="20"/>
        <v>34.000000000000007</v>
      </c>
      <c r="G131" s="4">
        <f t="shared" si="15"/>
        <v>17.000000000000004</v>
      </c>
      <c r="H131" s="5">
        <f t="shared" si="19"/>
        <v>33.350007795961574</v>
      </c>
      <c r="I131" s="14">
        <f t="shared" si="17"/>
        <v>5804.0228517821524</v>
      </c>
      <c r="J131" s="19">
        <f t="shared" si="18"/>
        <v>800537.28588004655</v>
      </c>
      <c r="K131" s="16">
        <f t="shared" si="16"/>
        <v>0.79734789430283526</v>
      </c>
    </row>
    <row r="132" spans="1:11" x14ac:dyDescent="0.15">
      <c r="A132" s="7">
        <v>39235.479675925926</v>
      </c>
      <c r="B132">
        <v>71.3</v>
      </c>
      <c r="C132" s="6">
        <f t="shared" si="11"/>
        <v>224.00000018533319</v>
      </c>
      <c r="D132" t="str">
        <f t="shared" si="12"/>
        <v/>
      </c>
      <c r="E132">
        <f t="shared" si="14"/>
        <v>39235.479675925926</v>
      </c>
      <c r="F132" s="4">
        <f t="shared" si="20"/>
        <v>31.4</v>
      </c>
      <c r="G132" s="4">
        <f t="shared" si="15"/>
        <v>15.7</v>
      </c>
      <c r="H132" s="5">
        <f t="shared" si="19"/>
        <v>32.699997365707532</v>
      </c>
      <c r="I132" s="14">
        <f t="shared" si="17"/>
        <v>5690.8991783433703</v>
      </c>
      <c r="J132" s="19">
        <f t="shared" si="18"/>
        <v>806228.18505838991</v>
      </c>
      <c r="K132" s="16">
        <f t="shared" si="16"/>
        <v>0.80301612057608551</v>
      </c>
    </row>
    <row r="133" spans="1:11" x14ac:dyDescent="0.15">
      <c r="A133" s="7">
        <v>39235.479699074072</v>
      </c>
      <c r="B133">
        <v>70.2</v>
      </c>
      <c r="C133" s="6">
        <f t="shared" si="11"/>
        <v>226.00000002421439</v>
      </c>
      <c r="D133" t="str">
        <f t="shared" si="12"/>
        <v/>
      </c>
      <c r="E133">
        <f t="shared" si="14"/>
        <v>39235.479699074072</v>
      </c>
      <c r="F133" s="4">
        <f t="shared" si="20"/>
        <v>30.300000000000004</v>
      </c>
      <c r="G133" s="4">
        <f t="shared" si="15"/>
        <v>15.150000000000002</v>
      </c>
      <c r="H133" s="5">
        <f t="shared" si="19"/>
        <v>30.849997514742427</v>
      </c>
      <c r="I133" s="14">
        <f t="shared" si="17"/>
        <v>5368.9369924126295</v>
      </c>
      <c r="J133" s="19">
        <f t="shared" si="18"/>
        <v>811597.12205080257</v>
      </c>
      <c r="K133" s="16">
        <f t="shared" si="16"/>
        <v>0.80836366738127752</v>
      </c>
    </row>
    <row r="134" spans="1:11" x14ac:dyDescent="0.15">
      <c r="A134" s="7">
        <v>39235.479722222219</v>
      </c>
      <c r="B134">
        <v>71.099999999999994</v>
      </c>
      <c r="C134" s="6">
        <f t="shared" si="11"/>
        <v>227.99999986309558</v>
      </c>
      <c r="D134" t="str">
        <f t="shared" si="12"/>
        <v/>
      </c>
      <c r="E134">
        <f t="shared" si="14"/>
        <v>39235.479722222219</v>
      </c>
      <c r="F134" s="4">
        <f t="shared" si="20"/>
        <v>31.199999999999996</v>
      </c>
      <c r="G134" s="4">
        <f t="shared" si="15"/>
        <v>15.599999999999998</v>
      </c>
      <c r="H134" s="5">
        <f t="shared" si="19"/>
        <v>30.749997522798367</v>
      </c>
      <c r="I134" s="14">
        <f t="shared" si="17"/>
        <v>5351.5336310109678</v>
      </c>
      <c r="J134" s="19">
        <f t="shared" si="18"/>
        <v>816948.65568181348</v>
      </c>
      <c r="K134" s="16">
        <f t="shared" si="16"/>
        <v>0.81369388016116884</v>
      </c>
    </row>
    <row r="135" spans="1:11" x14ac:dyDescent="0.15">
      <c r="A135" s="7">
        <v>39235.479745370372</v>
      </c>
      <c r="B135">
        <v>66.400000000000006</v>
      </c>
      <c r="C135" s="6">
        <f t="shared" si="11"/>
        <v>230.00000033061951</v>
      </c>
      <c r="D135" t="str">
        <f t="shared" si="12"/>
        <v/>
      </c>
      <c r="E135">
        <f t="shared" si="14"/>
        <v>39235.479745370372</v>
      </c>
      <c r="F135" s="4">
        <f t="shared" si="20"/>
        <v>26.500000000000007</v>
      </c>
      <c r="G135" s="4">
        <f t="shared" si="15"/>
        <v>13.250000000000004</v>
      </c>
      <c r="H135" s="5">
        <f t="shared" si="19"/>
        <v>28.850006744032726</v>
      </c>
      <c r="I135" s="14">
        <f t="shared" si="17"/>
        <v>5020.8713425461801</v>
      </c>
      <c r="J135" s="19">
        <f t="shared" si="18"/>
        <v>821969.52702435968</v>
      </c>
      <c r="K135" s="16">
        <f t="shared" si="16"/>
        <v>0.81869474803223075</v>
      </c>
    </row>
    <row r="136" spans="1:11" x14ac:dyDescent="0.15">
      <c r="A136" s="7">
        <v>39235.479768518519</v>
      </c>
      <c r="B136">
        <v>67.900000000000006</v>
      </c>
      <c r="C136" s="6">
        <f t="shared" si="11"/>
        <v>232.00000016950071</v>
      </c>
      <c r="D136" t="str">
        <f t="shared" si="12"/>
        <v/>
      </c>
      <c r="E136">
        <f t="shared" si="14"/>
        <v>39235.479768518519</v>
      </c>
      <c r="F136" s="4">
        <f t="shared" si="20"/>
        <v>28.000000000000007</v>
      </c>
      <c r="G136" s="4">
        <f t="shared" si="15"/>
        <v>14.000000000000004</v>
      </c>
      <c r="H136" s="5">
        <f t="shared" si="19"/>
        <v>27.249997804756283</v>
      </c>
      <c r="I136" s="14">
        <f t="shared" si="17"/>
        <v>4742.4159819528095</v>
      </c>
      <c r="J136" s="19">
        <f t="shared" si="18"/>
        <v>826711.94300631247</v>
      </c>
      <c r="K136" s="16">
        <f t="shared" si="16"/>
        <v>0.82341826992660605</v>
      </c>
    </row>
    <row r="137" spans="1:11" x14ac:dyDescent="0.15">
      <c r="A137" s="7">
        <v>39235.479791666665</v>
      </c>
      <c r="B137">
        <v>65.400000000000006</v>
      </c>
      <c r="C137" s="6">
        <f t="shared" si="11"/>
        <v>234.0000000083819</v>
      </c>
      <c r="D137" t="str">
        <f t="shared" si="12"/>
        <v/>
      </c>
      <c r="E137">
        <f t="shared" si="14"/>
        <v>39235.479791666665</v>
      </c>
      <c r="F137" s="4">
        <f t="shared" si="20"/>
        <v>25.500000000000007</v>
      </c>
      <c r="G137" s="4">
        <f t="shared" si="15"/>
        <v>12.750000000000004</v>
      </c>
      <c r="H137" s="5">
        <f t="shared" si="19"/>
        <v>26.749997845035985</v>
      </c>
      <c r="I137" s="14">
        <f t="shared" si="17"/>
        <v>4655.3991749445013</v>
      </c>
      <c r="J137" s="19">
        <f t="shared" si="18"/>
        <v>831367.34218125697</v>
      </c>
      <c r="K137" s="16">
        <f t="shared" si="16"/>
        <v>0.82805512169447903</v>
      </c>
    </row>
    <row r="138" spans="1:11" x14ac:dyDescent="0.15">
      <c r="A138" s="7">
        <v>39235.479814814818</v>
      </c>
      <c r="B138">
        <v>67.900000000000006</v>
      </c>
      <c r="C138" s="6">
        <f t="shared" si="11"/>
        <v>236.00000047590584</v>
      </c>
      <c r="D138" t="str">
        <f t="shared" si="12"/>
        <v/>
      </c>
      <c r="E138">
        <f t="shared" si="14"/>
        <v>39235.479814814818</v>
      </c>
      <c r="F138" s="4">
        <f t="shared" si="20"/>
        <v>28.000000000000007</v>
      </c>
      <c r="G138" s="4">
        <f t="shared" si="15"/>
        <v>14.000000000000004</v>
      </c>
      <c r="H138" s="5">
        <f t="shared" si="19"/>
        <v>26.750006253132604</v>
      </c>
      <c r="I138" s="14">
        <f t="shared" si="17"/>
        <v>4655.4006382360612</v>
      </c>
      <c r="J138" s="19">
        <f t="shared" si="18"/>
        <v>836022.74281949305</v>
      </c>
      <c r="K138" s="16">
        <f t="shared" si="16"/>
        <v>0.83269197491981384</v>
      </c>
    </row>
    <row r="139" spans="1:11" x14ac:dyDescent="0.15">
      <c r="A139" s="7">
        <v>39235.479837962965</v>
      </c>
      <c r="B139">
        <v>63.3</v>
      </c>
      <c r="C139" s="6">
        <f t="shared" si="11"/>
        <v>238.00000031478703</v>
      </c>
      <c r="D139" t="str">
        <f t="shared" si="12"/>
        <v/>
      </c>
      <c r="E139">
        <f t="shared" si="14"/>
        <v>39235.479837962965</v>
      </c>
      <c r="F139" s="4">
        <f t="shared" si="20"/>
        <v>23.4</v>
      </c>
      <c r="G139" s="4">
        <f t="shared" si="15"/>
        <v>11.7</v>
      </c>
      <c r="H139" s="5">
        <f t="shared" si="19"/>
        <v>25.699997929623354</v>
      </c>
      <c r="I139" s="14">
        <f t="shared" si="17"/>
        <v>4472.6638802270527</v>
      </c>
      <c r="J139" s="19">
        <f t="shared" si="18"/>
        <v>840495.40669972007</v>
      </c>
      <c r="K139" s="16">
        <f t="shared" si="16"/>
        <v>0.83714681942203195</v>
      </c>
    </row>
    <row r="140" spans="1:11" x14ac:dyDescent="0.15">
      <c r="A140" s="7">
        <v>39235.479861111111</v>
      </c>
      <c r="B140">
        <v>61.6</v>
      </c>
      <c r="C140" s="6">
        <f t="shared" si="11"/>
        <v>240.00000015366822</v>
      </c>
      <c r="D140" t="str">
        <f t="shared" si="12"/>
        <v/>
      </c>
      <c r="E140">
        <f t="shared" si="14"/>
        <v>39235.479861111111</v>
      </c>
      <c r="F140" s="4">
        <f t="shared" si="20"/>
        <v>21.700000000000003</v>
      </c>
      <c r="G140" s="4">
        <f t="shared" si="15"/>
        <v>10.850000000000001</v>
      </c>
      <c r="H140" s="5">
        <f t="shared" si="19"/>
        <v>22.549998183385469</v>
      </c>
      <c r="I140" s="14">
        <f t="shared" si="17"/>
        <v>3924.4579960747096</v>
      </c>
      <c r="J140" s="19">
        <f t="shared" si="18"/>
        <v>844419.86469579476</v>
      </c>
      <c r="K140" s="16">
        <f t="shared" si="16"/>
        <v>0.84105564212728567</v>
      </c>
    </row>
    <row r="141" spans="1:11" x14ac:dyDescent="0.15">
      <c r="A141" s="7">
        <v>39235.479884259257</v>
      </c>
      <c r="B141">
        <v>62.3</v>
      </c>
      <c r="C141" s="6">
        <f t="shared" si="11"/>
        <v>241.99999999254942</v>
      </c>
      <c r="D141" t="str">
        <f t="shared" si="12"/>
        <v/>
      </c>
      <c r="E141">
        <f t="shared" si="14"/>
        <v>39235.479884259257</v>
      </c>
      <c r="F141" s="4">
        <f t="shared" si="20"/>
        <v>22.4</v>
      </c>
      <c r="G141" s="4">
        <f t="shared" si="15"/>
        <v>11.2</v>
      </c>
      <c r="H141" s="5">
        <f t="shared" si="19"/>
        <v>22.04999822366517</v>
      </c>
      <c r="I141" s="14">
        <f t="shared" si="17"/>
        <v>3837.441189066401</v>
      </c>
      <c r="J141" s="19">
        <f t="shared" si="18"/>
        <v>848257.30588486115</v>
      </c>
      <c r="K141" s="16">
        <f t="shared" si="16"/>
        <v>0.84487779470603697</v>
      </c>
    </row>
    <row r="142" spans="1:11" x14ac:dyDescent="0.15">
      <c r="A142" s="7">
        <v>39235.479907407411</v>
      </c>
      <c r="B142">
        <v>61.6</v>
      </c>
      <c r="C142" s="6">
        <f t="shared" si="11"/>
        <v>244.00000046007335</v>
      </c>
      <c r="D142" t="str">
        <f t="shared" si="12"/>
        <v/>
      </c>
      <c r="E142">
        <f t="shared" si="14"/>
        <v>39235.479907407411</v>
      </c>
      <c r="F142" s="4">
        <f t="shared" si="20"/>
        <v>21.700000000000003</v>
      </c>
      <c r="G142" s="4">
        <f t="shared" si="15"/>
        <v>10.850000000000001</v>
      </c>
      <c r="H142" s="5">
        <f t="shared" si="19"/>
        <v>22.050005154451355</v>
      </c>
      <c r="I142" s="14">
        <f t="shared" si="17"/>
        <v>3837.4423952562661</v>
      </c>
      <c r="J142" s="19">
        <f t="shared" si="18"/>
        <v>852094.7482801174</v>
      </c>
      <c r="K142" s="16">
        <f t="shared" si="16"/>
        <v>0.8486999484861727</v>
      </c>
    </row>
    <row r="143" spans="1:11" x14ac:dyDescent="0.15">
      <c r="A143" s="7">
        <v>39235.479930555557</v>
      </c>
      <c r="B143">
        <v>62.7</v>
      </c>
      <c r="C143" s="6">
        <f t="shared" si="11"/>
        <v>246.00000029895455</v>
      </c>
      <c r="D143" t="str">
        <f t="shared" si="12"/>
        <v/>
      </c>
      <c r="E143">
        <f t="shared" si="14"/>
        <v>39235.479930555557</v>
      </c>
      <c r="F143" s="4">
        <f t="shared" si="20"/>
        <v>22.800000000000004</v>
      </c>
      <c r="G143" s="4">
        <f t="shared" si="15"/>
        <v>11.400000000000002</v>
      </c>
      <c r="H143" s="5">
        <f t="shared" si="19"/>
        <v>22.249998207553293</v>
      </c>
      <c r="I143" s="14">
        <f t="shared" si="17"/>
        <v>3872.2479118697252</v>
      </c>
      <c r="J143" s="19">
        <f t="shared" si="18"/>
        <v>855966.99619198719</v>
      </c>
      <c r="K143" s="16">
        <f t="shared" si="16"/>
        <v>0.85255676911552514</v>
      </c>
    </row>
    <row r="144" spans="1:11" x14ac:dyDescent="0.15">
      <c r="A144" s="7">
        <v>39235.479953703703</v>
      </c>
      <c r="B144">
        <v>60.3</v>
      </c>
      <c r="C144" s="6">
        <f t="shared" si="11"/>
        <v>248.00000013783574</v>
      </c>
      <c r="D144" t="str">
        <f t="shared" si="12"/>
        <v/>
      </c>
      <c r="E144">
        <f t="shared" si="14"/>
        <v>39235.479953703703</v>
      </c>
      <c r="F144" s="4">
        <f t="shared" si="20"/>
        <v>20.399999999999999</v>
      </c>
      <c r="G144" s="4">
        <f t="shared" si="15"/>
        <v>10.199999999999999</v>
      </c>
      <c r="H144" s="5">
        <f t="shared" si="19"/>
        <v>21.599998259916902</v>
      </c>
      <c r="I144" s="14">
        <f t="shared" si="17"/>
        <v>3759.1260627589236</v>
      </c>
      <c r="J144" s="19">
        <f t="shared" si="18"/>
        <v>859726.12225474615</v>
      </c>
      <c r="K144" s="16">
        <f t="shared" si="16"/>
        <v>0.85630091858042445</v>
      </c>
    </row>
    <row r="145" spans="1:11" x14ac:dyDescent="0.15">
      <c r="A145" s="7">
        <v>39235.47997685185</v>
      </c>
      <c r="B145">
        <v>60.3</v>
      </c>
      <c r="C145" s="6">
        <f t="shared" si="11"/>
        <v>249.99999997671694</v>
      </c>
      <c r="D145" t="str">
        <f t="shared" si="12"/>
        <v/>
      </c>
      <c r="E145">
        <f t="shared" si="14"/>
        <v>39235.47997685185</v>
      </c>
      <c r="F145" s="4">
        <f t="shared" si="20"/>
        <v>20.399999999999999</v>
      </c>
      <c r="G145" s="4">
        <f t="shared" si="15"/>
        <v>10.199999999999999</v>
      </c>
      <c r="H145" s="5">
        <f t="shared" si="19"/>
        <v>20.399998356588185</v>
      </c>
      <c r="I145" s="14">
        <f t="shared" si="17"/>
        <v>3550.2857259389834</v>
      </c>
      <c r="J145" s="19">
        <f t="shared" si="18"/>
        <v>863276.40798068512</v>
      </c>
      <c r="K145" s="16">
        <f t="shared" si="16"/>
        <v>0.8598370597417182</v>
      </c>
    </row>
    <row r="146" spans="1:11" x14ac:dyDescent="0.15">
      <c r="A146" s="7">
        <v>39235.480000000003</v>
      </c>
      <c r="B146">
        <v>58.4</v>
      </c>
      <c r="C146" s="6">
        <f t="shared" si="11"/>
        <v>252.00000044424087</v>
      </c>
      <c r="D146" t="str">
        <f t="shared" si="12"/>
        <v/>
      </c>
      <c r="E146">
        <f t="shared" si="14"/>
        <v>39235.480000000003</v>
      </c>
      <c r="F146" s="4">
        <f t="shared" si="20"/>
        <v>18.5</v>
      </c>
      <c r="G146" s="4">
        <f t="shared" si="15"/>
        <v>9.25</v>
      </c>
      <c r="H146" s="5">
        <f t="shared" si="19"/>
        <v>19.450004546670243</v>
      </c>
      <c r="I146" s="14">
        <f t="shared" si="17"/>
        <v>3384.954856586593</v>
      </c>
      <c r="J146" s="19">
        <f t="shared" si="18"/>
        <v>866661.36283727176</v>
      </c>
      <c r="K146" s="16">
        <f t="shared" si="16"/>
        <v>0.86320852872238218</v>
      </c>
    </row>
    <row r="147" spans="1:11" x14ac:dyDescent="0.15">
      <c r="A147" s="7">
        <v>39235.480023148149</v>
      </c>
      <c r="B147">
        <v>57.7</v>
      </c>
      <c r="C147" s="6">
        <f t="shared" si="11"/>
        <v>254.00000028312206</v>
      </c>
      <c r="D147" t="str">
        <f t="shared" si="12"/>
        <v/>
      </c>
      <c r="E147">
        <f t="shared" si="14"/>
        <v>39235.480023148149</v>
      </c>
      <c r="F147" s="4">
        <f t="shared" si="20"/>
        <v>17.800000000000004</v>
      </c>
      <c r="G147" s="4">
        <f t="shared" si="15"/>
        <v>8.9000000000000021</v>
      </c>
      <c r="H147" s="5">
        <f t="shared" si="19"/>
        <v>18.149998537846844</v>
      </c>
      <c r="I147" s="14">
        <f t="shared" si="17"/>
        <v>3158.7100944015961</v>
      </c>
      <c r="J147" s="19">
        <f t="shared" si="18"/>
        <v>869820.07293167338</v>
      </c>
      <c r="K147" s="16">
        <f t="shared" si="16"/>
        <v>0.86635465431441572</v>
      </c>
    </row>
    <row r="148" spans="1:11" x14ac:dyDescent="0.15">
      <c r="A148" s="7">
        <v>39235.480046296296</v>
      </c>
      <c r="B148">
        <v>57.3</v>
      </c>
      <c r="C148" s="6">
        <f t="shared" ref="C148:C169" si="21">(A148-$B$4)*24*60*60</f>
        <v>256.00000012200326</v>
      </c>
      <c r="D148" t="str">
        <f t="shared" ref="D148:D169" si="22">IF(F148=$B$8,A148,"")</f>
        <v/>
      </c>
      <c r="E148">
        <f t="shared" si="14"/>
        <v>39235.480046296296</v>
      </c>
      <c r="F148" s="4">
        <f t="shared" ref="F148:F169" si="23">IF((B148-$B$6)&gt;0,B148-$B$6,0)</f>
        <v>17.399999999999999</v>
      </c>
      <c r="G148" s="4">
        <f t="shared" si="15"/>
        <v>8.6999999999999993</v>
      </c>
      <c r="H148" s="5">
        <f t="shared" si="19"/>
        <v>17.599998582154512</v>
      </c>
      <c r="I148" s="14">
        <f t="shared" si="17"/>
        <v>3062.9916066924561</v>
      </c>
      <c r="J148" s="19">
        <f t="shared" si="18"/>
        <v>872883.06453836581</v>
      </c>
      <c r="K148" s="16">
        <f t="shared" si="16"/>
        <v>0.86940544276729659</v>
      </c>
    </row>
    <row r="149" spans="1:11" x14ac:dyDescent="0.15">
      <c r="A149" s="7">
        <v>39235.480069444442</v>
      </c>
      <c r="B149">
        <v>57.5</v>
      </c>
      <c r="C149" s="6">
        <f t="shared" si="21"/>
        <v>257.99999996088445</v>
      </c>
      <c r="D149" t="str">
        <f t="shared" si="22"/>
        <v/>
      </c>
      <c r="E149">
        <f t="shared" ref="E149:E212" si="24">IF(B149-$B$6&gt;0,A149," ")</f>
        <v>39235.480069444442</v>
      </c>
      <c r="F149" s="4">
        <f t="shared" si="23"/>
        <v>17.600000000000001</v>
      </c>
      <c r="G149" s="4">
        <f t="shared" ref="G149:G169" si="25">F149/2</f>
        <v>8.8000000000000007</v>
      </c>
      <c r="H149" s="5">
        <f t="shared" si="19"/>
        <v>17.499998590210453</v>
      </c>
      <c r="I149" s="14">
        <f t="shared" si="17"/>
        <v>3045.5882452907945</v>
      </c>
      <c r="J149" s="19">
        <f t="shared" si="18"/>
        <v>875928.65278365661</v>
      </c>
      <c r="K149" s="16">
        <f t="shared" ref="K149:K212" si="26">IF(J149=" ","-",J149/($B$12*1000))</f>
        <v>0.87243889719487711</v>
      </c>
    </row>
    <row r="150" spans="1:11" x14ac:dyDescent="0.15">
      <c r="A150" s="7">
        <v>39235.480092592596</v>
      </c>
      <c r="B150">
        <v>57.5</v>
      </c>
      <c r="C150" s="6">
        <f t="shared" si="21"/>
        <v>260.00000042840838</v>
      </c>
      <c r="D150" t="str">
        <f t="shared" si="22"/>
        <v/>
      </c>
      <c r="E150">
        <f t="shared" si="24"/>
        <v>39235.480092592596</v>
      </c>
      <c r="F150" s="4">
        <f t="shared" si="23"/>
        <v>17.600000000000001</v>
      </c>
      <c r="G150" s="4">
        <f t="shared" si="25"/>
        <v>8.8000000000000007</v>
      </c>
      <c r="H150" s="5">
        <f t="shared" si="19"/>
        <v>17.600004114210606</v>
      </c>
      <c r="I150" s="14">
        <f t="shared" ref="I150:I213" si="27">H150*$B$14</f>
        <v>3062.9925694562485</v>
      </c>
      <c r="J150" s="19">
        <f t="shared" ref="J150:J213" si="28">J149+I150</f>
        <v>878991.64535311284</v>
      </c>
      <c r="K150" s="16">
        <f t="shared" si="26"/>
        <v>0.87548968660668613</v>
      </c>
    </row>
    <row r="151" spans="1:11" x14ac:dyDescent="0.15">
      <c r="A151" s="7">
        <v>39235.480115740742</v>
      </c>
      <c r="B151">
        <v>57.2</v>
      </c>
      <c r="C151" s="6">
        <f t="shared" si="21"/>
        <v>262.00000026728958</v>
      </c>
      <c r="D151" t="str">
        <f t="shared" si="22"/>
        <v/>
      </c>
      <c r="E151">
        <f t="shared" si="24"/>
        <v>39235.480115740742</v>
      </c>
      <c r="F151" s="4">
        <f t="shared" si="23"/>
        <v>17.300000000000004</v>
      </c>
      <c r="G151" s="4">
        <f t="shared" si="25"/>
        <v>8.6500000000000021</v>
      </c>
      <c r="H151" s="5">
        <f t="shared" si="19"/>
        <v>17.449998594238426</v>
      </c>
      <c r="I151" s="14">
        <f t="shared" si="27"/>
        <v>3036.8865645899641</v>
      </c>
      <c r="J151" s="19">
        <f t="shared" si="28"/>
        <v>882028.53191770276</v>
      </c>
      <c r="K151" s="16">
        <f t="shared" si="26"/>
        <v>0.87851447402161631</v>
      </c>
    </row>
    <row r="152" spans="1:11" x14ac:dyDescent="0.15">
      <c r="A152" s="7">
        <v>39235.480138888888</v>
      </c>
      <c r="B152">
        <v>55.5</v>
      </c>
      <c r="C152" s="6">
        <f t="shared" si="21"/>
        <v>264.00000010617077</v>
      </c>
      <c r="D152" t="str">
        <f t="shared" si="22"/>
        <v/>
      </c>
      <c r="E152">
        <f t="shared" si="24"/>
        <v>39235.480138888888</v>
      </c>
      <c r="F152" s="4">
        <f t="shared" si="23"/>
        <v>15.600000000000001</v>
      </c>
      <c r="G152" s="4">
        <f t="shared" si="25"/>
        <v>7.8000000000000007</v>
      </c>
      <c r="H152" s="5">
        <f t="shared" si="19"/>
        <v>16.449998674797829</v>
      </c>
      <c r="I152" s="14">
        <f t="shared" si="27"/>
        <v>2862.8529505733472</v>
      </c>
      <c r="J152" s="19">
        <f t="shared" si="28"/>
        <v>884891.38486827607</v>
      </c>
      <c r="K152" s="16">
        <f t="shared" si="26"/>
        <v>0.88136592118354196</v>
      </c>
    </row>
    <row r="153" spans="1:11" x14ac:dyDescent="0.15">
      <c r="A153" s="7">
        <v>39235.480162037034</v>
      </c>
      <c r="B153">
        <v>56.7</v>
      </c>
      <c r="C153" s="6">
        <f t="shared" si="21"/>
        <v>265.99999994505197</v>
      </c>
      <c r="D153" t="str">
        <f t="shared" si="22"/>
        <v/>
      </c>
      <c r="E153">
        <f t="shared" si="24"/>
        <v>39235.480162037034</v>
      </c>
      <c r="F153" s="4">
        <f t="shared" si="23"/>
        <v>16.800000000000004</v>
      </c>
      <c r="G153" s="4">
        <f t="shared" si="25"/>
        <v>8.4000000000000021</v>
      </c>
      <c r="H153" s="5">
        <f t="shared" si="19"/>
        <v>16.19999869493768</v>
      </c>
      <c r="I153" s="14">
        <f t="shared" si="27"/>
        <v>2819.3445470691931</v>
      </c>
      <c r="J153" s="19">
        <f t="shared" si="28"/>
        <v>887710.72941534524</v>
      </c>
      <c r="K153" s="16">
        <f t="shared" si="26"/>
        <v>0.88417403328221633</v>
      </c>
    </row>
    <row r="154" spans="1:11" x14ac:dyDescent="0.15">
      <c r="A154" s="7">
        <v>39235.480185185188</v>
      </c>
      <c r="B154">
        <v>55.6</v>
      </c>
      <c r="C154" s="6">
        <f t="shared" si="21"/>
        <v>268.0000004125759</v>
      </c>
      <c r="D154" t="str">
        <f t="shared" si="22"/>
        <v/>
      </c>
      <c r="E154">
        <f t="shared" si="24"/>
        <v>39235.480185185188</v>
      </c>
      <c r="F154" s="4">
        <f t="shared" si="23"/>
        <v>15.700000000000003</v>
      </c>
      <c r="G154" s="4">
        <f t="shared" si="25"/>
        <v>7.8500000000000014</v>
      </c>
      <c r="H154" s="5">
        <f t="shared" si="19"/>
        <v>16.250003798631955</v>
      </c>
      <c r="I154" s="14">
        <f t="shared" si="27"/>
        <v>2828.0471166854572</v>
      </c>
      <c r="J154" s="19">
        <f t="shared" si="28"/>
        <v>890538.77653203066</v>
      </c>
      <c r="K154" s="16">
        <f t="shared" si="26"/>
        <v>0.88699081327891505</v>
      </c>
    </row>
    <row r="155" spans="1:11" x14ac:dyDescent="0.15">
      <c r="A155" s="7">
        <v>39235.480208333334</v>
      </c>
      <c r="B155">
        <v>56.2</v>
      </c>
      <c r="C155" s="6">
        <f t="shared" si="21"/>
        <v>270.0000002514571</v>
      </c>
      <c r="D155" t="str">
        <f t="shared" si="22"/>
        <v/>
      </c>
      <c r="E155">
        <f t="shared" si="24"/>
        <v>39235.480208333334</v>
      </c>
      <c r="F155" s="4">
        <f t="shared" si="23"/>
        <v>16.300000000000004</v>
      </c>
      <c r="G155" s="4">
        <f t="shared" si="25"/>
        <v>8.1500000000000021</v>
      </c>
      <c r="H155" s="5">
        <f t="shared" si="19"/>
        <v>15.99999871104956</v>
      </c>
      <c r="I155" s="14">
        <f t="shared" si="27"/>
        <v>2784.5378242658699</v>
      </c>
      <c r="J155" s="19">
        <f t="shared" si="28"/>
        <v>893323.31435629656</v>
      </c>
      <c r="K155" s="16">
        <f t="shared" si="26"/>
        <v>0.88976425732698861</v>
      </c>
    </row>
    <row r="156" spans="1:11" x14ac:dyDescent="0.15">
      <c r="A156" s="7">
        <v>39235.480231481481</v>
      </c>
      <c r="B156">
        <v>55</v>
      </c>
      <c r="C156" s="6">
        <f t="shared" si="21"/>
        <v>272.00000009033829</v>
      </c>
      <c r="D156" t="str">
        <f t="shared" si="22"/>
        <v/>
      </c>
      <c r="E156">
        <f t="shared" si="24"/>
        <v>39235.480231481481</v>
      </c>
      <c r="F156" s="4">
        <f t="shared" si="23"/>
        <v>15.100000000000001</v>
      </c>
      <c r="G156" s="4">
        <f t="shared" si="25"/>
        <v>7.5500000000000007</v>
      </c>
      <c r="H156" s="5">
        <f t="shared" si="19"/>
        <v>15.699998735217381</v>
      </c>
      <c r="I156" s="14">
        <f t="shared" si="27"/>
        <v>2732.3277400608849</v>
      </c>
      <c r="J156" s="19">
        <f t="shared" si="28"/>
        <v>896055.64209635742</v>
      </c>
      <c r="K156" s="16">
        <f t="shared" si="26"/>
        <v>0.89248569929916077</v>
      </c>
    </row>
    <row r="157" spans="1:11" x14ac:dyDescent="0.15">
      <c r="A157" s="7">
        <v>39235.480254629627</v>
      </c>
      <c r="B157">
        <v>54.8</v>
      </c>
      <c r="C157" s="6">
        <f t="shared" si="21"/>
        <v>273.99999992921948</v>
      </c>
      <c r="D157" t="str">
        <f t="shared" si="22"/>
        <v/>
      </c>
      <c r="E157">
        <f t="shared" si="24"/>
        <v>39235.480254629627</v>
      </c>
      <c r="F157" s="4">
        <f t="shared" si="23"/>
        <v>14.899999999999999</v>
      </c>
      <c r="G157" s="4">
        <f t="shared" si="25"/>
        <v>7.4499999999999993</v>
      </c>
      <c r="H157" s="5">
        <f t="shared" si="19"/>
        <v>14.999998791608959</v>
      </c>
      <c r="I157" s="14">
        <f t="shared" si="27"/>
        <v>2610.5042102492525</v>
      </c>
      <c r="J157" s="19">
        <f t="shared" si="28"/>
        <v>898666.14630660671</v>
      </c>
      <c r="K157" s="16">
        <f t="shared" si="26"/>
        <v>0.8950858030942298</v>
      </c>
    </row>
    <row r="158" spans="1:11" x14ac:dyDescent="0.15">
      <c r="A158" s="7">
        <v>39235.48027777778</v>
      </c>
      <c r="B158">
        <v>53.2</v>
      </c>
      <c r="C158" s="6">
        <f t="shared" si="21"/>
        <v>276.00000039674342</v>
      </c>
      <c r="D158" t="str">
        <f t="shared" si="22"/>
        <v/>
      </c>
      <c r="E158">
        <f t="shared" si="24"/>
        <v>39235.48027777778</v>
      </c>
      <c r="F158" s="4">
        <f t="shared" si="23"/>
        <v>13.300000000000004</v>
      </c>
      <c r="G158" s="4">
        <f t="shared" si="25"/>
        <v>6.6500000000000021</v>
      </c>
      <c r="H158" s="5">
        <f t="shared" si="19"/>
        <v>14.100003296043726</v>
      </c>
      <c r="I158" s="14">
        <f t="shared" si="27"/>
        <v>2453.8747289393814</v>
      </c>
      <c r="J158" s="19">
        <f t="shared" si="28"/>
        <v>901120.02103554609</v>
      </c>
      <c r="K158" s="16">
        <f t="shared" si="26"/>
        <v>0.8975299014298268</v>
      </c>
    </row>
    <row r="159" spans="1:11" x14ac:dyDescent="0.15">
      <c r="A159" s="7">
        <v>39235.480300925927</v>
      </c>
      <c r="B159">
        <v>54.8</v>
      </c>
      <c r="C159" s="6">
        <f t="shared" si="21"/>
        <v>278.00000023562461</v>
      </c>
      <c r="D159" t="str">
        <f t="shared" si="22"/>
        <v/>
      </c>
      <c r="E159">
        <f t="shared" si="24"/>
        <v>39235.480300925927</v>
      </c>
      <c r="F159" s="4">
        <f t="shared" si="23"/>
        <v>14.899999999999999</v>
      </c>
      <c r="G159" s="4">
        <f t="shared" si="25"/>
        <v>7.4499999999999993</v>
      </c>
      <c r="H159" s="5">
        <f t="shared" si="19"/>
        <v>14.099998864112424</v>
      </c>
      <c r="I159" s="14">
        <f t="shared" si="27"/>
        <v>2453.8739576342978</v>
      </c>
      <c r="J159" s="19">
        <f t="shared" si="28"/>
        <v>903573.89499318041</v>
      </c>
      <c r="K159" s="16">
        <f t="shared" si="26"/>
        <v>0.89997399899719166</v>
      </c>
    </row>
    <row r="160" spans="1:11" x14ac:dyDescent="0.15">
      <c r="A160" s="7">
        <v>39235.480324074073</v>
      </c>
      <c r="B160">
        <v>52.2</v>
      </c>
      <c r="C160" s="6">
        <f t="shared" si="21"/>
        <v>280.00000007450581</v>
      </c>
      <c r="D160" t="str">
        <f t="shared" si="22"/>
        <v/>
      </c>
      <c r="E160">
        <f t="shared" si="24"/>
        <v>39235.480324074073</v>
      </c>
      <c r="F160" s="4">
        <f t="shared" si="23"/>
        <v>12.300000000000004</v>
      </c>
      <c r="G160" s="4">
        <f t="shared" si="25"/>
        <v>6.1500000000000021</v>
      </c>
      <c r="H160" s="5">
        <f t="shared" si="19"/>
        <v>13.599998904392125</v>
      </c>
      <c r="I160" s="14">
        <f t="shared" si="27"/>
        <v>2366.8571506259891</v>
      </c>
      <c r="J160" s="19">
        <f t="shared" si="28"/>
        <v>905940.75214380643</v>
      </c>
      <c r="K160" s="16">
        <f t="shared" si="26"/>
        <v>0.9023314264380542</v>
      </c>
    </row>
    <row r="161" spans="1:11" x14ac:dyDescent="0.15">
      <c r="A161" s="7">
        <v>39235.480347222219</v>
      </c>
      <c r="B161">
        <v>52.3</v>
      </c>
      <c r="C161" s="6">
        <f t="shared" si="21"/>
        <v>281.999999913387</v>
      </c>
      <c r="D161" t="str">
        <f t="shared" si="22"/>
        <v/>
      </c>
      <c r="E161">
        <f t="shared" si="24"/>
        <v>39235.480347222219</v>
      </c>
      <c r="F161" s="4">
        <f t="shared" si="23"/>
        <v>12.399999999999999</v>
      </c>
      <c r="G161" s="4">
        <f t="shared" si="25"/>
        <v>6.1999999999999993</v>
      </c>
      <c r="H161" s="5">
        <f t="shared" si="19"/>
        <v>12.349999005091378</v>
      </c>
      <c r="I161" s="14">
        <f t="shared" si="27"/>
        <v>2149.3151331052181</v>
      </c>
      <c r="J161" s="19">
        <f t="shared" si="28"/>
        <v>908090.06727691169</v>
      </c>
      <c r="K161" s="16">
        <f t="shared" si="26"/>
        <v>0.90447217856266104</v>
      </c>
    </row>
    <row r="162" spans="1:11" x14ac:dyDescent="0.15">
      <c r="A162" s="7">
        <v>39235.480370370373</v>
      </c>
      <c r="B162">
        <v>51.1</v>
      </c>
      <c r="C162" s="6">
        <f t="shared" si="21"/>
        <v>284.00000038091093</v>
      </c>
      <c r="D162" t="str">
        <f t="shared" si="22"/>
        <v/>
      </c>
      <c r="E162">
        <f t="shared" si="24"/>
        <v>39235.480370370373</v>
      </c>
      <c r="F162" s="4">
        <f t="shared" si="23"/>
        <v>11.200000000000003</v>
      </c>
      <c r="G162" s="4">
        <f t="shared" si="25"/>
        <v>5.6000000000000014</v>
      </c>
      <c r="H162" s="5">
        <f t="shared" si="19"/>
        <v>11.800002758391201</v>
      </c>
      <c r="I162" s="14">
        <f t="shared" si="27"/>
        <v>2053.5972908854392</v>
      </c>
      <c r="J162" s="19">
        <f t="shared" si="28"/>
        <v>910143.6645677971</v>
      </c>
      <c r="K162" s="16">
        <f t="shared" si="26"/>
        <v>0.90651759419103295</v>
      </c>
    </row>
    <row r="163" spans="1:11" x14ac:dyDescent="0.15">
      <c r="A163" s="7">
        <v>39235.480393518519</v>
      </c>
      <c r="B163">
        <v>51.5</v>
      </c>
      <c r="C163" s="6">
        <f t="shared" si="21"/>
        <v>286.00000021979213</v>
      </c>
      <c r="D163" t="str">
        <f t="shared" si="22"/>
        <v/>
      </c>
      <c r="E163">
        <f t="shared" si="24"/>
        <v>39235.480393518519</v>
      </c>
      <c r="F163" s="4">
        <f t="shared" si="23"/>
        <v>11.600000000000001</v>
      </c>
      <c r="G163" s="4">
        <f t="shared" si="25"/>
        <v>5.8000000000000007</v>
      </c>
      <c r="H163" s="5">
        <f t="shared" si="19"/>
        <v>11.399999081622811</v>
      </c>
      <c r="I163" s="14">
        <f t="shared" si="27"/>
        <v>1983.9831997894321</v>
      </c>
      <c r="J163" s="19">
        <f t="shared" si="28"/>
        <v>912127.64776758652</v>
      </c>
      <c r="K163" s="16">
        <f t="shared" si="26"/>
        <v>0.90849367307528539</v>
      </c>
    </row>
    <row r="164" spans="1:11" x14ac:dyDescent="0.15">
      <c r="A164" s="7">
        <v>39235.480416666665</v>
      </c>
      <c r="B164">
        <v>51.1</v>
      </c>
      <c r="C164" s="6">
        <f t="shared" si="21"/>
        <v>288.00000005867332</v>
      </c>
      <c r="D164" t="str">
        <f t="shared" si="22"/>
        <v/>
      </c>
      <c r="E164">
        <f t="shared" si="24"/>
        <v>39235.480416666665</v>
      </c>
      <c r="F164" s="4">
        <f t="shared" si="23"/>
        <v>11.200000000000003</v>
      </c>
      <c r="G164" s="4">
        <f t="shared" si="25"/>
        <v>5.6000000000000014</v>
      </c>
      <c r="H164" s="5">
        <f t="shared" si="19"/>
        <v>11.399999081622811</v>
      </c>
      <c r="I164" s="14">
        <f t="shared" si="27"/>
        <v>1983.9831997894321</v>
      </c>
      <c r="J164" s="19">
        <f t="shared" si="28"/>
        <v>914111.63096737594</v>
      </c>
      <c r="K164" s="16">
        <f t="shared" si="26"/>
        <v>0.91046975195953783</v>
      </c>
    </row>
    <row r="165" spans="1:11" x14ac:dyDescent="0.15">
      <c r="A165" s="7">
        <v>39235.480439814812</v>
      </c>
      <c r="B165">
        <v>50.8</v>
      </c>
      <c r="C165" s="6">
        <f t="shared" si="21"/>
        <v>289.99999989755452</v>
      </c>
      <c r="D165" t="str">
        <f t="shared" si="22"/>
        <v/>
      </c>
      <c r="E165">
        <f t="shared" si="24"/>
        <v>39235.480439814812</v>
      </c>
      <c r="F165" s="4">
        <f t="shared" si="23"/>
        <v>10.899999999999999</v>
      </c>
      <c r="G165" s="4">
        <f t="shared" si="25"/>
        <v>5.4499999999999993</v>
      </c>
      <c r="H165" s="5">
        <f t="shared" si="19"/>
        <v>11.0499991098186</v>
      </c>
      <c r="I165" s="14">
        <f t="shared" si="27"/>
        <v>1923.0714348836159</v>
      </c>
      <c r="J165" s="19">
        <f t="shared" si="28"/>
        <v>916034.70240225957</v>
      </c>
      <c r="K165" s="16">
        <f t="shared" si="26"/>
        <v>0.91238516175523865</v>
      </c>
    </row>
    <row r="166" spans="1:11" x14ac:dyDescent="0.15">
      <c r="A166" s="7">
        <v>39235.480462962965</v>
      </c>
      <c r="B166">
        <v>51.6</v>
      </c>
      <c r="C166" s="6">
        <f t="shared" si="21"/>
        <v>292.00000036507845</v>
      </c>
      <c r="D166" t="str">
        <f t="shared" si="22"/>
        <v/>
      </c>
      <c r="E166">
        <f t="shared" si="24"/>
        <v>39235.480462962965</v>
      </c>
      <c r="F166" s="4">
        <f t="shared" si="23"/>
        <v>11.700000000000003</v>
      </c>
      <c r="G166" s="4">
        <f t="shared" si="25"/>
        <v>5.8500000000000014</v>
      </c>
      <c r="H166" s="5">
        <f t="shared" si="19"/>
        <v>11.300002641510218</v>
      </c>
      <c r="I166" s="14">
        <f t="shared" si="27"/>
        <v>1966.5804565258868</v>
      </c>
      <c r="J166" s="19">
        <f t="shared" si="28"/>
        <v>918001.28285878547</v>
      </c>
      <c r="K166" s="16">
        <f t="shared" si="26"/>
        <v>0.91434390722986603</v>
      </c>
    </row>
    <row r="167" spans="1:11" x14ac:dyDescent="0.15">
      <c r="A167" s="7">
        <v>39235.480486111112</v>
      </c>
      <c r="B167">
        <v>49.5</v>
      </c>
      <c r="C167" s="6">
        <f t="shared" si="21"/>
        <v>294.00000020395964</v>
      </c>
      <c r="D167" t="str">
        <f t="shared" si="22"/>
        <v/>
      </c>
      <c r="E167">
        <f t="shared" si="24"/>
        <v>39235.480486111112</v>
      </c>
      <c r="F167" s="4">
        <f t="shared" si="23"/>
        <v>9.6000000000000014</v>
      </c>
      <c r="G167" s="4">
        <f t="shared" si="25"/>
        <v>4.8000000000000007</v>
      </c>
      <c r="H167" s="5">
        <f t="shared" si="19"/>
        <v>10.649999142042363</v>
      </c>
      <c r="I167" s="14">
        <f t="shared" si="27"/>
        <v>1853.4579892769696</v>
      </c>
      <c r="J167" s="19">
        <f t="shared" si="28"/>
        <v>919854.74084806244</v>
      </c>
      <c r="K167" s="16">
        <f t="shared" si="26"/>
        <v>0.91618998092436499</v>
      </c>
    </row>
    <row r="168" spans="1:11" x14ac:dyDescent="0.15">
      <c r="A168" s="7">
        <v>39235.480509259258</v>
      </c>
      <c r="B168">
        <v>49.8</v>
      </c>
      <c r="C168" s="6">
        <f t="shared" si="21"/>
        <v>296.00000004284084</v>
      </c>
      <c r="D168" t="str">
        <f t="shared" si="22"/>
        <v/>
      </c>
      <c r="E168">
        <f t="shared" si="24"/>
        <v>39235.480509259258</v>
      </c>
      <c r="F168" s="4">
        <f t="shared" si="23"/>
        <v>9.8999999999999986</v>
      </c>
      <c r="G168" s="4">
        <f t="shared" si="25"/>
        <v>4.9499999999999993</v>
      </c>
      <c r="H168" s="5">
        <f>AVERAGE(G167:G168)*(C168-C167)</f>
        <v>9.7499992145458236</v>
      </c>
      <c r="I168" s="14">
        <f t="shared" si="27"/>
        <v>1696.8277366620141</v>
      </c>
      <c r="J168" s="19">
        <f t="shared" si="28"/>
        <v>921551.56858472445</v>
      </c>
      <c r="K168" s="16">
        <f t="shared" si="26"/>
        <v>0.91788004839115978</v>
      </c>
    </row>
    <row r="169" spans="1:11" x14ac:dyDescent="0.15">
      <c r="A169" s="7">
        <v>39235.480532407404</v>
      </c>
      <c r="B169">
        <v>48.8</v>
      </c>
      <c r="C169" s="6">
        <f t="shared" si="21"/>
        <v>297.99999988172203</v>
      </c>
      <c r="D169" t="str">
        <f t="shared" si="22"/>
        <v/>
      </c>
      <c r="E169">
        <f t="shared" si="24"/>
        <v>39235.480532407404</v>
      </c>
      <c r="F169" s="4">
        <f t="shared" si="23"/>
        <v>8.8999999999999986</v>
      </c>
      <c r="G169" s="4">
        <f t="shared" si="25"/>
        <v>4.4499999999999993</v>
      </c>
      <c r="H169" s="5">
        <f>AVERAGE(G168:G169)*(C169-C168)</f>
        <v>9.3999992427416128</v>
      </c>
      <c r="I169" s="14">
        <f t="shared" si="27"/>
        <v>1635.9159717561979</v>
      </c>
      <c r="J169" s="19">
        <f t="shared" si="28"/>
        <v>923187.48455648066</v>
      </c>
      <c r="K169" s="16">
        <f t="shared" si="26"/>
        <v>0.91950944676940305</v>
      </c>
    </row>
    <row r="170" spans="1:11" x14ac:dyDescent="0.15">
      <c r="A170" s="7">
        <v>39235.480555555558</v>
      </c>
      <c r="B170">
        <v>49.2</v>
      </c>
      <c r="C170" s="6">
        <f t="shared" ref="C170:C233" si="29">(A170-$B$4)*24*60*60</f>
        <v>300.00000034924597</v>
      </c>
      <c r="D170" t="str">
        <f t="shared" ref="D170:D233" si="30">IF(F170=$B$8,A170,"")</f>
        <v/>
      </c>
      <c r="E170">
        <f t="shared" si="24"/>
        <v>39235.480555555558</v>
      </c>
      <c r="F170" s="4">
        <f t="shared" ref="F170:F233" si="31">IF((B170-$B$6)&gt;0,B170-$B$6,0)</f>
        <v>9.3000000000000043</v>
      </c>
      <c r="G170" s="4">
        <f t="shared" ref="G170:G233" si="32">F170/2</f>
        <v>4.6500000000000021</v>
      </c>
      <c r="H170" s="5">
        <f t="shared" ref="H170:H233" si="33">AVERAGE(G169:G170)*(C170-C169)</f>
        <v>9.1000021272338945</v>
      </c>
      <c r="I170" s="14">
        <f t="shared" si="27"/>
        <v>1583.706385343856</v>
      </c>
      <c r="J170" s="19">
        <f t="shared" si="28"/>
        <v>924771.19094182446</v>
      </c>
      <c r="K170" s="16">
        <f t="shared" si="26"/>
        <v>0.92108684356755421</v>
      </c>
    </row>
    <row r="171" spans="1:11" x14ac:dyDescent="0.15">
      <c r="A171" s="7">
        <v>39235.480578703704</v>
      </c>
      <c r="B171">
        <v>48.5</v>
      </c>
      <c r="C171" s="6">
        <f t="shared" si="29"/>
        <v>302.00000018812716</v>
      </c>
      <c r="D171" t="str">
        <f t="shared" si="30"/>
        <v/>
      </c>
      <c r="E171">
        <f t="shared" si="24"/>
        <v>39235.480578703704</v>
      </c>
      <c r="F171" s="4">
        <f t="shared" si="31"/>
        <v>8.6000000000000014</v>
      </c>
      <c r="G171" s="4">
        <f t="shared" si="32"/>
        <v>4.3000000000000007</v>
      </c>
      <c r="H171" s="5">
        <f t="shared" si="33"/>
        <v>8.9499992789933493</v>
      </c>
      <c r="I171" s="14">
        <f t="shared" si="27"/>
        <v>1557.6008454487212</v>
      </c>
      <c r="J171" s="19">
        <f t="shared" si="28"/>
        <v>926328.79178727313</v>
      </c>
      <c r="K171" s="16">
        <f t="shared" si="26"/>
        <v>0.9226382388319454</v>
      </c>
    </row>
    <row r="172" spans="1:11" x14ac:dyDescent="0.15">
      <c r="A172" s="7">
        <v>39235.48060185185</v>
      </c>
      <c r="B172">
        <v>48.5</v>
      </c>
      <c r="C172" s="6">
        <f t="shared" si="29"/>
        <v>304.00000002700835</v>
      </c>
      <c r="D172" t="str">
        <f t="shared" si="30"/>
        <v/>
      </c>
      <c r="E172">
        <f t="shared" si="24"/>
        <v>39235.48060185185</v>
      </c>
      <c r="F172" s="4">
        <f t="shared" si="31"/>
        <v>8.6000000000000014</v>
      </c>
      <c r="G172" s="4">
        <f t="shared" si="32"/>
        <v>4.3000000000000007</v>
      </c>
      <c r="H172" s="5">
        <f t="shared" si="33"/>
        <v>8.5999993071891385</v>
      </c>
      <c r="I172" s="14">
        <f t="shared" si="27"/>
        <v>1496.689080542905</v>
      </c>
      <c r="J172" s="19">
        <f t="shared" si="28"/>
        <v>927825.48086781602</v>
      </c>
      <c r="K172" s="16">
        <f t="shared" si="26"/>
        <v>0.92412896500778485</v>
      </c>
    </row>
    <row r="173" spans="1:11" x14ac:dyDescent="0.15">
      <c r="A173" s="7">
        <v>39235.480624999997</v>
      </c>
      <c r="B173">
        <v>48.4</v>
      </c>
      <c r="C173" s="6">
        <f t="shared" si="29"/>
        <v>305.99999986588955</v>
      </c>
      <c r="D173" t="str">
        <f t="shared" si="30"/>
        <v/>
      </c>
      <c r="E173">
        <f t="shared" si="24"/>
        <v>39235.480624999997</v>
      </c>
      <c r="F173" s="4">
        <f t="shared" si="31"/>
        <v>8.5</v>
      </c>
      <c r="G173" s="4">
        <f t="shared" si="32"/>
        <v>4.25</v>
      </c>
      <c r="H173" s="5">
        <f t="shared" si="33"/>
        <v>8.5499993112171069</v>
      </c>
      <c r="I173" s="14">
        <f t="shared" si="27"/>
        <v>1487.987399842074</v>
      </c>
      <c r="J173" s="19">
        <f t="shared" si="28"/>
        <v>929313.46826765814</v>
      </c>
      <c r="K173" s="16">
        <f t="shared" si="26"/>
        <v>0.92561102417097429</v>
      </c>
    </row>
    <row r="174" spans="1:11" x14ac:dyDescent="0.15">
      <c r="A174" s="7">
        <v>39235.48064814815</v>
      </c>
      <c r="B174">
        <v>48.4</v>
      </c>
      <c r="C174" s="6">
        <f t="shared" si="29"/>
        <v>308.00000033341348</v>
      </c>
      <c r="D174" t="str">
        <f t="shared" si="30"/>
        <v/>
      </c>
      <c r="E174">
        <f t="shared" si="24"/>
        <v>39235.48064814815</v>
      </c>
      <c r="F174" s="4">
        <f t="shared" si="31"/>
        <v>8.5</v>
      </c>
      <c r="G174" s="4">
        <f t="shared" si="32"/>
        <v>4.25</v>
      </c>
      <c r="H174" s="5">
        <f t="shared" si="33"/>
        <v>8.5000019869767129</v>
      </c>
      <c r="I174" s="14">
        <f t="shared" si="27"/>
        <v>1479.2861841123927</v>
      </c>
      <c r="J174" s="19">
        <f t="shared" si="28"/>
        <v>930792.75445177057</v>
      </c>
      <c r="K174" s="16">
        <f t="shared" si="26"/>
        <v>0.92708441678463205</v>
      </c>
    </row>
    <row r="175" spans="1:11" x14ac:dyDescent="0.15">
      <c r="A175" s="7">
        <v>39235.480671296296</v>
      </c>
      <c r="B175">
        <v>47.5</v>
      </c>
      <c r="C175" s="6">
        <f t="shared" si="29"/>
        <v>310.00000017229468</v>
      </c>
      <c r="D175" t="str">
        <f t="shared" si="30"/>
        <v/>
      </c>
      <c r="E175">
        <f t="shared" si="24"/>
        <v>39235.480671296296</v>
      </c>
      <c r="F175" s="4">
        <f t="shared" si="31"/>
        <v>7.6000000000000014</v>
      </c>
      <c r="G175" s="4">
        <f t="shared" si="32"/>
        <v>3.8000000000000007</v>
      </c>
      <c r="H175" s="5">
        <f t="shared" si="33"/>
        <v>8.0499993514968082</v>
      </c>
      <c r="I175" s="14">
        <f t="shared" si="27"/>
        <v>1400.9705928337655</v>
      </c>
      <c r="J175" s="19">
        <f t="shared" si="28"/>
        <v>932193.72504460439</v>
      </c>
      <c r="K175" s="16">
        <f t="shared" si="26"/>
        <v>0.92847980582131906</v>
      </c>
    </row>
    <row r="176" spans="1:11" x14ac:dyDescent="0.15">
      <c r="A176" s="7">
        <v>39235.480694444443</v>
      </c>
      <c r="B176">
        <v>47.4</v>
      </c>
      <c r="C176" s="6">
        <f t="shared" si="29"/>
        <v>312.00000001117587</v>
      </c>
      <c r="D176" t="str">
        <f t="shared" si="30"/>
        <v/>
      </c>
      <c r="E176">
        <f t="shared" si="24"/>
        <v>39235.480694444443</v>
      </c>
      <c r="F176" s="4">
        <f t="shared" si="31"/>
        <v>7.5</v>
      </c>
      <c r="G176" s="4">
        <f t="shared" si="32"/>
        <v>3.75</v>
      </c>
      <c r="H176" s="5">
        <f t="shared" si="33"/>
        <v>7.5499993917765105</v>
      </c>
      <c r="I176" s="14">
        <f t="shared" si="27"/>
        <v>1313.9537858254571</v>
      </c>
      <c r="J176" s="19">
        <f t="shared" si="28"/>
        <v>933507.6788304298</v>
      </c>
      <c r="K176" s="16">
        <f t="shared" si="26"/>
        <v>0.92978852473150375</v>
      </c>
    </row>
    <row r="177" spans="1:11" x14ac:dyDescent="0.15">
      <c r="A177" s="7">
        <v>39235.480717592596</v>
      </c>
      <c r="B177">
        <v>47.8</v>
      </c>
      <c r="C177" s="6">
        <f t="shared" si="29"/>
        <v>314.0000004786998</v>
      </c>
      <c r="D177" t="str">
        <f t="shared" si="30"/>
        <v/>
      </c>
      <c r="E177">
        <f t="shared" si="24"/>
        <v>39235.480717592596</v>
      </c>
      <c r="F177" s="4">
        <f t="shared" si="31"/>
        <v>7.8999999999999986</v>
      </c>
      <c r="G177" s="4">
        <f t="shared" si="32"/>
        <v>3.9499999999999993</v>
      </c>
      <c r="H177" s="5">
        <f t="shared" si="33"/>
        <v>7.7000017999671391</v>
      </c>
      <c r="I177" s="14">
        <f t="shared" si="27"/>
        <v>1340.0592491371085</v>
      </c>
      <c r="J177" s="19">
        <f t="shared" si="28"/>
        <v>934847.73807956686</v>
      </c>
      <c r="K177" s="16">
        <f t="shared" si="26"/>
        <v>0.93112324509917022</v>
      </c>
    </row>
    <row r="178" spans="1:11" x14ac:dyDescent="0.15">
      <c r="A178" s="7">
        <v>39235.480740740742</v>
      </c>
      <c r="B178">
        <v>47.4</v>
      </c>
      <c r="C178" s="6">
        <f t="shared" si="29"/>
        <v>316.000000317581</v>
      </c>
      <c r="D178" t="str">
        <f t="shared" si="30"/>
        <v/>
      </c>
      <c r="E178">
        <f t="shared" si="24"/>
        <v>39235.480740740742</v>
      </c>
      <c r="F178" s="4">
        <f t="shared" si="31"/>
        <v>7.5</v>
      </c>
      <c r="G178" s="4">
        <f t="shared" si="32"/>
        <v>3.75</v>
      </c>
      <c r="H178" s="5">
        <f t="shared" si="33"/>
        <v>7.6999993796925983</v>
      </c>
      <c r="I178" s="14">
        <f t="shared" si="27"/>
        <v>1340.0588279279493</v>
      </c>
      <c r="J178" s="19">
        <f t="shared" si="28"/>
        <v>936187.79690749478</v>
      </c>
      <c r="K178" s="16">
        <f t="shared" si="26"/>
        <v>0.9324579650473056</v>
      </c>
    </row>
    <row r="179" spans="1:11" x14ac:dyDescent="0.15">
      <c r="A179" s="7">
        <v>39235.480763888889</v>
      </c>
      <c r="B179">
        <v>47.4</v>
      </c>
      <c r="C179" s="6">
        <f t="shared" si="29"/>
        <v>318.00000015646219</v>
      </c>
      <c r="D179" t="str">
        <f t="shared" si="30"/>
        <v/>
      </c>
      <c r="E179">
        <f t="shared" si="24"/>
        <v>39235.480763888889</v>
      </c>
      <c r="F179" s="4">
        <f t="shared" si="31"/>
        <v>7.5</v>
      </c>
      <c r="G179" s="4">
        <f t="shared" si="32"/>
        <v>3.75</v>
      </c>
      <c r="H179" s="5">
        <f t="shared" si="33"/>
        <v>7.4999993958044797</v>
      </c>
      <c r="I179" s="14">
        <f t="shared" si="27"/>
        <v>1305.2521051246263</v>
      </c>
      <c r="J179" s="19">
        <f t="shared" si="28"/>
        <v>937493.04901261942</v>
      </c>
      <c r="K179" s="16">
        <f t="shared" si="26"/>
        <v>0.93375801694484006</v>
      </c>
    </row>
    <row r="180" spans="1:11" x14ac:dyDescent="0.15">
      <c r="A180" s="7">
        <v>39235.480787037035</v>
      </c>
      <c r="B180">
        <v>47.2</v>
      </c>
      <c r="C180" s="6">
        <f t="shared" si="29"/>
        <v>319.99999999534339</v>
      </c>
      <c r="D180" t="str">
        <f t="shared" si="30"/>
        <v/>
      </c>
      <c r="E180">
        <f t="shared" si="24"/>
        <v>39235.480787037035</v>
      </c>
      <c r="F180" s="4">
        <f t="shared" si="31"/>
        <v>7.3000000000000043</v>
      </c>
      <c r="G180" s="4">
        <f t="shared" si="32"/>
        <v>3.6500000000000021</v>
      </c>
      <c r="H180" s="5">
        <f t="shared" si="33"/>
        <v>7.3999994038604218</v>
      </c>
      <c r="I180" s="14">
        <f t="shared" si="27"/>
        <v>1287.8487437229649</v>
      </c>
      <c r="J180" s="19">
        <f t="shared" si="28"/>
        <v>938780.89775634243</v>
      </c>
      <c r="K180" s="16">
        <f t="shared" si="26"/>
        <v>0.93504073481707417</v>
      </c>
    </row>
    <row r="181" spans="1:11" x14ac:dyDescent="0.15">
      <c r="A181" s="7">
        <v>39235.480810185189</v>
      </c>
      <c r="B181">
        <v>47.1</v>
      </c>
      <c r="C181" s="6">
        <f t="shared" si="29"/>
        <v>322.00000046286732</v>
      </c>
      <c r="D181" t="str">
        <f t="shared" si="30"/>
        <v/>
      </c>
      <c r="E181">
        <f t="shared" si="24"/>
        <v>39235.480810185189</v>
      </c>
      <c r="F181" s="4">
        <f t="shared" si="31"/>
        <v>7.2000000000000028</v>
      </c>
      <c r="G181" s="4">
        <f t="shared" si="32"/>
        <v>3.6000000000000014</v>
      </c>
      <c r="H181" s="5">
        <f t="shared" si="33"/>
        <v>7.2500016947742587</v>
      </c>
      <c r="I181" s="14">
        <f t="shared" si="27"/>
        <v>1261.7440982135122</v>
      </c>
      <c r="J181" s="19">
        <f t="shared" si="28"/>
        <v>940042.64185455593</v>
      </c>
      <c r="K181" s="16">
        <f t="shared" si="26"/>
        <v>0.93629745204637049</v>
      </c>
    </row>
    <row r="182" spans="1:11" x14ac:dyDescent="0.15">
      <c r="A182" s="7">
        <v>39235.480833333335</v>
      </c>
      <c r="B182">
        <v>46.4</v>
      </c>
      <c r="C182" s="6">
        <f t="shared" si="29"/>
        <v>324.00000030174851</v>
      </c>
      <c r="D182" t="str">
        <f t="shared" si="30"/>
        <v/>
      </c>
      <c r="E182">
        <f t="shared" si="24"/>
        <v>39235.480833333335</v>
      </c>
      <c r="F182" s="4">
        <f t="shared" si="31"/>
        <v>6.5</v>
      </c>
      <c r="G182" s="4">
        <f t="shared" si="32"/>
        <v>3.25</v>
      </c>
      <c r="H182" s="5">
        <f t="shared" si="33"/>
        <v>6.8499994481680933</v>
      </c>
      <c r="I182" s="14">
        <f t="shared" si="27"/>
        <v>1192.1302560138256</v>
      </c>
      <c r="J182" s="19">
        <f t="shared" si="28"/>
        <v>941234.77211056976</v>
      </c>
      <c r="K182" s="16">
        <f t="shared" si="26"/>
        <v>0.93748483277945194</v>
      </c>
    </row>
    <row r="183" spans="1:11" x14ac:dyDescent="0.15">
      <c r="A183" s="7">
        <v>39235.480856481481</v>
      </c>
      <c r="B183">
        <v>46.2</v>
      </c>
      <c r="C183" s="6">
        <f t="shared" si="29"/>
        <v>326.00000014062971</v>
      </c>
      <c r="D183" t="str">
        <f t="shared" si="30"/>
        <v/>
      </c>
      <c r="E183">
        <f t="shared" si="24"/>
        <v>39235.480856481481</v>
      </c>
      <c r="F183" s="4">
        <f t="shared" si="31"/>
        <v>6.3000000000000043</v>
      </c>
      <c r="G183" s="4">
        <f t="shared" si="32"/>
        <v>3.1500000000000021</v>
      </c>
      <c r="H183" s="5">
        <f t="shared" si="33"/>
        <v>6.3999994844198245</v>
      </c>
      <c r="I183" s="14">
        <f t="shared" si="27"/>
        <v>1113.815129706348</v>
      </c>
      <c r="J183" s="19">
        <f t="shared" si="28"/>
        <v>942348.58724027616</v>
      </c>
      <c r="K183" s="16">
        <f t="shared" si="26"/>
        <v>0.93859421039868141</v>
      </c>
    </row>
    <row r="184" spans="1:11" x14ac:dyDescent="0.15">
      <c r="A184" s="7">
        <v>39235.480879629627</v>
      </c>
      <c r="B184">
        <v>46.2</v>
      </c>
      <c r="C184" s="6">
        <f t="shared" si="29"/>
        <v>327.9999999795109</v>
      </c>
      <c r="D184" t="str">
        <f t="shared" si="30"/>
        <v/>
      </c>
      <c r="E184">
        <f t="shared" si="24"/>
        <v>39235.480879629627</v>
      </c>
      <c r="F184" s="4">
        <f t="shared" si="31"/>
        <v>6.3000000000000043</v>
      </c>
      <c r="G184" s="4">
        <f t="shared" si="32"/>
        <v>3.1500000000000021</v>
      </c>
      <c r="H184" s="5">
        <f t="shared" si="33"/>
        <v>6.2999994924757674</v>
      </c>
      <c r="I184" s="14">
        <f t="shared" si="27"/>
        <v>1096.4117683046868</v>
      </c>
      <c r="J184" s="19">
        <f t="shared" si="28"/>
        <v>943444.99900858081</v>
      </c>
      <c r="K184" s="16">
        <f t="shared" si="26"/>
        <v>0.93968625399261041</v>
      </c>
    </row>
    <row r="185" spans="1:11" x14ac:dyDescent="0.15">
      <c r="A185" s="7">
        <v>39235.480902777781</v>
      </c>
      <c r="B185">
        <v>45.8</v>
      </c>
      <c r="C185" s="6">
        <f t="shared" si="29"/>
        <v>330.00000044703484</v>
      </c>
      <c r="D185" t="str">
        <f t="shared" si="30"/>
        <v/>
      </c>
      <c r="E185">
        <f t="shared" si="24"/>
        <v>39235.480902777781</v>
      </c>
      <c r="F185" s="4">
        <f t="shared" si="31"/>
        <v>5.8999999999999986</v>
      </c>
      <c r="G185" s="4">
        <f t="shared" si="32"/>
        <v>2.9499999999999993</v>
      </c>
      <c r="H185" s="5">
        <f t="shared" si="33"/>
        <v>6.1000014259479958</v>
      </c>
      <c r="I185" s="14">
        <f t="shared" si="27"/>
        <v>1061.6053791865411</v>
      </c>
      <c r="J185" s="19">
        <f t="shared" si="28"/>
        <v>944506.60438776738</v>
      </c>
      <c r="K185" s="16">
        <f t="shared" si="26"/>
        <v>0.94074362986829418</v>
      </c>
    </row>
    <row r="186" spans="1:11" x14ac:dyDescent="0.15">
      <c r="A186" s="7">
        <v>39235.480925925927</v>
      </c>
      <c r="B186">
        <v>46</v>
      </c>
      <c r="C186" s="6">
        <f t="shared" si="29"/>
        <v>332.00000028591603</v>
      </c>
      <c r="D186" t="str">
        <f t="shared" si="30"/>
        <v/>
      </c>
      <c r="E186">
        <f t="shared" si="24"/>
        <v>39235.480925925927</v>
      </c>
      <c r="F186" s="4">
        <f t="shared" si="31"/>
        <v>6.1000000000000014</v>
      </c>
      <c r="G186" s="4">
        <f t="shared" si="32"/>
        <v>3.0500000000000007</v>
      </c>
      <c r="H186" s="5">
        <f t="shared" si="33"/>
        <v>5.9999995166435838</v>
      </c>
      <c r="I186" s="14">
        <f t="shared" si="27"/>
        <v>1044.201684099701</v>
      </c>
      <c r="J186" s="19">
        <f t="shared" si="28"/>
        <v>945550.80607186712</v>
      </c>
      <c r="K186" s="16">
        <f t="shared" si="26"/>
        <v>0.9417836713863218</v>
      </c>
    </row>
    <row r="187" spans="1:11" x14ac:dyDescent="0.15">
      <c r="A187" s="7">
        <v>39235.480949074074</v>
      </c>
      <c r="B187">
        <v>46</v>
      </c>
      <c r="C187" s="6">
        <f t="shared" si="29"/>
        <v>334.00000012479722</v>
      </c>
      <c r="D187" t="str">
        <f t="shared" si="30"/>
        <v/>
      </c>
      <c r="E187">
        <f t="shared" si="24"/>
        <v>39235.480949074074</v>
      </c>
      <c r="F187" s="4">
        <f t="shared" si="31"/>
        <v>6.1000000000000014</v>
      </c>
      <c r="G187" s="4">
        <f t="shared" si="32"/>
        <v>3.0500000000000007</v>
      </c>
      <c r="H187" s="5">
        <f t="shared" si="33"/>
        <v>6.0999995085876453</v>
      </c>
      <c r="I187" s="14">
        <f t="shared" si="27"/>
        <v>1061.6050455013631</v>
      </c>
      <c r="J187" s="19">
        <f t="shared" si="28"/>
        <v>946612.41111736849</v>
      </c>
      <c r="K187" s="16">
        <f t="shared" si="26"/>
        <v>0.94284104692964987</v>
      </c>
    </row>
    <row r="188" spans="1:11" x14ac:dyDescent="0.15">
      <c r="A188" s="7">
        <v>39235.48097222222</v>
      </c>
      <c r="B188">
        <v>45.8</v>
      </c>
      <c r="C188" s="6">
        <f t="shared" si="29"/>
        <v>335.99999996367842</v>
      </c>
      <c r="D188" t="str">
        <f t="shared" si="30"/>
        <v/>
      </c>
      <c r="E188">
        <f t="shared" si="24"/>
        <v>39235.48097222222</v>
      </c>
      <c r="F188" s="4">
        <f t="shared" si="31"/>
        <v>5.8999999999999986</v>
      </c>
      <c r="G188" s="4">
        <f t="shared" si="32"/>
        <v>2.9499999999999993</v>
      </c>
      <c r="H188" s="5">
        <f t="shared" si="33"/>
        <v>5.9999995166435838</v>
      </c>
      <c r="I188" s="14">
        <f t="shared" si="27"/>
        <v>1044.201684099701</v>
      </c>
      <c r="J188" s="19">
        <f t="shared" si="28"/>
        <v>947656.61280146823</v>
      </c>
      <c r="K188" s="16">
        <f t="shared" si="26"/>
        <v>0.94388108844767749</v>
      </c>
    </row>
    <row r="189" spans="1:11" x14ac:dyDescent="0.15">
      <c r="A189" s="7">
        <v>39235.480995370373</v>
      </c>
      <c r="B189">
        <v>45.7</v>
      </c>
      <c r="C189" s="6">
        <f t="shared" si="29"/>
        <v>338.00000043120235</v>
      </c>
      <c r="D189" t="str">
        <f t="shared" si="30"/>
        <v/>
      </c>
      <c r="E189">
        <f t="shared" si="24"/>
        <v>39235.480995370373</v>
      </c>
      <c r="F189" s="4">
        <f t="shared" si="31"/>
        <v>5.8000000000000043</v>
      </c>
      <c r="G189" s="4">
        <f t="shared" si="32"/>
        <v>2.9000000000000021</v>
      </c>
      <c r="H189" s="5">
        <f t="shared" si="33"/>
        <v>5.8500013675075042</v>
      </c>
      <c r="I189" s="14">
        <f t="shared" si="27"/>
        <v>1018.0969620067648</v>
      </c>
      <c r="J189" s="19">
        <f t="shared" si="28"/>
        <v>948674.709763475</v>
      </c>
      <c r="K189" s="16">
        <f t="shared" si="26"/>
        <v>0.944895129246489</v>
      </c>
    </row>
    <row r="190" spans="1:11" x14ac:dyDescent="0.15">
      <c r="A190" s="7">
        <v>39235.48101851852</v>
      </c>
      <c r="B190">
        <v>45.4</v>
      </c>
      <c r="C190" s="6">
        <f t="shared" si="29"/>
        <v>340.00000027008355</v>
      </c>
      <c r="D190" t="str">
        <f t="shared" si="30"/>
        <v/>
      </c>
      <c r="E190">
        <f t="shared" si="24"/>
        <v>39235.48101851852</v>
      </c>
      <c r="F190" s="4">
        <f t="shared" si="31"/>
        <v>5.5</v>
      </c>
      <c r="G190" s="4">
        <f t="shared" si="32"/>
        <v>2.75</v>
      </c>
      <c r="H190" s="5">
        <f t="shared" si="33"/>
        <v>5.6499995448393765</v>
      </c>
      <c r="I190" s="14">
        <f t="shared" si="27"/>
        <v>983.28991919388534</v>
      </c>
      <c r="J190" s="19">
        <f t="shared" si="28"/>
        <v>949657.99968266883</v>
      </c>
      <c r="K190" s="16">
        <f t="shared" si="26"/>
        <v>0.94587450167596498</v>
      </c>
    </row>
    <row r="191" spans="1:11" x14ac:dyDescent="0.15">
      <c r="A191" s="7">
        <v>39235.481041666666</v>
      </c>
      <c r="B191">
        <v>45.1</v>
      </c>
      <c r="C191" s="6">
        <f t="shared" si="29"/>
        <v>342.00000010896474</v>
      </c>
      <c r="D191" t="str">
        <f t="shared" si="30"/>
        <v/>
      </c>
      <c r="E191">
        <f t="shared" si="24"/>
        <v>39235.481041666666</v>
      </c>
      <c r="F191" s="4">
        <f t="shared" si="31"/>
        <v>5.2000000000000028</v>
      </c>
      <c r="G191" s="4">
        <f t="shared" si="32"/>
        <v>2.6000000000000014</v>
      </c>
      <c r="H191" s="5">
        <f t="shared" si="33"/>
        <v>5.3499995690071973</v>
      </c>
      <c r="I191" s="14">
        <f t="shared" si="27"/>
        <v>931.0798349889003</v>
      </c>
      <c r="J191" s="19">
        <f t="shared" si="28"/>
        <v>950589.07951765775</v>
      </c>
      <c r="K191" s="16">
        <f t="shared" si="26"/>
        <v>0.94680187202953958</v>
      </c>
    </row>
    <row r="192" spans="1:11" x14ac:dyDescent="0.15">
      <c r="A192" s="7">
        <v>39235.481064814812</v>
      </c>
      <c r="B192">
        <v>45.4</v>
      </c>
      <c r="C192" s="6">
        <f t="shared" si="29"/>
        <v>343.99999994784594</v>
      </c>
      <c r="D192" t="str">
        <f t="shared" si="30"/>
        <v/>
      </c>
      <c r="E192">
        <f t="shared" si="24"/>
        <v>39235.481064814812</v>
      </c>
      <c r="F192" s="4">
        <f t="shared" si="31"/>
        <v>5.5</v>
      </c>
      <c r="G192" s="4">
        <f t="shared" si="32"/>
        <v>2.75</v>
      </c>
      <c r="H192" s="5">
        <f t="shared" si="33"/>
        <v>5.3499995690071973</v>
      </c>
      <c r="I192" s="14">
        <f t="shared" si="27"/>
        <v>931.0798349889003</v>
      </c>
      <c r="J192" s="19">
        <f t="shared" si="28"/>
        <v>951520.15935264667</v>
      </c>
      <c r="K192" s="16">
        <f t="shared" si="26"/>
        <v>0.94772924238311418</v>
      </c>
    </row>
    <row r="193" spans="1:11" x14ac:dyDescent="0.15">
      <c r="A193" s="7">
        <v>39235.481087962966</v>
      </c>
      <c r="B193">
        <v>44.8</v>
      </c>
      <c r="C193" s="6">
        <f t="shared" si="29"/>
        <v>346.00000041536987</v>
      </c>
      <c r="D193" t="str">
        <f t="shared" si="30"/>
        <v/>
      </c>
      <c r="E193">
        <f t="shared" si="24"/>
        <v>39235.481087962966</v>
      </c>
      <c r="F193" s="4">
        <f t="shared" si="31"/>
        <v>4.8999999999999986</v>
      </c>
      <c r="G193" s="4">
        <f t="shared" si="32"/>
        <v>2.4499999999999993</v>
      </c>
      <c r="H193" s="5">
        <f t="shared" si="33"/>
        <v>5.2000012155622235</v>
      </c>
      <c r="I193" s="14">
        <f t="shared" si="27"/>
        <v>904.97507733934606</v>
      </c>
      <c r="J193" s="19">
        <f t="shared" si="28"/>
        <v>952425.13442998601</v>
      </c>
      <c r="K193" s="16">
        <f t="shared" si="26"/>
        <v>0.94863061198205778</v>
      </c>
    </row>
    <row r="194" spans="1:11" x14ac:dyDescent="0.15">
      <c r="A194" s="7">
        <v>39235.481111111112</v>
      </c>
      <c r="B194">
        <v>44.7</v>
      </c>
      <c r="C194" s="6">
        <f t="shared" si="29"/>
        <v>348.00000025425106</v>
      </c>
      <c r="D194" t="str">
        <f t="shared" si="30"/>
        <v/>
      </c>
      <c r="E194">
        <f t="shared" si="24"/>
        <v>39235.481111111112</v>
      </c>
      <c r="F194" s="4">
        <f t="shared" si="31"/>
        <v>4.8000000000000043</v>
      </c>
      <c r="G194" s="4">
        <f t="shared" si="32"/>
        <v>2.4000000000000021</v>
      </c>
      <c r="H194" s="5">
        <f t="shared" si="33"/>
        <v>4.8499996092868987</v>
      </c>
      <c r="I194" s="14">
        <f t="shared" si="27"/>
        <v>844.06302798059187</v>
      </c>
      <c r="J194" s="19">
        <f t="shared" si="28"/>
        <v>953269.19745796663</v>
      </c>
      <c r="K194" s="16">
        <f t="shared" si="26"/>
        <v>0.94947131220913006</v>
      </c>
    </row>
    <row r="195" spans="1:11" x14ac:dyDescent="0.15">
      <c r="A195" s="7">
        <v>39235.481134259258</v>
      </c>
      <c r="B195">
        <v>44.4</v>
      </c>
      <c r="C195" s="6">
        <f t="shared" si="29"/>
        <v>350.00000009313226</v>
      </c>
      <c r="D195" t="str">
        <f t="shared" si="30"/>
        <v/>
      </c>
      <c r="E195">
        <f t="shared" si="24"/>
        <v>39235.481134259258</v>
      </c>
      <c r="F195" s="4">
        <f t="shared" si="31"/>
        <v>4.5</v>
      </c>
      <c r="G195" s="4">
        <f t="shared" si="32"/>
        <v>2.25</v>
      </c>
      <c r="H195" s="5">
        <f t="shared" si="33"/>
        <v>4.6499996253987792</v>
      </c>
      <c r="I195" s="14">
        <f t="shared" si="27"/>
        <v>809.25630517726859</v>
      </c>
      <c r="J195" s="19">
        <f t="shared" si="28"/>
        <v>954078.45376314386</v>
      </c>
      <c r="K195" s="16">
        <f t="shared" si="26"/>
        <v>0.95027734438560141</v>
      </c>
    </row>
    <row r="196" spans="1:11" x14ac:dyDescent="0.15">
      <c r="A196" s="7">
        <v>39235.481157407405</v>
      </c>
      <c r="B196">
        <v>44.3</v>
      </c>
      <c r="C196" s="6">
        <f t="shared" si="29"/>
        <v>351.99999993201345</v>
      </c>
      <c r="D196" t="str">
        <f t="shared" si="30"/>
        <v/>
      </c>
      <c r="E196">
        <f t="shared" si="24"/>
        <v>39235.481157407405</v>
      </c>
      <c r="F196" s="4">
        <f t="shared" si="31"/>
        <v>4.3999999999999986</v>
      </c>
      <c r="G196" s="4">
        <f t="shared" si="32"/>
        <v>2.1999999999999993</v>
      </c>
      <c r="H196" s="5">
        <f t="shared" si="33"/>
        <v>4.4499996415106571</v>
      </c>
      <c r="I196" s="14">
        <f t="shared" si="27"/>
        <v>774.44958237394474</v>
      </c>
      <c r="J196" s="19">
        <f t="shared" si="28"/>
        <v>954852.90334551781</v>
      </c>
      <c r="K196" s="16">
        <f t="shared" si="26"/>
        <v>0.95104870851147194</v>
      </c>
    </row>
    <row r="197" spans="1:11" x14ac:dyDescent="0.15">
      <c r="A197" s="7">
        <v>39235.481180555558</v>
      </c>
      <c r="B197">
        <v>44.3</v>
      </c>
      <c r="C197" s="6">
        <f t="shared" si="29"/>
        <v>354.00000039953738</v>
      </c>
      <c r="D197" t="str">
        <f t="shared" si="30"/>
        <v/>
      </c>
      <c r="E197">
        <f t="shared" si="24"/>
        <v>39235.481180555558</v>
      </c>
      <c r="F197" s="4">
        <f t="shared" si="31"/>
        <v>4.3999999999999986</v>
      </c>
      <c r="G197" s="4">
        <f t="shared" si="32"/>
        <v>2.1999999999999993</v>
      </c>
      <c r="H197" s="5">
        <f t="shared" si="33"/>
        <v>4.4000010285526496</v>
      </c>
      <c r="I197" s="14">
        <f t="shared" si="27"/>
        <v>765.74814236406178</v>
      </c>
      <c r="J197" s="19">
        <f t="shared" si="28"/>
        <v>955618.6514878819</v>
      </c>
      <c r="K197" s="16">
        <f t="shared" si="26"/>
        <v>0.95181140586442425</v>
      </c>
    </row>
    <row r="198" spans="1:11" x14ac:dyDescent="0.15">
      <c r="A198" s="7">
        <v>39235.481203703705</v>
      </c>
      <c r="B198">
        <v>44.3</v>
      </c>
      <c r="C198" s="6">
        <f t="shared" si="29"/>
        <v>356.00000023841858</v>
      </c>
      <c r="D198" t="str">
        <f t="shared" si="30"/>
        <v/>
      </c>
      <c r="E198">
        <f t="shared" si="24"/>
        <v>39235.481203703705</v>
      </c>
      <c r="F198" s="4">
        <f t="shared" si="31"/>
        <v>4.3999999999999986</v>
      </c>
      <c r="G198" s="4">
        <f t="shared" si="32"/>
        <v>2.1999999999999993</v>
      </c>
      <c r="H198" s="5">
        <f t="shared" si="33"/>
        <v>4.3999996455386263</v>
      </c>
      <c r="I198" s="14">
        <f t="shared" si="27"/>
        <v>765.74790167311369</v>
      </c>
      <c r="J198" s="19">
        <f t="shared" si="28"/>
        <v>956384.39938955498</v>
      </c>
      <c r="K198" s="16">
        <f t="shared" si="26"/>
        <v>0.95257410297764444</v>
      </c>
    </row>
    <row r="199" spans="1:11" x14ac:dyDescent="0.15">
      <c r="A199" s="7">
        <v>39235.481226851851</v>
      </c>
      <c r="B199">
        <v>44</v>
      </c>
      <c r="C199" s="6">
        <f t="shared" si="29"/>
        <v>358.00000007729977</v>
      </c>
      <c r="D199" t="str">
        <f t="shared" si="30"/>
        <v/>
      </c>
      <c r="E199">
        <f t="shared" si="24"/>
        <v>39235.481226851851</v>
      </c>
      <c r="F199" s="4">
        <f t="shared" si="31"/>
        <v>4.1000000000000014</v>
      </c>
      <c r="G199" s="4">
        <f t="shared" si="32"/>
        <v>2.0500000000000007</v>
      </c>
      <c r="H199" s="5">
        <f t="shared" si="33"/>
        <v>4.2499996576225385</v>
      </c>
      <c r="I199" s="14">
        <f t="shared" si="27"/>
        <v>739.64285957062157</v>
      </c>
      <c r="J199" s="19">
        <f t="shared" si="28"/>
        <v>957124.04224912554</v>
      </c>
      <c r="K199" s="16">
        <f t="shared" si="26"/>
        <v>0.95331079905291394</v>
      </c>
    </row>
    <row r="200" spans="1:11" x14ac:dyDescent="0.15">
      <c r="A200" s="7">
        <v>39235.481249999997</v>
      </c>
      <c r="B200">
        <v>44</v>
      </c>
      <c r="C200" s="6">
        <f t="shared" si="29"/>
        <v>359.99999991618097</v>
      </c>
      <c r="D200" t="str">
        <f t="shared" si="30"/>
        <v/>
      </c>
      <c r="E200">
        <f t="shared" si="24"/>
        <v>39235.481249999997</v>
      </c>
      <c r="F200" s="4">
        <f t="shared" si="31"/>
        <v>4.1000000000000014</v>
      </c>
      <c r="G200" s="4">
        <f t="shared" si="32"/>
        <v>2.0500000000000007</v>
      </c>
      <c r="H200" s="5">
        <f t="shared" si="33"/>
        <v>4.0999996697064507</v>
      </c>
      <c r="I200" s="14">
        <f t="shared" si="27"/>
        <v>713.53781746812933</v>
      </c>
      <c r="J200" s="19">
        <f t="shared" si="28"/>
        <v>957837.58006659371</v>
      </c>
      <c r="K200" s="16">
        <f t="shared" si="26"/>
        <v>0.95402149409023274</v>
      </c>
    </row>
    <row r="201" spans="1:11" x14ac:dyDescent="0.15">
      <c r="A201" s="7">
        <v>39235.481273148151</v>
      </c>
      <c r="B201">
        <v>43.5</v>
      </c>
      <c r="C201" s="6">
        <f t="shared" si="29"/>
        <v>362.0000003837049</v>
      </c>
      <c r="D201" t="str">
        <f t="shared" si="30"/>
        <v/>
      </c>
      <c r="E201">
        <f t="shared" si="24"/>
        <v>39235.481273148151</v>
      </c>
      <c r="F201" s="4">
        <f t="shared" si="31"/>
        <v>3.6000000000000014</v>
      </c>
      <c r="G201" s="4">
        <f t="shared" si="32"/>
        <v>1.8000000000000007</v>
      </c>
      <c r="H201" s="5">
        <f t="shared" si="33"/>
        <v>3.8500008999835713</v>
      </c>
      <c r="I201" s="14">
        <f t="shared" si="27"/>
        <v>670.0296245685546</v>
      </c>
      <c r="J201" s="19">
        <f t="shared" si="28"/>
        <v>958507.60969116224</v>
      </c>
      <c r="K201" s="16">
        <f t="shared" si="26"/>
        <v>0.95468885427406602</v>
      </c>
    </row>
    <row r="202" spans="1:11" x14ac:dyDescent="0.15">
      <c r="A202" s="7">
        <v>39235.481296296297</v>
      </c>
      <c r="B202">
        <v>43.5</v>
      </c>
      <c r="C202" s="6">
        <f t="shared" si="29"/>
        <v>364.0000002225861</v>
      </c>
      <c r="D202" t="str">
        <f t="shared" si="30"/>
        <v/>
      </c>
      <c r="E202">
        <f t="shared" si="24"/>
        <v>39235.481296296297</v>
      </c>
      <c r="F202" s="4">
        <f t="shared" si="31"/>
        <v>3.6000000000000014</v>
      </c>
      <c r="G202" s="4">
        <f t="shared" si="32"/>
        <v>1.8000000000000007</v>
      </c>
      <c r="H202" s="5">
        <f t="shared" si="33"/>
        <v>3.5999997099861516</v>
      </c>
      <c r="I202" s="14">
        <f t="shared" si="27"/>
        <v>626.52101045982079</v>
      </c>
      <c r="J202" s="19">
        <f t="shared" si="28"/>
        <v>959134.13070162211</v>
      </c>
      <c r="K202" s="16">
        <f t="shared" si="26"/>
        <v>0.95531287918488261</v>
      </c>
    </row>
    <row r="203" spans="1:11" x14ac:dyDescent="0.15">
      <c r="A203" s="7">
        <v>39235.481319444443</v>
      </c>
      <c r="B203">
        <v>43.8</v>
      </c>
      <c r="C203" s="6">
        <f t="shared" si="29"/>
        <v>366.00000006146729</v>
      </c>
      <c r="D203" t="str">
        <f t="shared" si="30"/>
        <v/>
      </c>
      <c r="E203">
        <f t="shared" si="24"/>
        <v>39235.481319444443</v>
      </c>
      <c r="F203" s="4">
        <f t="shared" si="31"/>
        <v>3.8999999999999986</v>
      </c>
      <c r="G203" s="4">
        <f t="shared" si="32"/>
        <v>1.9499999999999993</v>
      </c>
      <c r="H203" s="5">
        <f t="shared" si="33"/>
        <v>3.7499996979022399</v>
      </c>
      <c r="I203" s="14">
        <f t="shared" si="27"/>
        <v>652.62605256231313</v>
      </c>
      <c r="J203" s="19">
        <f t="shared" si="28"/>
        <v>959786.75675418437</v>
      </c>
      <c r="K203" s="16">
        <f t="shared" si="26"/>
        <v>0.95596290513364979</v>
      </c>
    </row>
    <row r="204" spans="1:11" x14ac:dyDescent="0.15">
      <c r="A204" s="7">
        <v>39235.481342592589</v>
      </c>
      <c r="B204">
        <v>43.7</v>
      </c>
      <c r="C204" s="6">
        <f t="shared" si="29"/>
        <v>367.99999990034848</v>
      </c>
      <c r="D204" t="str">
        <f t="shared" si="30"/>
        <v/>
      </c>
      <c r="E204">
        <f t="shared" si="24"/>
        <v>39235.481342592589</v>
      </c>
      <c r="F204" s="4">
        <f t="shared" si="31"/>
        <v>3.8000000000000043</v>
      </c>
      <c r="G204" s="4">
        <f t="shared" si="32"/>
        <v>1.9000000000000021</v>
      </c>
      <c r="H204" s="5">
        <f t="shared" si="33"/>
        <v>3.8499996898463009</v>
      </c>
      <c r="I204" s="14">
        <f t="shared" si="27"/>
        <v>670.029413963975</v>
      </c>
      <c r="J204" s="19">
        <f t="shared" si="28"/>
        <v>960456.78616814839</v>
      </c>
      <c r="K204" s="16">
        <f t="shared" si="26"/>
        <v>0.95663026510771754</v>
      </c>
    </row>
    <row r="205" spans="1:11" x14ac:dyDescent="0.15">
      <c r="A205" s="7">
        <v>39235.481365740743</v>
      </c>
      <c r="B205">
        <v>43.3</v>
      </c>
      <c r="C205" s="6">
        <f t="shared" si="29"/>
        <v>370.00000036787242</v>
      </c>
      <c r="D205" t="str">
        <f t="shared" si="30"/>
        <v/>
      </c>
      <c r="E205">
        <f t="shared" si="24"/>
        <v>39235.481365740743</v>
      </c>
      <c r="F205" s="4">
        <f t="shared" si="31"/>
        <v>3.3999999999999986</v>
      </c>
      <c r="G205" s="4">
        <f t="shared" si="32"/>
        <v>1.6999999999999993</v>
      </c>
      <c r="H205" s="5">
        <f t="shared" si="33"/>
        <v>3.6000008415430798</v>
      </c>
      <c r="I205" s="14">
        <f t="shared" si="27"/>
        <v>626.52120738877829</v>
      </c>
      <c r="J205" s="19">
        <f t="shared" si="28"/>
        <v>961083.30737553712</v>
      </c>
      <c r="K205" s="16">
        <f t="shared" si="26"/>
        <v>0.95725429021467845</v>
      </c>
    </row>
    <row r="206" spans="1:11" x14ac:dyDescent="0.15">
      <c r="A206" s="7">
        <v>39235.481388888889</v>
      </c>
      <c r="B206">
        <v>43.4</v>
      </c>
      <c r="C206" s="6">
        <f t="shared" si="29"/>
        <v>372.00000020675361</v>
      </c>
      <c r="D206" t="str">
        <f t="shared" si="30"/>
        <v/>
      </c>
      <c r="E206">
        <f t="shared" si="24"/>
        <v>39235.481388888889</v>
      </c>
      <c r="F206" s="4">
        <f t="shared" si="31"/>
        <v>3.5</v>
      </c>
      <c r="G206" s="4">
        <f t="shared" si="32"/>
        <v>1.75</v>
      </c>
      <c r="H206" s="5">
        <f t="shared" si="33"/>
        <v>3.4499997220700598</v>
      </c>
      <c r="I206" s="14">
        <f t="shared" si="27"/>
        <v>600.41596835732787</v>
      </c>
      <c r="J206" s="19">
        <f t="shared" si="28"/>
        <v>961683.72334389447</v>
      </c>
      <c r="K206" s="16">
        <f t="shared" si="26"/>
        <v>0.95785231408754434</v>
      </c>
    </row>
    <row r="207" spans="1:11" x14ac:dyDescent="0.15">
      <c r="A207" s="7">
        <v>39235.481412037036</v>
      </c>
      <c r="B207">
        <v>43.5</v>
      </c>
      <c r="C207" s="6">
        <f t="shared" si="29"/>
        <v>374.00000004563481</v>
      </c>
      <c r="D207" t="str">
        <f t="shared" si="30"/>
        <v/>
      </c>
      <c r="E207">
        <f t="shared" si="24"/>
        <v>39235.481412037036</v>
      </c>
      <c r="F207" s="4">
        <f t="shared" si="31"/>
        <v>3.6000000000000014</v>
      </c>
      <c r="G207" s="4">
        <f t="shared" si="32"/>
        <v>1.8000000000000007</v>
      </c>
      <c r="H207" s="5">
        <f t="shared" si="33"/>
        <v>3.5499997140141213</v>
      </c>
      <c r="I207" s="14">
        <f t="shared" si="27"/>
        <v>617.81932975898985</v>
      </c>
      <c r="J207" s="19">
        <f t="shared" si="28"/>
        <v>962301.54267365346</v>
      </c>
      <c r="K207" s="16">
        <f t="shared" si="26"/>
        <v>0.95846767198571059</v>
      </c>
    </row>
    <row r="208" spans="1:11" x14ac:dyDescent="0.15">
      <c r="A208" s="7">
        <v>39235.481435185182</v>
      </c>
      <c r="B208">
        <v>43.2</v>
      </c>
      <c r="C208" s="6">
        <f t="shared" si="29"/>
        <v>375.999999884516</v>
      </c>
      <c r="D208" t="str">
        <f t="shared" si="30"/>
        <v/>
      </c>
      <c r="E208">
        <f t="shared" si="24"/>
        <v>39235.481435185182</v>
      </c>
      <c r="F208" s="4">
        <f t="shared" si="31"/>
        <v>3.3000000000000043</v>
      </c>
      <c r="G208" s="4">
        <f t="shared" si="32"/>
        <v>1.6500000000000021</v>
      </c>
      <c r="H208" s="5">
        <f t="shared" si="33"/>
        <v>3.4499997220700633</v>
      </c>
      <c r="I208" s="14">
        <f t="shared" si="27"/>
        <v>600.41596835732855</v>
      </c>
      <c r="J208" s="19">
        <f t="shared" si="28"/>
        <v>962901.95864201081</v>
      </c>
      <c r="K208" s="16">
        <f t="shared" si="26"/>
        <v>0.95906569585857648</v>
      </c>
    </row>
    <row r="209" spans="1:11" x14ac:dyDescent="0.15">
      <c r="A209" s="7">
        <v>39235.481458333335</v>
      </c>
      <c r="B209">
        <v>43.3</v>
      </c>
      <c r="C209" s="6">
        <f t="shared" si="29"/>
        <v>378.00000035203993</v>
      </c>
      <c r="D209" t="str">
        <f t="shared" si="30"/>
        <v/>
      </c>
      <c r="E209">
        <f t="shared" si="24"/>
        <v>39235.481458333335</v>
      </c>
      <c r="F209" s="4">
        <f t="shared" si="31"/>
        <v>3.3999999999999986</v>
      </c>
      <c r="G209" s="4">
        <f t="shared" si="32"/>
        <v>1.6999999999999993</v>
      </c>
      <c r="H209" s="5">
        <f t="shared" si="33"/>
        <v>3.3500007831025882</v>
      </c>
      <c r="I209" s="14">
        <f t="shared" si="27"/>
        <v>583.01279020900211</v>
      </c>
      <c r="J209" s="19">
        <f t="shared" si="28"/>
        <v>963484.97143221984</v>
      </c>
      <c r="K209" s="16">
        <f t="shared" si="26"/>
        <v>0.95964638588866513</v>
      </c>
    </row>
    <row r="210" spans="1:11" x14ac:dyDescent="0.15">
      <c r="A210" s="7">
        <v>39235.481481481482</v>
      </c>
      <c r="B210">
        <v>43</v>
      </c>
      <c r="C210" s="6">
        <f t="shared" si="29"/>
        <v>380.00000019092113</v>
      </c>
      <c r="D210" t="str">
        <f t="shared" si="30"/>
        <v/>
      </c>
      <c r="E210">
        <f t="shared" si="24"/>
        <v>39235.481481481482</v>
      </c>
      <c r="F210" s="4">
        <f t="shared" si="31"/>
        <v>3.1000000000000014</v>
      </c>
      <c r="G210" s="4">
        <f t="shared" si="32"/>
        <v>1.5500000000000007</v>
      </c>
      <c r="H210" s="5">
        <f t="shared" si="33"/>
        <v>3.2499997381819412</v>
      </c>
      <c r="I210" s="14">
        <f t="shared" si="27"/>
        <v>565.6092455540047</v>
      </c>
      <c r="J210" s="19">
        <f t="shared" si="28"/>
        <v>964050.5806777738</v>
      </c>
      <c r="K210" s="16">
        <f t="shared" si="26"/>
        <v>0.9602097417109301</v>
      </c>
    </row>
    <row r="211" spans="1:11" x14ac:dyDescent="0.15">
      <c r="A211" s="7">
        <v>39235.481504629628</v>
      </c>
      <c r="B211">
        <v>43</v>
      </c>
      <c r="C211" s="6">
        <f t="shared" si="29"/>
        <v>382.00000002980232</v>
      </c>
      <c r="D211" t="str">
        <f t="shared" si="30"/>
        <v/>
      </c>
      <c r="E211">
        <f t="shared" si="24"/>
        <v>39235.481504629628</v>
      </c>
      <c r="F211" s="4">
        <f t="shared" si="31"/>
        <v>3.1000000000000014</v>
      </c>
      <c r="G211" s="4">
        <f t="shared" si="32"/>
        <v>1.5500000000000007</v>
      </c>
      <c r="H211" s="5">
        <f t="shared" si="33"/>
        <v>3.0999997502658529</v>
      </c>
      <c r="I211" s="14">
        <f t="shared" si="27"/>
        <v>539.50420345151235</v>
      </c>
      <c r="J211" s="19">
        <f t="shared" si="28"/>
        <v>964590.08488122537</v>
      </c>
      <c r="K211" s="16">
        <f t="shared" si="26"/>
        <v>0.96074709649524437</v>
      </c>
    </row>
    <row r="212" spans="1:11" x14ac:dyDescent="0.15">
      <c r="A212" s="7">
        <v>39235.481527777774</v>
      </c>
      <c r="B212">
        <v>43.3</v>
      </c>
      <c r="C212" s="6">
        <f t="shared" si="29"/>
        <v>383.99999986868352</v>
      </c>
      <c r="D212" t="str">
        <f t="shared" si="30"/>
        <v/>
      </c>
      <c r="E212">
        <f t="shared" si="24"/>
        <v>39235.481527777774</v>
      </c>
      <c r="F212" s="4">
        <f t="shared" si="31"/>
        <v>3.3999999999999986</v>
      </c>
      <c r="G212" s="4">
        <f t="shared" si="32"/>
        <v>1.6999999999999993</v>
      </c>
      <c r="H212" s="5">
        <f t="shared" si="33"/>
        <v>3.2499997381819412</v>
      </c>
      <c r="I212" s="14">
        <f t="shared" si="27"/>
        <v>565.6092455540047</v>
      </c>
      <c r="J212" s="19">
        <f t="shared" si="28"/>
        <v>965155.69412677933</v>
      </c>
      <c r="K212" s="16">
        <f t="shared" si="26"/>
        <v>0.96131045231750933</v>
      </c>
    </row>
    <row r="213" spans="1:11" x14ac:dyDescent="0.15">
      <c r="A213" s="7">
        <v>39235.481550925928</v>
      </c>
      <c r="B213">
        <v>42.8</v>
      </c>
      <c r="C213" s="6">
        <f t="shared" si="29"/>
        <v>386.00000033620745</v>
      </c>
      <c r="D213" t="str">
        <f t="shared" si="30"/>
        <v/>
      </c>
      <c r="E213">
        <f t="shared" ref="E213:E276" si="34">IF(B213-$B$6&gt;0,A213," ")</f>
        <v>39235.481550925928</v>
      </c>
      <c r="F213" s="4">
        <f t="shared" si="31"/>
        <v>2.8999999999999986</v>
      </c>
      <c r="G213" s="4">
        <f t="shared" si="32"/>
        <v>1.4499999999999993</v>
      </c>
      <c r="H213" s="5">
        <f t="shared" si="33"/>
        <v>3.1500007363501923</v>
      </c>
      <c r="I213" s="14">
        <f t="shared" si="27"/>
        <v>548.20605646518061</v>
      </c>
      <c r="J213" s="19">
        <f t="shared" si="28"/>
        <v>965703.90018324449</v>
      </c>
      <c r="K213" s="16">
        <f t="shared" ref="K213:K276" si="35">IF(J213=" ","-",J213/($B$12*1000))</f>
        <v>0.9618564742861001</v>
      </c>
    </row>
    <row r="214" spans="1:11" x14ac:dyDescent="0.15">
      <c r="A214" s="7">
        <v>39235.481574074074</v>
      </c>
      <c r="B214">
        <v>43</v>
      </c>
      <c r="C214" s="6">
        <f t="shared" si="29"/>
        <v>388.00000017508864</v>
      </c>
      <c r="D214" t="str">
        <f t="shared" si="30"/>
        <v/>
      </c>
      <c r="E214">
        <f t="shared" si="34"/>
        <v>39235.481574074074</v>
      </c>
      <c r="F214" s="4">
        <f t="shared" si="31"/>
        <v>3.1000000000000014</v>
      </c>
      <c r="G214" s="4">
        <f t="shared" si="32"/>
        <v>1.5500000000000007</v>
      </c>
      <c r="H214" s="5">
        <f t="shared" si="33"/>
        <v>2.9999997583217919</v>
      </c>
      <c r="I214" s="14">
        <f t="shared" ref="I214:I277" si="36">H214*$B$14</f>
        <v>522.10084204985048</v>
      </c>
      <c r="J214" s="19">
        <f t="shared" ref="J214:J277" si="37">J213+I214</f>
        <v>966226.0010252943</v>
      </c>
      <c r="K214" s="16">
        <f t="shared" si="35"/>
        <v>0.9623764950451138</v>
      </c>
    </row>
    <row r="215" spans="1:11" x14ac:dyDescent="0.15">
      <c r="A215" s="7">
        <v>39235.48159722222</v>
      </c>
      <c r="B215">
        <v>42.8</v>
      </c>
      <c r="C215" s="6">
        <f t="shared" si="29"/>
        <v>390.00000001396984</v>
      </c>
      <c r="D215" t="str">
        <f t="shared" si="30"/>
        <v/>
      </c>
      <c r="E215">
        <f t="shared" si="34"/>
        <v>39235.48159722222</v>
      </c>
      <c r="F215" s="4">
        <f t="shared" si="31"/>
        <v>2.8999999999999986</v>
      </c>
      <c r="G215" s="4">
        <f t="shared" si="32"/>
        <v>1.4499999999999993</v>
      </c>
      <c r="H215" s="5">
        <f t="shared" si="33"/>
        <v>2.9999997583217919</v>
      </c>
      <c r="I215" s="14">
        <f t="shared" si="36"/>
        <v>522.10084204985048</v>
      </c>
      <c r="J215" s="19">
        <f t="shared" si="37"/>
        <v>966748.10186734411</v>
      </c>
      <c r="K215" s="16">
        <f t="shared" si="35"/>
        <v>0.96289651580412761</v>
      </c>
    </row>
    <row r="216" spans="1:11" x14ac:dyDescent="0.15">
      <c r="A216" s="7">
        <v>39235.481620370374</v>
      </c>
      <c r="B216">
        <v>42.8</v>
      </c>
      <c r="C216" s="6">
        <f t="shared" si="29"/>
        <v>392.00000048149377</v>
      </c>
      <c r="D216" t="str">
        <f t="shared" si="30"/>
        <v/>
      </c>
      <c r="E216">
        <f t="shared" si="34"/>
        <v>39235.481620370374</v>
      </c>
      <c r="F216" s="4">
        <f t="shared" si="31"/>
        <v>2.8999999999999986</v>
      </c>
      <c r="G216" s="4">
        <f t="shared" si="32"/>
        <v>1.4499999999999993</v>
      </c>
      <c r="H216" s="5">
        <f t="shared" si="33"/>
        <v>2.9000006779097007</v>
      </c>
      <c r="I216" s="14">
        <f t="shared" si="36"/>
        <v>504.69763928540436</v>
      </c>
      <c r="J216" s="19">
        <f t="shared" si="37"/>
        <v>967252.79950662947</v>
      </c>
      <c r="K216" s="16">
        <f t="shared" si="35"/>
        <v>0.96339920269584611</v>
      </c>
    </row>
    <row r="217" spans="1:11" x14ac:dyDescent="0.15">
      <c r="A217" s="7">
        <v>39235.48164351852</v>
      </c>
      <c r="B217">
        <v>42.5</v>
      </c>
      <c r="C217" s="6">
        <f t="shared" si="29"/>
        <v>394.00000032037497</v>
      </c>
      <c r="D217" t="str">
        <f t="shared" si="30"/>
        <v/>
      </c>
      <c r="E217">
        <f t="shared" si="34"/>
        <v>39235.48164351852</v>
      </c>
      <c r="F217" s="4">
        <f t="shared" si="31"/>
        <v>2.6000000000000014</v>
      </c>
      <c r="G217" s="4">
        <f t="shared" si="32"/>
        <v>1.3000000000000007</v>
      </c>
      <c r="H217" s="5">
        <f t="shared" si="33"/>
        <v>2.7499997784616426</v>
      </c>
      <c r="I217" s="14">
        <f t="shared" si="36"/>
        <v>478.59243854569627</v>
      </c>
      <c r="J217" s="19">
        <f t="shared" si="37"/>
        <v>967731.39194517513</v>
      </c>
      <c r="K217" s="16">
        <f t="shared" si="35"/>
        <v>0.96387588839160865</v>
      </c>
    </row>
    <row r="218" spans="1:11" x14ac:dyDescent="0.15">
      <c r="A218" s="7">
        <v>39235.481666666667</v>
      </c>
      <c r="B218">
        <v>42.4</v>
      </c>
      <c r="C218" s="6">
        <f t="shared" si="29"/>
        <v>396.00000015925616</v>
      </c>
      <c r="D218" t="str">
        <f t="shared" si="30"/>
        <v/>
      </c>
      <c r="E218">
        <f t="shared" si="34"/>
        <v>39235.481666666667</v>
      </c>
      <c r="F218" s="4">
        <f t="shared" si="31"/>
        <v>2.5</v>
      </c>
      <c r="G218" s="4">
        <f t="shared" si="32"/>
        <v>1.25</v>
      </c>
      <c r="H218" s="5">
        <f t="shared" si="33"/>
        <v>2.549999794573524</v>
      </c>
      <c r="I218" s="14">
        <f t="shared" si="36"/>
        <v>443.78571574237304</v>
      </c>
      <c r="J218" s="19">
        <f t="shared" si="37"/>
        <v>968175.17766091751</v>
      </c>
      <c r="K218" s="16">
        <f t="shared" si="35"/>
        <v>0.96431790603677048</v>
      </c>
    </row>
    <row r="219" spans="1:11" x14ac:dyDescent="0.15">
      <c r="A219" s="7">
        <v>39235.481689814813</v>
      </c>
      <c r="B219">
        <v>42.4</v>
      </c>
      <c r="C219" s="6">
        <f t="shared" si="29"/>
        <v>397.99999999813735</v>
      </c>
      <c r="D219" t="str">
        <f t="shared" si="30"/>
        <v/>
      </c>
      <c r="E219">
        <f t="shared" si="34"/>
        <v>39235.481689814813</v>
      </c>
      <c r="F219" s="4">
        <f t="shared" si="31"/>
        <v>2.5</v>
      </c>
      <c r="G219" s="4">
        <f t="shared" si="32"/>
        <v>1.25</v>
      </c>
      <c r="H219" s="5">
        <f t="shared" si="33"/>
        <v>2.4999997986014932</v>
      </c>
      <c r="I219" s="14">
        <f t="shared" si="36"/>
        <v>435.08403504154205</v>
      </c>
      <c r="J219" s="19">
        <f t="shared" si="37"/>
        <v>968610.26169595902</v>
      </c>
      <c r="K219" s="16">
        <f t="shared" si="35"/>
        <v>0.96475125666928185</v>
      </c>
    </row>
    <row r="220" spans="1:11" x14ac:dyDescent="0.15">
      <c r="A220" s="7">
        <v>39235.481712962966</v>
      </c>
      <c r="B220">
        <v>42.4</v>
      </c>
      <c r="C220" s="6">
        <f t="shared" si="29"/>
        <v>400.00000046566129</v>
      </c>
      <c r="D220" t="str">
        <f t="shared" si="30"/>
        <v/>
      </c>
      <c r="E220">
        <f t="shared" si="34"/>
        <v>39235.481712962966</v>
      </c>
      <c r="F220" s="4">
        <f t="shared" si="31"/>
        <v>2.5</v>
      </c>
      <c r="G220" s="4">
        <f t="shared" si="32"/>
        <v>1.25</v>
      </c>
      <c r="H220" s="5">
        <f t="shared" si="33"/>
        <v>2.5000005844049156</v>
      </c>
      <c r="I220" s="14">
        <f t="shared" si="36"/>
        <v>435.08417179776256</v>
      </c>
      <c r="J220" s="19">
        <f t="shared" si="37"/>
        <v>969045.34586775675</v>
      </c>
      <c r="K220" s="16">
        <f t="shared" si="35"/>
        <v>0.96518460743800472</v>
      </c>
    </row>
    <row r="221" spans="1:11" x14ac:dyDescent="0.15">
      <c r="A221" s="7">
        <v>39235.481736111113</v>
      </c>
      <c r="B221">
        <v>42.4</v>
      </c>
      <c r="C221" s="6">
        <f t="shared" si="29"/>
        <v>402.00000030454248</v>
      </c>
      <c r="D221" t="str">
        <f t="shared" si="30"/>
        <v/>
      </c>
      <c r="E221">
        <f t="shared" si="34"/>
        <v>39235.481736111113</v>
      </c>
      <c r="F221" s="4">
        <f t="shared" si="31"/>
        <v>2.5</v>
      </c>
      <c r="G221" s="4">
        <f t="shared" si="32"/>
        <v>1.25</v>
      </c>
      <c r="H221" s="5">
        <f t="shared" si="33"/>
        <v>2.4999997986014932</v>
      </c>
      <c r="I221" s="14">
        <f t="shared" si="36"/>
        <v>435.08403504154205</v>
      </c>
      <c r="J221" s="19">
        <f t="shared" si="37"/>
        <v>969480.42990279826</v>
      </c>
      <c r="K221" s="16">
        <f t="shared" si="35"/>
        <v>0.9656179580705162</v>
      </c>
    </row>
    <row r="222" spans="1:11" x14ac:dyDescent="0.15">
      <c r="A222" s="7">
        <v>39235.481759259259</v>
      </c>
      <c r="B222">
        <v>42.5</v>
      </c>
      <c r="C222" s="6">
        <f t="shared" si="29"/>
        <v>404.00000014342368</v>
      </c>
      <c r="D222" t="str">
        <f t="shared" si="30"/>
        <v/>
      </c>
      <c r="E222">
        <f t="shared" si="34"/>
        <v>39235.481759259259</v>
      </c>
      <c r="F222" s="4">
        <f t="shared" si="31"/>
        <v>2.6000000000000014</v>
      </c>
      <c r="G222" s="4">
        <f t="shared" si="32"/>
        <v>1.3000000000000007</v>
      </c>
      <c r="H222" s="5">
        <f t="shared" si="33"/>
        <v>2.549999794573524</v>
      </c>
      <c r="I222" s="14">
        <f t="shared" si="36"/>
        <v>443.78571574237304</v>
      </c>
      <c r="J222" s="19">
        <f t="shared" si="37"/>
        <v>969924.21561854065</v>
      </c>
      <c r="K222" s="16">
        <f t="shared" si="35"/>
        <v>0.96605997571567792</v>
      </c>
    </row>
    <row r="223" spans="1:11" x14ac:dyDescent="0.15">
      <c r="A223" s="7">
        <v>39235.481782407405</v>
      </c>
      <c r="B223">
        <v>42.4</v>
      </c>
      <c r="C223" s="6">
        <f t="shared" si="29"/>
        <v>405.99999998230487</v>
      </c>
      <c r="D223" t="str">
        <f t="shared" si="30"/>
        <v/>
      </c>
      <c r="E223">
        <f t="shared" si="34"/>
        <v>39235.481782407405</v>
      </c>
      <c r="F223" s="4">
        <f t="shared" si="31"/>
        <v>2.5</v>
      </c>
      <c r="G223" s="4">
        <f t="shared" si="32"/>
        <v>1.25</v>
      </c>
      <c r="H223" s="5">
        <f t="shared" si="33"/>
        <v>2.549999794573524</v>
      </c>
      <c r="I223" s="14">
        <f t="shared" si="36"/>
        <v>443.78571574237304</v>
      </c>
      <c r="J223" s="19">
        <f t="shared" si="37"/>
        <v>970368.00133428304</v>
      </c>
      <c r="K223" s="16">
        <f t="shared" si="35"/>
        <v>0.96650199336083964</v>
      </c>
    </row>
    <row r="224" spans="1:11" x14ac:dyDescent="0.15">
      <c r="A224" s="7">
        <v>39235.481805555559</v>
      </c>
      <c r="B224">
        <v>42.5</v>
      </c>
      <c r="C224" s="6">
        <f t="shared" si="29"/>
        <v>408.0000004498288</v>
      </c>
      <c r="D224" t="str">
        <f t="shared" si="30"/>
        <v/>
      </c>
      <c r="E224">
        <f t="shared" si="34"/>
        <v>39235.481805555559</v>
      </c>
      <c r="F224" s="4">
        <f t="shared" si="31"/>
        <v>2.6000000000000014</v>
      </c>
      <c r="G224" s="4">
        <f t="shared" si="32"/>
        <v>1.3000000000000007</v>
      </c>
      <c r="H224" s="5">
        <f t="shared" si="33"/>
        <v>2.5500005960930148</v>
      </c>
      <c r="I224" s="14">
        <f t="shared" si="36"/>
        <v>443.785855233718</v>
      </c>
      <c r="J224" s="19">
        <f t="shared" si="37"/>
        <v>970811.7871895167</v>
      </c>
      <c r="K224" s="16">
        <f t="shared" si="35"/>
        <v>0.966944011144937</v>
      </c>
    </row>
    <row r="225" spans="1:11" x14ac:dyDescent="0.15">
      <c r="A225" s="7">
        <v>39235.481828703705</v>
      </c>
      <c r="B225">
        <v>42.4</v>
      </c>
      <c r="C225" s="6">
        <f t="shared" si="29"/>
        <v>410.00000028871</v>
      </c>
      <c r="D225" t="str">
        <f t="shared" si="30"/>
        <v/>
      </c>
      <c r="E225">
        <f t="shared" si="34"/>
        <v>39235.481828703705</v>
      </c>
      <c r="F225" s="4">
        <f t="shared" si="31"/>
        <v>2.5</v>
      </c>
      <c r="G225" s="4">
        <f t="shared" si="32"/>
        <v>1.25</v>
      </c>
      <c r="H225" s="5">
        <f t="shared" si="33"/>
        <v>2.549999794573524</v>
      </c>
      <c r="I225" s="14">
        <f t="shared" si="36"/>
        <v>443.78571574237304</v>
      </c>
      <c r="J225" s="19">
        <f t="shared" si="37"/>
        <v>971255.57290525909</v>
      </c>
      <c r="K225" s="16">
        <f t="shared" si="35"/>
        <v>0.96738602879009872</v>
      </c>
    </row>
    <row r="226" spans="1:11" x14ac:dyDescent="0.15">
      <c r="A226" s="7">
        <v>39235.481851851851</v>
      </c>
      <c r="B226">
        <v>42.3</v>
      </c>
      <c r="C226" s="6">
        <f t="shared" si="29"/>
        <v>412.00000012759119</v>
      </c>
      <c r="D226" t="str">
        <f t="shared" si="30"/>
        <v/>
      </c>
      <c r="E226">
        <f t="shared" si="34"/>
        <v>39235.481851851851</v>
      </c>
      <c r="F226" s="4">
        <f t="shared" si="31"/>
        <v>2.3999999999999986</v>
      </c>
      <c r="G226" s="4">
        <f t="shared" si="32"/>
        <v>1.1999999999999993</v>
      </c>
      <c r="H226" s="5">
        <f t="shared" si="33"/>
        <v>2.4499998026294625</v>
      </c>
      <c r="I226" s="14">
        <f t="shared" si="36"/>
        <v>426.38235434071106</v>
      </c>
      <c r="J226" s="19">
        <f t="shared" si="37"/>
        <v>971681.95525959984</v>
      </c>
      <c r="K226" s="16">
        <f t="shared" si="35"/>
        <v>0.96781071240995997</v>
      </c>
    </row>
    <row r="227" spans="1:11" x14ac:dyDescent="0.15">
      <c r="A227" s="7">
        <v>39235.481874999998</v>
      </c>
      <c r="B227">
        <v>42.3</v>
      </c>
      <c r="C227" s="6">
        <f t="shared" si="29"/>
        <v>413.99999996647239</v>
      </c>
      <c r="D227" t="str">
        <f t="shared" si="30"/>
        <v/>
      </c>
      <c r="E227">
        <f t="shared" si="34"/>
        <v>39235.481874999998</v>
      </c>
      <c r="F227" s="4">
        <f t="shared" si="31"/>
        <v>2.3999999999999986</v>
      </c>
      <c r="G227" s="4">
        <f t="shared" si="32"/>
        <v>1.1999999999999993</v>
      </c>
      <c r="H227" s="5">
        <f t="shared" si="33"/>
        <v>2.3999998066574322</v>
      </c>
      <c r="I227" s="14">
        <f t="shared" si="36"/>
        <v>417.68067363988013</v>
      </c>
      <c r="J227" s="19">
        <f t="shared" si="37"/>
        <v>972099.63593323971</v>
      </c>
      <c r="K227" s="16">
        <f t="shared" si="35"/>
        <v>0.968226729017171</v>
      </c>
    </row>
    <row r="228" spans="1:11" x14ac:dyDescent="0.15">
      <c r="A228" s="7">
        <v>39235.481898148151</v>
      </c>
      <c r="B228">
        <v>42.1</v>
      </c>
      <c r="C228" s="6">
        <f t="shared" si="29"/>
        <v>416.00000043399632</v>
      </c>
      <c r="D228" t="str">
        <f t="shared" si="30"/>
        <v/>
      </c>
      <c r="E228">
        <f t="shared" si="34"/>
        <v>39235.481898148151</v>
      </c>
      <c r="F228" s="4">
        <f t="shared" si="31"/>
        <v>2.2000000000000028</v>
      </c>
      <c r="G228" s="4">
        <f t="shared" si="32"/>
        <v>1.1000000000000014</v>
      </c>
      <c r="H228" s="5">
        <f t="shared" si="33"/>
        <v>2.3000005376525232</v>
      </c>
      <c r="I228" s="14">
        <f t="shared" si="36"/>
        <v>400.27743805394175</v>
      </c>
      <c r="J228" s="19">
        <f t="shared" si="37"/>
        <v>972499.91337129369</v>
      </c>
      <c r="K228" s="16">
        <f t="shared" si="35"/>
        <v>0.96862541172439609</v>
      </c>
    </row>
    <row r="229" spans="1:11" x14ac:dyDescent="0.15">
      <c r="A229" s="7">
        <v>39235.481921296298</v>
      </c>
      <c r="B229">
        <v>42.1</v>
      </c>
      <c r="C229" s="6">
        <f t="shared" si="29"/>
        <v>418.00000027287751</v>
      </c>
      <c r="D229" t="str">
        <f t="shared" si="30"/>
        <v/>
      </c>
      <c r="E229">
        <f t="shared" si="34"/>
        <v>39235.481921296298</v>
      </c>
      <c r="F229" s="4">
        <f t="shared" si="31"/>
        <v>2.2000000000000028</v>
      </c>
      <c r="G229" s="4">
        <f t="shared" si="32"/>
        <v>1.1000000000000014</v>
      </c>
      <c r="H229" s="5">
        <f t="shared" si="33"/>
        <v>2.1999998227693167</v>
      </c>
      <c r="I229" s="14">
        <f t="shared" si="36"/>
        <v>382.87395083655747</v>
      </c>
      <c r="J229" s="19">
        <f t="shared" si="37"/>
        <v>972882.78732213029</v>
      </c>
      <c r="K229" s="16">
        <f t="shared" si="35"/>
        <v>0.9690067602810063</v>
      </c>
    </row>
    <row r="230" spans="1:11" x14ac:dyDescent="0.15">
      <c r="A230" s="7">
        <v>39235.481944444444</v>
      </c>
      <c r="B230">
        <v>42</v>
      </c>
      <c r="C230" s="6">
        <f t="shared" si="29"/>
        <v>420.00000011175871</v>
      </c>
      <c r="D230" t="str">
        <f t="shared" si="30"/>
        <v/>
      </c>
      <c r="E230">
        <f t="shared" si="34"/>
        <v>39235.481944444444</v>
      </c>
      <c r="F230" s="4">
        <f t="shared" si="31"/>
        <v>2.1000000000000014</v>
      </c>
      <c r="G230" s="4">
        <f t="shared" si="32"/>
        <v>1.0500000000000007</v>
      </c>
      <c r="H230" s="5">
        <f t="shared" si="33"/>
        <v>2.1499998267972864</v>
      </c>
      <c r="I230" s="14">
        <f t="shared" si="36"/>
        <v>374.17227013572659</v>
      </c>
      <c r="J230" s="19">
        <f t="shared" si="37"/>
        <v>973256.95959226601</v>
      </c>
      <c r="K230" s="16">
        <f t="shared" si="35"/>
        <v>0.96937944182496616</v>
      </c>
    </row>
    <row r="231" spans="1:11" x14ac:dyDescent="0.15">
      <c r="A231" s="7">
        <v>39235.48196759259</v>
      </c>
      <c r="B231">
        <v>42</v>
      </c>
      <c r="C231" s="6">
        <f t="shared" si="29"/>
        <v>421.9999999506399</v>
      </c>
      <c r="D231" t="str">
        <f t="shared" si="30"/>
        <v/>
      </c>
      <c r="E231">
        <f t="shared" si="34"/>
        <v>39235.48196759259</v>
      </c>
      <c r="F231" s="4">
        <f t="shared" si="31"/>
        <v>2.1000000000000014</v>
      </c>
      <c r="G231" s="4">
        <f t="shared" si="32"/>
        <v>1.0500000000000007</v>
      </c>
      <c r="H231" s="5">
        <f t="shared" si="33"/>
        <v>2.0999998308252557</v>
      </c>
      <c r="I231" s="14">
        <f t="shared" si="36"/>
        <v>365.47058943489554</v>
      </c>
      <c r="J231" s="19">
        <f t="shared" si="37"/>
        <v>973622.43018170085</v>
      </c>
      <c r="K231" s="16">
        <f t="shared" si="35"/>
        <v>0.96974345635627579</v>
      </c>
    </row>
    <row r="232" spans="1:11" x14ac:dyDescent="0.15">
      <c r="A232" s="7">
        <v>39235.481990740744</v>
      </c>
      <c r="B232">
        <v>41.7</v>
      </c>
      <c r="C232" s="6">
        <f t="shared" si="29"/>
        <v>424.00000041816384</v>
      </c>
      <c r="D232" t="str">
        <f t="shared" si="30"/>
        <v/>
      </c>
      <c r="E232">
        <f t="shared" si="34"/>
        <v>39235.481990740744</v>
      </c>
      <c r="F232" s="4">
        <f t="shared" si="31"/>
        <v>1.8000000000000043</v>
      </c>
      <c r="G232" s="4">
        <f t="shared" si="32"/>
        <v>0.90000000000000213</v>
      </c>
      <c r="H232" s="5">
        <f t="shared" si="33"/>
        <v>1.950000455835837</v>
      </c>
      <c r="I232" s="14">
        <f t="shared" si="36"/>
        <v>339.36565400225533</v>
      </c>
      <c r="J232" s="19">
        <f t="shared" si="37"/>
        <v>973961.79583570315</v>
      </c>
      <c r="K232" s="16">
        <f t="shared" si="35"/>
        <v>0.97008146995587963</v>
      </c>
    </row>
    <row r="233" spans="1:11" x14ac:dyDescent="0.15">
      <c r="A233" s="7">
        <v>39235.48201388889</v>
      </c>
      <c r="B233">
        <v>41.7</v>
      </c>
      <c r="C233" s="6">
        <f t="shared" si="29"/>
        <v>426.00000025704503</v>
      </c>
      <c r="D233" t="str">
        <f t="shared" si="30"/>
        <v/>
      </c>
      <c r="E233">
        <f t="shared" si="34"/>
        <v>39235.48201388889</v>
      </c>
      <c r="F233" s="4">
        <f t="shared" si="31"/>
        <v>1.8000000000000043</v>
      </c>
      <c r="G233" s="4">
        <f t="shared" si="32"/>
        <v>0.90000000000000213</v>
      </c>
      <c r="H233" s="5">
        <f t="shared" si="33"/>
        <v>1.7999998549930794</v>
      </c>
      <c r="I233" s="14">
        <f t="shared" si="36"/>
        <v>313.26050522991102</v>
      </c>
      <c r="J233" s="19">
        <f t="shared" si="37"/>
        <v>974275.05634093308</v>
      </c>
      <c r="K233" s="16">
        <f t="shared" si="35"/>
        <v>0.97039348241128798</v>
      </c>
    </row>
    <row r="234" spans="1:11" x14ac:dyDescent="0.15">
      <c r="A234" s="7">
        <v>39235.482037037036</v>
      </c>
      <c r="B234">
        <v>41.7</v>
      </c>
      <c r="C234" s="6">
        <f t="shared" ref="C234:C297" si="38">(A234-$B$4)*24*60*60</f>
        <v>428.00000009592623</v>
      </c>
      <c r="D234" t="str">
        <f t="shared" ref="D234:D297" si="39">IF(F234=$B$8,A234,"")</f>
        <v/>
      </c>
      <c r="E234">
        <f t="shared" si="34"/>
        <v>39235.482037037036</v>
      </c>
      <c r="F234" s="4">
        <f t="shared" ref="F234:F297" si="40">IF((B234-$B$6)&gt;0,B234-$B$6,0)</f>
        <v>1.8000000000000043</v>
      </c>
      <c r="G234" s="4">
        <f t="shared" ref="G234:G297" si="41">F234/2</f>
        <v>0.90000000000000213</v>
      </c>
      <c r="H234" s="5">
        <f t="shared" ref="H234:H297" si="42">AVERAGE(G233:G234)*(C234-C233)</f>
        <v>1.7999998549930794</v>
      </c>
      <c r="I234" s="14">
        <f t="shared" si="36"/>
        <v>313.26050522991102</v>
      </c>
      <c r="J234" s="19">
        <f t="shared" si="37"/>
        <v>974588.31684616301</v>
      </c>
      <c r="K234" s="16">
        <f t="shared" si="35"/>
        <v>0.97070549486669622</v>
      </c>
    </row>
    <row r="235" spans="1:11" x14ac:dyDescent="0.15">
      <c r="A235" s="7">
        <v>39235.482060185182</v>
      </c>
      <c r="B235">
        <v>41.8</v>
      </c>
      <c r="C235" s="6">
        <f t="shared" si="38"/>
        <v>429.99999993480742</v>
      </c>
      <c r="D235" t="str">
        <f t="shared" si="39"/>
        <v/>
      </c>
      <c r="E235">
        <f t="shared" si="34"/>
        <v>39235.482060185182</v>
      </c>
      <c r="F235" s="4">
        <f t="shared" si="40"/>
        <v>1.8999999999999986</v>
      </c>
      <c r="G235" s="4">
        <f t="shared" si="41"/>
        <v>0.94999999999999929</v>
      </c>
      <c r="H235" s="5">
        <f t="shared" si="42"/>
        <v>1.8499998509651063</v>
      </c>
      <c r="I235" s="14">
        <f t="shared" si="36"/>
        <v>321.96218593074138</v>
      </c>
      <c r="J235" s="19">
        <f t="shared" si="37"/>
        <v>974910.27903209371</v>
      </c>
      <c r="K235" s="16">
        <f t="shared" si="35"/>
        <v>0.97102617433475469</v>
      </c>
    </row>
    <row r="236" spans="1:11" x14ac:dyDescent="0.15">
      <c r="A236" s="7">
        <v>39235.482083333336</v>
      </c>
      <c r="B236">
        <v>41.8</v>
      </c>
      <c r="C236" s="6">
        <f t="shared" si="38"/>
        <v>432.00000040233135</v>
      </c>
      <c r="D236" t="str">
        <f t="shared" si="39"/>
        <v/>
      </c>
      <c r="E236">
        <f t="shared" si="34"/>
        <v>39235.482083333336</v>
      </c>
      <c r="F236" s="4">
        <f t="shared" si="40"/>
        <v>1.8999999999999986</v>
      </c>
      <c r="G236" s="4">
        <f t="shared" si="41"/>
        <v>0.94999999999999929</v>
      </c>
      <c r="H236" s="5">
        <f t="shared" si="42"/>
        <v>1.9000004441477345</v>
      </c>
      <c r="I236" s="14">
        <f t="shared" si="36"/>
        <v>330.66397056629933</v>
      </c>
      <c r="J236" s="19">
        <f t="shared" si="37"/>
        <v>975240.94300266006</v>
      </c>
      <c r="K236" s="16">
        <f t="shared" si="35"/>
        <v>0.97135552091898414</v>
      </c>
    </row>
    <row r="237" spans="1:11" x14ac:dyDescent="0.15">
      <c r="A237" s="7">
        <v>39235.482106481482</v>
      </c>
      <c r="B237">
        <v>42</v>
      </c>
      <c r="C237" s="6">
        <f t="shared" si="38"/>
        <v>434.00000024121255</v>
      </c>
      <c r="D237" t="str">
        <f t="shared" si="39"/>
        <v/>
      </c>
      <c r="E237">
        <f t="shared" si="34"/>
        <v>39235.482106481482</v>
      </c>
      <c r="F237" s="4">
        <f t="shared" si="40"/>
        <v>2.1000000000000014</v>
      </c>
      <c r="G237" s="4">
        <f t="shared" si="41"/>
        <v>1.0500000000000007</v>
      </c>
      <c r="H237" s="5">
        <f t="shared" si="42"/>
        <v>1.9999998388811946</v>
      </c>
      <c r="I237" s="14">
        <f t="shared" si="36"/>
        <v>348.06722803323368</v>
      </c>
      <c r="J237" s="19">
        <f t="shared" si="37"/>
        <v>975589.01023069327</v>
      </c>
      <c r="K237" s="16">
        <f t="shared" si="35"/>
        <v>0.97170220142499331</v>
      </c>
    </row>
    <row r="238" spans="1:11" x14ac:dyDescent="0.15">
      <c r="A238" s="7">
        <v>39235.482129629629</v>
      </c>
      <c r="B238">
        <v>41.7</v>
      </c>
      <c r="C238" s="6">
        <f t="shared" si="38"/>
        <v>436.00000008009374</v>
      </c>
      <c r="D238" t="str">
        <f t="shared" si="39"/>
        <v/>
      </c>
      <c r="E238">
        <f t="shared" si="34"/>
        <v>39235.482129629629</v>
      </c>
      <c r="F238" s="4">
        <f t="shared" si="40"/>
        <v>1.8000000000000043</v>
      </c>
      <c r="G238" s="4">
        <f t="shared" si="41"/>
        <v>0.90000000000000213</v>
      </c>
      <c r="H238" s="5">
        <f t="shared" si="42"/>
        <v>1.9499998429091676</v>
      </c>
      <c r="I238" s="14">
        <f t="shared" si="36"/>
        <v>339.36554733240331</v>
      </c>
      <c r="J238" s="19">
        <f t="shared" si="37"/>
        <v>975928.37577802571</v>
      </c>
      <c r="K238" s="16">
        <f t="shared" si="35"/>
        <v>0.97204021491835235</v>
      </c>
    </row>
    <row r="239" spans="1:11" x14ac:dyDescent="0.15">
      <c r="A239" s="7">
        <v>39235.482152777775</v>
      </c>
      <c r="B239">
        <v>41.5</v>
      </c>
      <c r="C239" s="6">
        <f t="shared" si="38"/>
        <v>437.99999991897494</v>
      </c>
      <c r="D239" t="str">
        <f t="shared" si="39"/>
        <v/>
      </c>
      <c r="E239">
        <f t="shared" si="34"/>
        <v>39235.482152777775</v>
      </c>
      <c r="F239" s="4">
        <f t="shared" si="40"/>
        <v>1.6000000000000014</v>
      </c>
      <c r="G239" s="4">
        <f t="shared" si="41"/>
        <v>0.80000000000000071</v>
      </c>
      <c r="H239" s="5">
        <f t="shared" si="42"/>
        <v>1.6999998630490183</v>
      </c>
      <c r="I239" s="14">
        <f t="shared" si="36"/>
        <v>295.85714382824909</v>
      </c>
      <c r="J239" s="19">
        <f t="shared" si="37"/>
        <v>976224.23292185401</v>
      </c>
      <c r="K239" s="16">
        <f t="shared" si="35"/>
        <v>0.97233489334846013</v>
      </c>
    </row>
    <row r="240" spans="1:11" x14ac:dyDescent="0.15">
      <c r="A240" s="7">
        <v>39235.482175925928</v>
      </c>
      <c r="B240">
        <v>41.7</v>
      </c>
      <c r="C240" s="6">
        <f t="shared" si="38"/>
        <v>440.00000038649887</v>
      </c>
      <c r="D240" t="str">
        <f t="shared" si="39"/>
        <v/>
      </c>
      <c r="E240">
        <f t="shared" si="34"/>
        <v>39235.482175925928</v>
      </c>
      <c r="F240" s="4">
        <f t="shared" si="40"/>
        <v>1.8000000000000043</v>
      </c>
      <c r="G240" s="4">
        <f t="shared" si="41"/>
        <v>0.90000000000000213</v>
      </c>
      <c r="H240" s="5">
        <f t="shared" si="42"/>
        <v>1.7000003973953455</v>
      </c>
      <c r="I240" s="14">
        <f t="shared" si="36"/>
        <v>295.85723682247908</v>
      </c>
      <c r="J240" s="19">
        <f t="shared" si="37"/>
        <v>976520.0901586765</v>
      </c>
      <c r="K240" s="16">
        <f t="shared" si="35"/>
        <v>0.9726295718711917</v>
      </c>
    </row>
    <row r="241" spans="1:11" x14ac:dyDescent="0.15">
      <c r="A241" s="7">
        <v>39235.482199074075</v>
      </c>
      <c r="B241">
        <v>41.7</v>
      </c>
      <c r="C241" s="6">
        <f t="shared" si="38"/>
        <v>442.00000022538006</v>
      </c>
      <c r="D241" t="str">
        <f t="shared" si="39"/>
        <v/>
      </c>
      <c r="E241">
        <f t="shared" si="34"/>
        <v>39235.482199074075</v>
      </c>
      <c r="F241" s="4">
        <f t="shared" si="40"/>
        <v>1.8000000000000043</v>
      </c>
      <c r="G241" s="4">
        <f t="shared" si="41"/>
        <v>0.90000000000000213</v>
      </c>
      <c r="H241" s="5">
        <f t="shared" si="42"/>
        <v>1.7999998549930794</v>
      </c>
      <c r="I241" s="14">
        <f t="shared" si="36"/>
        <v>313.26050522991102</v>
      </c>
      <c r="J241" s="19">
        <f t="shared" si="37"/>
        <v>976833.35066390643</v>
      </c>
      <c r="K241" s="16">
        <f t="shared" si="35"/>
        <v>0.97294158432660005</v>
      </c>
    </row>
    <row r="242" spans="1:11" x14ac:dyDescent="0.15">
      <c r="A242" s="7">
        <v>39235.482222222221</v>
      </c>
      <c r="B242">
        <v>41.5</v>
      </c>
      <c r="C242" s="6">
        <f t="shared" si="38"/>
        <v>444.00000006426126</v>
      </c>
      <c r="D242" t="str">
        <f t="shared" si="39"/>
        <v/>
      </c>
      <c r="E242">
        <f t="shared" si="34"/>
        <v>39235.482222222221</v>
      </c>
      <c r="F242" s="4">
        <f t="shared" si="40"/>
        <v>1.6000000000000014</v>
      </c>
      <c r="G242" s="4">
        <f t="shared" si="41"/>
        <v>0.80000000000000071</v>
      </c>
      <c r="H242" s="5">
        <f t="shared" si="42"/>
        <v>1.6999998630490183</v>
      </c>
      <c r="I242" s="14">
        <f t="shared" si="36"/>
        <v>295.85714382824909</v>
      </c>
      <c r="J242" s="19">
        <f t="shared" si="37"/>
        <v>977129.20780773473</v>
      </c>
      <c r="K242" s="16">
        <f t="shared" si="35"/>
        <v>0.97323626275670794</v>
      </c>
    </row>
    <row r="243" spans="1:11" x14ac:dyDescent="0.15">
      <c r="A243" s="7">
        <v>39235.482245370367</v>
      </c>
      <c r="B243">
        <v>41.6</v>
      </c>
      <c r="C243" s="6">
        <f t="shared" si="38"/>
        <v>445.99999990314245</v>
      </c>
      <c r="D243" t="str">
        <f t="shared" si="39"/>
        <v/>
      </c>
      <c r="E243">
        <f t="shared" si="34"/>
        <v>39235.482245370367</v>
      </c>
      <c r="F243" s="4">
        <f t="shared" si="40"/>
        <v>1.7000000000000028</v>
      </c>
      <c r="G243" s="4">
        <f t="shared" si="41"/>
        <v>0.85000000000000142</v>
      </c>
      <c r="H243" s="5">
        <f t="shared" si="42"/>
        <v>1.6499998670769878</v>
      </c>
      <c r="I243" s="14">
        <f t="shared" si="36"/>
        <v>287.15546312741816</v>
      </c>
      <c r="J243" s="19">
        <f t="shared" si="37"/>
        <v>977416.36327086214</v>
      </c>
      <c r="K243" s="16">
        <f t="shared" si="35"/>
        <v>0.97352227417416548</v>
      </c>
    </row>
    <row r="244" spans="1:11" x14ac:dyDescent="0.15">
      <c r="A244" s="7">
        <v>39235.482268518521</v>
      </c>
      <c r="B244">
        <v>41.4</v>
      </c>
      <c r="C244" s="6">
        <f t="shared" si="38"/>
        <v>448.00000037066638</v>
      </c>
      <c r="D244" t="str">
        <f t="shared" si="39"/>
        <v/>
      </c>
      <c r="E244">
        <f t="shared" si="34"/>
        <v>39235.482268518521</v>
      </c>
      <c r="F244" s="4">
        <f t="shared" si="40"/>
        <v>1.5</v>
      </c>
      <c r="G244" s="4">
        <f t="shared" si="41"/>
        <v>0.75</v>
      </c>
      <c r="H244" s="5">
        <f t="shared" si="42"/>
        <v>1.6000003740191473</v>
      </c>
      <c r="I244" s="14">
        <f t="shared" si="36"/>
        <v>278.45386995056828</v>
      </c>
      <c r="J244" s="19">
        <f t="shared" si="37"/>
        <v>977694.81714081275</v>
      </c>
      <c r="K244" s="16">
        <f t="shared" si="35"/>
        <v>0.97379961866614817</v>
      </c>
    </row>
    <row r="245" spans="1:11" x14ac:dyDescent="0.15">
      <c r="A245" s="7">
        <v>39235.482291666667</v>
      </c>
      <c r="B245">
        <v>41.4</v>
      </c>
      <c r="C245" s="6">
        <f t="shared" si="38"/>
        <v>450.00000020954758</v>
      </c>
      <c r="D245" t="str">
        <f t="shared" si="39"/>
        <v/>
      </c>
      <c r="E245">
        <f t="shared" si="34"/>
        <v>39235.482291666667</v>
      </c>
      <c r="F245" s="4">
        <f t="shared" si="40"/>
        <v>1.5</v>
      </c>
      <c r="G245" s="4">
        <f t="shared" si="41"/>
        <v>0.75</v>
      </c>
      <c r="H245" s="5">
        <f t="shared" si="42"/>
        <v>1.4999998791608959</v>
      </c>
      <c r="I245" s="14">
        <f t="shared" si="36"/>
        <v>261.05042102492524</v>
      </c>
      <c r="J245" s="19">
        <f t="shared" si="37"/>
        <v>977955.86756183766</v>
      </c>
      <c r="K245" s="16">
        <f t="shared" si="35"/>
        <v>0.97405962904565502</v>
      </c>
    </row>
    <row r="246" spans="1:11" x14ac:dyDescent="0.15">
      <c r="A246" s="7">
        <v>39235.482314814813</v>
      </c>
      <c r="B246">
        <v>41.6</v>
      </c>
      <c r="C246" s="6">
        <f t="shared" si="38"/>
        <v>452.00000004842877</v>
      </c>
      <c r="D246" t="str">
        <f t="shared" si="39"/>
        <v/>
      </c>
      <c r="E246">
        <f t="shared" si="34"/>
        <v>39235.482314814813</v>
      </c>
      <c r="F246" s="4">
        <f t="shared" si="40"/>
        <v>1.7000000000000028</v>
      </c>
      <c r="G246" s="4">
        <f t="shared" si="41"/>
        <v>0.85000000000000142</v>
      </c>
      <c r="H246" s="5">
        <f t="shared" si="42"/>
        <v>1.599999871104957</v>
      </c>
      <c r="I246" s="14">
        <f t="shared" si="36"/>
        <v>278.45378242658717</v>
      </c>
      <c r="J246" s="19">
        <f t="shared" si="37"/>
        <v>978234.3213442642</v>
      </c>
      <c r="K246" s="16">
        <f t="shared" si="35"/>
        <v>0.97433697345046233</v>
      </c>
    </row>
    <row r="247" spans="1:11" x14ac:dyDescent="0.15">
      <c r="A247" s="7">
        <v>39235.48233796296</v>
      </c>
      <c r="B247">
        <v>41.4</v>
      </c>
      <c r="C247" s="6">
        <f t="shared" si="38"/>
        <v>453.99999988730997</v>
      </c>
      <c r="D247" t="str">
        <f t="shared" si="39"/>
        <v/>
      </c>
      <c r="E247">
        <f t="shared" si="34"/>
        <v>39235.48233796296</v>
      </c>
      <c r="F247" s="4">
        <f t="shared" si="40"/>
        <v>1.5</v>
      </c>
      <c r="G247" s="4">
        <f t="shared" si="41"/>
        <v>0.75</v>
      </c>
      <c r="H247" s="5">
        <f t="shared" si="42"/>
        <v>1.599999871104957</v>
      </c>
      <c r="I247" s="14">
        <f t="shared" si="36"/>
        <v>278.45378242658717</v>
      </c>
      <c r="J247" s="19">
        <f t="shared" si="37"/>
        <v>978512.77512669074</v>
      </c>
      <c r="K247" s="16">
        <f t="shared" si="35"/>
        <v>0.97461431785526964</v>
      </c>
    </row>
    <row r="248" spans="1:11" x14ac:dyDescent="0.15">
      <c r="A248" s="7">
        <v>39235.482361111113</v>
      </c>
      <c r="B248">
        <v>41.4</v>
      </c>
      <c r="C248" s="6">
        <f t="shared" si="38"/>
        <v>456.0000003548339</v>
      </c>
      <c r="D248" t="str">
        <f t="shared" si="39"/>
        <v/>
      </c>
      <c r="E248">
        <f t="shared" si="34"/>
        <v>39235.482361111113</v>
      </c>
      <c r="F248" s="4">
        <f t="shared" si="40"/>
        <v>1.5</v>
      </c>
      <c r="G248" s="4">
        <f t="shared" si="41"/>
        <v>0.75</v>
      </c>
      <c r="H248" s="5">
        <f t="shared" si="42"/>
        <v>1.5000003506429493</v>
      </c>
      <c r="I248" s="14">
        <f t="shared" si="36"/>
        <v>261.05050307865753</v>
      </c>
      <c r="J248" s="19">
        <f t="shared" si="37"/>
        <v>978773.82562976936</v>
      </c>
      <c r="K248" s="16">
        <f t="shared" si="35"/>
        <v>0.97487432831650334</v>
      </c>
    </row>
    <row r="249" spans="1:11" x14ac:dyDescent="0.15">
      <c r="A249" s="7">
        <v>39235.48238425926</v>
      </c>
      <c r="B249">
        <v>41.4</v>
      </c>
      <c r="C249" s="6">
        <f t="shared" si="38"/>
        <v>458.0000001937151</v>
      </c>
      <c r="D249" t="str">
        <f t="shared" si="39"/>
        <v/>
      </c>
      <c r="E249">
        <f t="shared" si="34"/>
        <v>39235.48238425926</v>
      </c>
      <c r="F249" s="4">
        <f t="shared" si="40"/>
        <v>1.5</v>
      </c>
      <c r="G249" s="4">
        <f t="shared" si="41"/>
        <v>0.75</v>
      </c>
      <c r="H249" s="5">
        <f t="shared" si="42"/>
        <v>1.4999998791608959</v>
      </c>
      <c r="I249" s="14">
        <f t="shared" si="36"/>
        <v>261.05042102492524</v>
      </c>
      <c r="J249" s="19">
        <f t="shared" si="37"/>
        <v>979034.87605079426</v>
      </c>
      <c r="K249" s="16">
        <f t="shared" si="35"/>
        <v>0.97513433869601018</v>
      </c>
    </row>
    <row r="250" spans="1:11" x14ac:dyDescent="0.15">
      <c r="A250" s="7">
        <v>39235.482407407406</v>
      </c>
      <c r="B250">
        <v>41.4</v>
      </c>
      <c r="C250" s="6">
        <f t="shared" si="38"/>
        <v>460.00000003259629</v>
      </c>
      <c r="D250" t="str">
        <f t="shared" si="39"/>
        <v/>
      </c>
      <c r="E250">
        <f t="shared" si="34"/>
        <v>39235.482407407406</v>
      </c>
      <c r="F250" s="4">
        <f t="shared" si="40"/>
        <v>1.5</v>
      </c>
      <c r="G250" s="4">
        <f t="shared" si="41"/>
        <v>0.75</v>
      </c>
      <c r="H250" s="5">
        <f t="shared" si="42"/>
        <v>1.4999998791608959</v>
      </c>
      <c r="I250" s="14">
        <f t="shared" si="36"/>
        <v>261.05042102492524</v>
      </c>
      <c r="J250" s="19">
        <f t="shared" si="37"/>
        <v>979295.92647181917</v>
      </c>
      <c r="K250" s="16">
        <f t="shared" si="35"/>
        <v>0.97539434907551714</v>
      </c>
    </row>
    <row r="251" spans="1:11" x14ac:dyDescent="0.15">
      <c r="A251" s="7">
        <v>39235.482430555552</v>
      </c>
      <c r="B251">
        <v>41.3</v>
      </c>
      <c r="C251" s="6">
        <f t="shared" si="38"/>
        <v>461.99999987147748</v>
      </c>
      <c r="D251" t="str">
        <f t="shared" si="39"/>
        <v/>
      </c>
      <c r="E251">
        <f t="shared" si="34"/>
        <v>39235.482430555552</v>
      </c>
      <c r="F251" s="4">
        <f t="shared" si="40"/>
        <v>1.3999999999999986</v>
      </c>
      <c r="G251" s="4">
        <f t="shared" si="41"/>
        <v>0.69999999999999929</v>
      </c>
      <c r="H251" s="5">
        <f t="shared" si="42"/>
        <v>1.4499998831888654</v>
      </c>
      <c r="I251" s="14">
        <f t="shared" si="36"/>
        <v>252.34874032409428</v>
      </c>
      <c r="J251" s="19">
        <f t="shared" si="37"/>
        <v>979548.27521214332</v>
      </c>
      <c r="K251" s="16">
        <f t="shared" si="35"/>
        <v>0.97564569244237387</v>
      </c>
    </row>
    <row r="252" spans="1:11" x14ac:dyDescent="0.15">
      <c r="A252" s="7">
        <v>39235.482453703706</v>
      </c>
      <c r="B252">
        <v>41.4</v>
      </c>
      <c r="C252" s="6">
        <f t="shared" si="38"/>
        <v>464.00000033900142</v>
      </c>
      <c r="D252" t="str">
        <f t="shared" si="39"/>
        <v/>
      </c>
      <c r="E252">
        <f t="shared" si="34"/>
        <v>39235.482453703706</v>
      </c>
      <c r="F252" s="4">
        <f t="shared" si="40"/>
        <v>1.5</v>
      </c>
      <c r="G252" s="4">
        <f t="shared" si="41"/>
        <v>0.75</v>
      </c>
      <c r="H252" s="5">
        <f t="shared" si="42"/>
        <v>1.4500003389548504</v>
      </c>
      <c r="I252" s="14">
        <f t="shared" si="36"/>
        <v>252.34881964270218</v>
      </c>
      <c r="J252" s="19">
        <f t="shared" si="37"/>
        <v>979800.62403178599</v>
      </c>
      <c r="K252" s="16">
        <f t="shared" si="35"/>
        <v>0.97589703588823307</v>
      </c>
    </row>
    <row r="253" spans="1:11" x14ac:dyDescent="0.15">
      <c r="A253" s="7">
        <v>39235.482476851852</v>
      </c>
      <c r="B253">
        <v>41.3</v>
      </c>
      <c r="C253" s="6">
        <f t="shared" si="38"/>
        <v>466.00000017788261</v>
      </c>
      <c r="D253" t="str">
        <f t="shared" si="39"/>
        <v/>
      </c>
      <c r="E253">
        <f t="shared" si="34"/>
        <v>39235.482476851852</v>
      </c>
      <c r="F253" s="4">
        <f t="shared" si="40"/>
        <v>1.3999999999999986</v>
      </c>
      <c r="G253" s="4">
        <f t="shared" si="41"/>
        <v>0.69999999999999929</v>
      </c>
      <c r="H253" s="5">
        <f t="shared" si="42"/>
        <v>1.4499998831888654</v>
      </c>
      <c r="I253" s="14">
        <f t="shared" si="36"/>
        <v>252.34874032409428</v>
      </c>
      <c r="J253" s="19">
        <f t="shared" si="37"/>
        <v>980052.97277211014</v>
      </c>
      <c r="K253" s="16">
        <f t="shared" si="35"/>
        <v>0.97614837925508979</v>
      </c>
    </row>
    <row r="254" spans="1:11" x14ac:dyDescent="0.15">
      <c r="A254" s="7">
        <v>39235.482499999998</v>
      </c>
      <c r="B254">
        <v>41.3</v>
      </c>
      <c r="C254" s="6">
        <f t="shared" si="38"/>
        <v>468.00000001676381</v>
      </c>
      <c r="D254" t="str">
        <f t="shared" si="39"/>
        <v/>
      </c>
      <c r="E254">
        <f t="shared" si="34"/>
        <v>39235.482499999998</v>
      </c>
      <c r="F254" s="4">
        <f t="shared" si="40"/>
        <v>1.3999999999999986</v>
      </c>
      <c r="G254" s="4">
        <f t="shared" si="41"/>
        <v>0.69999999999999929</v>
      </c>
      <c r="H254" s="5">
        <f t="shared" si="42"/>
        <v>1.3999998872168349</v>
      </c>
      <c r="I254" s="14">
        <f t="shared" si="36"/>
        <v>243.64705962326332</v>
      </c>
      <c r="J254" s="19">
        <f t="shared" si="37"/>
        <v>980296.61983173341</v>
      </c>
      <c r="K254" s="16">
        <f t="shared" si="35"/>
        <v>0.97639105560929618</v>
      </c>
    </row>
    <row r="255" spans="1:11" x14ac:dyDescent="0.15">
      <c r="A255" s="7">
        <v>39235.482523148145</v>
      </c>
      <c r="B255">
        <v>41.1</v>
      </c>
      <c r="C255" s="6">
        <f t="shared" si="38"/>
        <v>469.999999855645</v>
      </c>
      <c r="D255" t="str">
        <f t="shared" si="39"/>
        <v/>
      </c>
      <c r="E255">
        <f t="shared" si="34"/>
        <v>39235.482523148145</v>
      </c>
      <c r="F255" s="4">
        <f t="shared" si="40"/>
        <v>1.2000000000000028</v>
      </c>
      <c r="G255" s="4">
        <f t="shared" si="41"/>
        <v>0.60000000000000142</v>
      </c>
      <c r="H255" s="5">
        <f t="shared" si="42"/>
        <v>1.2999998952727772</v>
      </c>
      <c r="I255" s="14">
        <f t="shared" si="36"/>
        <v>226.24369822160199</v>
      </c>
      <c r="J255" s="19">
        <f t="shared" si="37"/>
        <v>980522.86352995504</v>
      </c>
      <c r="K255" s="16">
        <f t="shared" si="35"/>
        <v>0.97661639793820221</v>
      </c>
    </row>
    <row r="256" spans="1:11" x14ac:dyDescent="0.15">
      <c r="A256" s="7">
        <v>39235.482546296298</v>
      </c>
      <c r="B256">
        <v>41.1</v>
      </c>
      <c r="C256" s="6">
        <f t="shared" si="38"/>
        <v>472.00000032316893</v>
      </c>
      <c r="D256" t="str">
        <f t="shared" si="39"/>
        <v/>
      </c>
      <c r="E256">
        <f t="shared" si="34"/>
        <v>39235.482546296298</v>
      </c>
      <c r="F256" s="4">
        <f t="shared" si="40"/>
        <v>1.2000000000000028</v>
      </c>
      <c r="G256" s="4">
        <f t="shared" si="41"/>
        <v>0.60000000000000142</v>
      </c>
      <c r="H256" s="5">
        <f t="shared" si="42"/>
        <v>1.2000002805143624</v>
      </c>
      <c r="I256" s="14">
        <f t="shared" si="36"/>
        <v>208.84040246292653</v>
      </c>
      <c r="J256" s="19">
        <f t="shared" si="37"/>
        <v>980731.70393241791</v>
      </c>
      <c r="K256" s="16">
        <f t="shared" si="35"/>
        <v>0.97682440630718914</v>
      </c>
    </row>
    <row r="257" spans="1:11" x14ac:dyDescent="0.15">
      <c r="A257" s="7">
        <v>39235.482569444444</v>
      </c>
      <c r="B257">
        <v>41.1</v>
      </c>
      <c r="C257" s="6">
        <f t="shared" si="38"/>
        <v>474.00000016205013</v>
      </c>
      <c r="D257" t="str">
        <f t="shared" si="39"/>
        <v/>
      </c>
      <c r="E257">
        <f t="shared" si="34"/>
        <v>39235.482569444444</v>
      </c>
      <c r="F257" s="4">
        <f t="shared" si="40"/>
        <v>1.2000000000000028</v>
      </c>
      <c r="G257" s="4">
        <f t="shared" si="41"/>
        <v>0.60000000000000142</v>
      </c>
      <c r="H257" s="5">
        <f t="shared" si="42"/>
        <v>1.1999999033287196</v>
      </c>
      <c r="I257" s="14">
        <f t="shared" si="36"/>
        <v>208.84033681994069</v>
      </c>
      <c r="J257" s="19">
        <f t="shared" si="37"/>
        <v>980940.5442692379</v>
      </c>
      <c r="K257" s="16">
        <f t="shared" si="35"/>
        <v>0.97703241461079471</v>
      </c>
    </row>
    <row r="258" spans="1:11" x14ac:dyDescent="0.15">
      <c r="A258" s="7">
        <v>39235.482592592591</v>
      </c>
      <c r="B258">
        <v>41</v>
      </c>
      <c r="C258" s="6">
        <f t="shared" si="38"/>
        <v>476.00000000093132</v>
      </c>
      <c r="D258" t="str">
        <f t="shared" si="39"/>
        <v/>
      </c>
      <c r="E258">
        <f t="shared" si="34"/>
        <v>39235.482592592591</v>
      </c>
      <c r="F258" s="4">
        <f t="shared" si="40"/>
        <v>1.1000000000000014</v>
      </c>
      <c r="G258" s="4">
        <f t="shared" si="41"/>
        <v>0.55000000000000071</v>
      </c>
      <c r="H258" s="5">
        <f t="shared" si="42"/>
        <v>1.1499999073566891</v>
      </c>
      <c r="I258" s="14">
        <f t="shared" si="36"/>
        <v>200.13865611910973</v>
      </c>
      <c r="J258" s="19">
        <f t="shared" si="37"/>
        <v>981140.68292535702</v>
      </c>
      <c r="K258" s="16">
        <f t="shared" si="35"/>
        <v>0.97723175590175004</v>
      </c>
    </row>
    <row r="259" spans="1:11" x14ac:dyDescent="0.15">
      <c r="A259" s="7">
        <v>39235.482615740744</v>
      </c>
      <c r="B259">
        <v>41.1</v>
      </c>
      <c r="C259" s="6">
        <f t="shared" si="38"/>
        <v>478.00000046845526</v>
      </c>
      <c r="D259" t="str">
        <f t="shared" si="39"/>
        <v/>
      </c>
      <c r="E259">
        <f t="shared" si="34"/>
        <v>39235.482615740744</v>
      </c>
      <c r="F259" s="4">
        <f t="shared" si="40"/>
        <v>1.2000000000000028</v>
      </c>
      <c r="G259" s="4">
        <f t="shared" si="41"/>
        <v>0.60000000000000142</v>
      </c>
      <c r="H259" s="5">
        <f t="shared" si="42"/>
        <v>1.1500002688262634</v>
      </c>
      <c r="I259" s="14">
        <f t="shared" si="36"/>
        <v>200.13871902697116</v>
      </c>
      <c r="J259" s="19">
        <f t="shared" si="37"/>
        <v>981340.82164438395</v>
      </c>
      <c r="K259" s="16">
        <f t="shared" si="35"/>
        <v>0.97743109725536248</v>
      </c>
    </row>
    <row r="260" spans="1:11" x14ac:dyDescent="0.15">
      <c r="A260" s="7">
        <v>39235.482638888891</v>
      </c>
      <c r="B260">
        <v>41.1</v>
      </c>
      <c r="C260" s="6">
        <f t="shared" si="38"/>
        <v>480.00000030733645</v>
      </c>
      <c r="D260" t="str">
        <f t="shared" si="39"/>
        <v/>
      </c>
      <c r="E260">
        <f t="shared" si="34"/>
        <v>39235.482638888891</v>
      </c>
      <c r="F260" s="4">
        <f t="shared" si="40"/>
        <v>1.2000000000000028</v>
      </c>
      <c r="G260" s="4">
        <f t="shared" si="41"/>
        <v>0.60000000000000142</v>
      </c>
      <c r="H260" s="5">
        <f t="shared" si="42"/>
        <v>1.1999999033287196</v>
      </c>
      <c r="I260" s="14">
        <f t="shared" si="36"/>
        <v>208.84033681994069</v>
      </c>
      <c r="J260" s="19">
        <f t="shared" si="37"/>
        <v>981549.66198120394</v>
      </c>
      <c r="K260" s="16">
        <f t="shared" si="35"/>
        <v>0.97763910555896805</v>
      </c>
    </row>
    <row r="261" spans="1:11" x14ac:dyDescent="0.15">
      <c r="A261" s="7">
        <v>39235.482662037037</v>
      </c>
      <c r="B261">
        <v>41.1</v>
      </c>
      <c r="C261" s="6">
        <f t="shared" si="38"/>
        <v>482.00000014621764</v>
      </c>
      <c r="D261" t="str">
        <f t="shared" si="39"/>
        <v/>
      </c>
      <c r="E261">
        <f t="shared" si="34"/>
        <v>39235.482662037037</v>
      </c>
      <c r="F261" s="4">
        <f t="shared" si="40"/>
        <v>1.2000000000000028</v>
      </c>
      <c r="G261" s="4">
        <f t="shared" si="41"/>
        <v>0.60000000000000142</v>
      </c>
      <c r="H261" s="5">
        <f t="shared" si="42"/>
        <v>1.1999999033287196</v>
      </c>
      <c r="I261" s="14">
        <f t="shared" si="36"/>
        <v>208.84033681994069</v>
      </c>
      <c r="J261" s="19">
        <f t="shared" si="37"/>
        <v>981758.50231802394</v>
      </c>
      <c r="K261" s="16">
        <f t="shared" si="35"/>
        <v>0.97784711386257361</v>
      </c>
    </row>
    <row r="262" spans="1:11" x14ac:dyDescent="0.15">
      <c r="A262" s="7">
        <v>39235.482685185183</v>
      </c>
      <c r="B262">
        <v>41</v>
      </c>
      <c r="C262" s="6">
        <f t="shared" si="38"/>
        <v>483.99999998509884</v>
      </c>
      <c r="D262" t="str">
        <f t="shared" si="39"/>
        <v/>
      </c>
      <c r="E262">
        <f t="shared" si="34"/>
        <v>39235.482685185183</v>
      </c>
      <c r="F262" s="4">
        <f t="shared" si="40"/>
        <v>1.1000000000000014</v>
      </c>
      <c r="G262" s="4">
        <f t="shared" si="41"/>
        <v>0.55000000000000071</v>
      </c>
      <c r="H262" s="5">
        <f t="shared" si="42"/>
        <v>1.1499999073566891</v>
      </c>
      <c r="I262" s="14">
        <f t="shared" si="36"/>
        <v>200.13865611910973</v>
      </c>
      <c r="J262" s="19">
        <f t="shared" si="37"/>
        <v>981958.64097414305</v>
      </c>
      <c r="K262" s="16">
        <f t="shared" si="35"/>
        <v>0.97804645515352895</v>
      </c>
    </row>
    <row r="263" spans="1:11" x14ac:dyDescent="0.15">
      <c r="A263" s="7">
        <v>39235.482708333337</v>
      </c>
      <c r="B263">
        <v>41.1</v>
      </c>
      <c r="C263" s="6">
        <f t="shared" si="38"/>
        <v>486.00000045262277</v>
      </c>
      <c r="D263" t="str">
        <f t="shared" si="39"/>
        <v/>
      </c>
      <c r="E263">
        <f t="shared" si="34"/>
        <v>39235.482708333337</v>
      </c>
      <c r="F263" s="4">
        <f t="shared" si="40"/>
        <v>1.2000000000000028</v>
      </c>
      <c r="G263" s="4">
        <f t="shared" si="41"/>
        <v>0.60000000000000142</v>
      </c>
      <c r="H263" s="5">
        <f t="shared" si="42"/>
        <v>1.1500002688262634</v>
      </c>
      <c r="I263" s="14">
        <f t="shared" si="36"/>
        <v>200.13871902697116</v>
      </c>
      <c r="J263" s="19">
        <f t="shared" si="37"/>
        <v>982158.77969316998</v>
      </c>
      <c r="K263" s="16">
        <f t="shared" si="35"/>
        <v>0.97824579650714139</v>
      </c>
    </row>
    <row r="264" spans="1:11" x14ac:dyDescent="0.15">
      <c r="A264" s="7">
        <v>39235.482731481483</v>
      </c>
      <c r="B264">
        <v>41</v>
      </c>
      <c r="C264" s="6">
        <f t="shared" si="38"/>
        <v>488.00000029150397</v>
      </c>
      <c r="D264" t="str">
        <f t="shared" si="39"/>
        <v/>
      </c>
      <c r="E264">
        <f t="shared" si="34"/>
        <v>39235.482731481483</v>
      </c>
      <c r="F264" s="4">
        <f t="shared" si="40"/>
        <v>1.1000000000000014</v>
      </c>
      <c r="G264" s="4">
        <f t="shared" si="41"/>
        <v>0.55000000000000071</v>
      </c>
      <c r="H264" s="5">
        <f t="shared" si="42"/>
        <v>1.1499999073566891</v>
      </c>
      <c r="I264" s="14">
        <f t="shared" si="36"/>
        <v>200.13865611910973</v>
      </c>
      <c r="J264" s="19">
        <f t="shared" si="37"/>
        <v>982358.9183492891</v>
      </c>
      <c r="K264" s="16">
        <f t="shared" si="35"/>
        <v>0.97844513779809672</v>
      </c>
    </row>
    <row r="265" spans="1:11" x14ac:dyDescent="0.15">
      <c r="A265" s="7">
        <v>39235.482754629629</v>
      </c>
      <c r="B265">
        <v>41</v>
      </c>
      <c r="C265" s="6">
        <f t="shared" si="38"/>
        <v>490.00000013038516</v>
      </c>
      <c r="D265" t="str">
        <f t="shared" si="39"/>
        <v/>
      </c>
      <c r="E265">
        <f t="shared" si="34"/>
        <v>39235.482754629629</v>
      </c>
      <c r="F265" s="4">
        <f t="shared" si="40"/>
        <v>1.1000000000000014</v>
      </c>
      <c r="G265" s="4">
        <f t="shared" si="41"/>
        <v>0.55000000000000071</v>
      </c>
      <c r="H265" s="5">
        <f t="shared" si="42"/>
        <v>1.0999999113846584</v>
      </c>
      <c r="I265" s="14">
        <f t="shared" si="36"/>
        <v>191.43697541827873</v>
      </c>
      <c r="J265" s="19">
        <f t="shared" si="37"/>
        <v>982550.35532470734</v>
      </c>
      <c r="K265" s="16">
        <f t="shared" si="35"/>
        <v>0.97863581207640171</v>
      </c>
    </row>
    <row r="266" spans="1:11" x14ac:dyDescent="0.15">
      <c r="A266" s="7">
        <v>39235.482777777775</v>
      </c>
      <c r="B266">
        <v>41</v>
      </c>
      <c r="C266" s="6">
        <f t="shared" si="38"/>
        <v>491.99999996926636</v>
      </c>
      <c r="D266" t="str">
        <f t="shared" si="39"/>
        <v/>
      </c>
      <c r="E266">
        <f t="shared" si="34"/>
        <v>39235.482777777775</v>
      </c>
      <c r="F266" s="4">
        <f t="shared" si="40"/>
        <v>1.1000000000000014</v>
      </c>
      <c r="G266" s="4">
        <f t="shared" si="41"/>
        <v>0.55000000000000071</v>
      </c>
      <c r="H266" s="5">
        <f t="shared" si="42"/>
        <v>1.0999999113846584</v>
      </c>
      <c r="I266" s="14">
        <f t="shared" si="36"/>
        <v>191.43697541827873</v>
      </c>
      <c r="J266" s="19">
        <f t="shared" si="37"/>
        <v>982741.79230012558</v>
      </c>
      <c r="K266" s="16">
        <f t="shared" si="35"/>
        <v>0.9788264863547067</v>
      </c>
    </row>
    <row r="267" spans="1:11" x14ac:dyDescent="0.15">
      <c r="A267" s="7">
        <v>39235.482800925929</v>
      </c>
      <c r="B267">
        <v>41</v>
      </c>
      <c r="C267" s="6">
        <f t="shared" si="38"/>
        <v>494.00000043679029</v>
      </c>
      <c r="D267" t="str">
        <f t="shared" si="39"/>
        <v/>
      </c>
      <c r="E267">
        <f t="shared" si="34"/>
        <v>39235.482800925929</v>
      </c>
      <c r="F267" s="4">
        <f t="shared" si="40"/>
        <v>1.1000000000000014</v>
      </c>
      <c r="G267" s="4">
        <f t="shared" si="41"/>
        <v>0.55000000000000071</v>
      </c>
      <c r="H267" s="5">
        <f t="shared" si="42"/>
        <v>1.1000002571381642</v>
      </c>
      <c r="I267" s="14">
        <f t="shared" si="36"/>
        <v>191.43703559101576</v>
      </c>
      <c r="J267" s="19">
        <f t="shared" si="37"/>
        <v>982933.22933571658</v>
      </c>
      <c r="K267" s="16">
        <f t="shared" si="35"/>
        <v>0.97901716069294475</v>
      </c>
    </row>
    <row r="268" spans="1:11" x14ac:dyDescent="0.15">
      <c r="A268" s="7">
        <v>39235.482824074075</v>
      </c>
      <c r="B268">
        <v>41</v>
      </c>
      <c r="C268" s="6">
        <f t="shared" si="38"/>
        <v>496.00000027567148</v>
      </c>
      <c r="D268" t="str">
        <f t="shared" si="39"/>
        <v/>
      </c>
      <c r="E268">
        <f t="shared" si="34"/>
        <v>39235.482824074075</v>
      </c>
      <c r="F268" s="4">
        <f t="shared" si="40"/>
        <v>1.1000000000000014</v>
      </c>
      <c r="G268" s="4">
        <f t="shared" si="41"/>
        <v>0.55000000000000071</v>
      </c>
      <c r="H268" s="5">
        <f t="shared" si="42"/>
        <v>1.0999999113846584</v>
      </c>
      <c r="I268" s="14">
        <f t="shared" si="36"/>
        <v>191.43697541827873</v>
      </c>
      <c r="J268" s="19">
        <f t="shared" si="37"/>
        <v>983124.66631113482</v>
      </c>
      <c r="K268" s="16">
        <f t="shared" si="35"/>
        <v>0.97920783497124986</v>
      </c>
    </row>
    <row r="269" spans="1:11" x14ac:dyDescent="0.15">
      <c r="A269" s="7">
        <v>39235.482847222222</v>
      </c>
      <c r="B269">
        <v>41</v>
      </c>
      <c r="C269" s="6">
        <f t="shared" si="38"/>
        <v>498.00000011455268</v>
      </c>
      <c r="D269" t="str">
        <f t="shared" si="39"/>
        <v/>
      </c>
      <c r="E269">
        <f t="shared" si="34"/>
        <v>39235.482847222222</v>
      </c>
      <c r="F269" s="4">
        <f t="shared" si="40"/>
        <v>1.1000000000000014</v>
      </c>
      <c r="G269" s="4">
        <f t="shared" si="41"/>
        <v>0.55000000000000071</v>
      </c>
      <c r="H269" s="5">
        <f t="shared" si="42"/>
        <v>1.0999999113846584</v>
      </c>
      <c r="I269" s="14">
        <f t="shared" si="36"/>
        <v>191.43697541827873</v>
      </c>
      <c r="J269" s="19">
        <f t="shared" si="37"/>
        <v>983316.10328655306</v>
      </c>
      <c r="K269" s="16">
        <f t="shared" si="35"/>
        <v>0.97939850924955485</v>
      </c>
    </row>
    <row r="270" spans="1:11" x14ac:dyDescent="0.15">
      <c r="A270" s="7">
        <v>39235.482870370368</v>
      </c>
      <c r="B270">
        <v>41</v>
      </c>
      <c r="C270" s="6">
        <f t="shared" si="38"/>
        <v>499.99999995343387</v>
      </c>
      <c r="D270" t="str">
        <f t="shared" si="39"/>
        <v/>
      </c>
      <c r="E270">
        <f t="shared" si="34"/>
        <v>39235.482870370368</v>
      </c>
      <c r="F270" s="4">
        <f t="shared" si="40"/>
        <v>1.1000000000000014</v>
      </c>
      <c r="G270" s="4">
        <f t="shared" si="41"/>
        <v>0.55000000000000071</v>
      </c>
      <c r="H270" s="5">
        <f t="shared" si="42"/>
        <v>1.0999999113846584</v>
      </c>
      <c r="I270" s="14">
        <f t="shared" si="36"/>
        <v>191.43697541827873</v>
      </c>
      <c r="J270" s="19">
        <f t="shared" si="37"/>
        <v>983507.5402619713</v>
      </c>
      <c r="K270" s="16">
        <f t="shared" si="35"/>
        <v>0.97958918352785984</v>
      </c>
    </row>
    <row r="271" spans="1:11" x14ac:dyDescent="0.15">
      <c r="A271" s="7">
        <v>39235.482893518521</v>
      </c>
      <c r="B271">
        <v>41</v>
      </c>
      <c r="C271" s="6">
        <f t="shared" si="38"/>
        <v>502.0000004209578</v>
      </c>
      <c r="D271" t="str">
        <f t="shared" si="39"/>
        <v/>
      </c>
      <c r="E271">
        <f t="shared" si="34"/>
        <v>39235.482893518521</v>
      </c>
      <c r="F271" s="4">
        <f t="shared" si="40"/>
        <v>1.1000000000000014</v>
      </c>
      <c r="G271" s="4">
        <f t="shared" si="41"/>
        <v>0.55000000000000071</v>
      </c>
      <c r="H271" s="5">
        <f t="shared" si="42"/>
        <v>1.1000002571381642</v>
      </c>
      <c r="I271" s="14">
        <f t="shared" si="36"/>
        <v>191.43703559101576</v>
      </c>
      <c r="J271" s="19">
        <f t="shared" si="37"/>
        <v>983698.97729756229</v>
      </c>
      <c r="K271" s="16">
        <f t="shared" si="35"/>
        <v>0.97977985786609789</v>
      </c>
    </row>
    <row r="272" spans="1:11" x14ac:dyDescent="0.15">
      <c r="A272" s="7">
        <v>39235.482916666668</v>
      </c>
      <c r="B272">
        <v>41</v>
      </c>
      <c r="C272" s="6">
        <f t="shared" si="38"/>
        <v>504.000000259839</v>
      </c>
      <c r="D272" t="str">
        <f t="shared" si="39"/>
        <v/>
      </c>
      <c r="E272">
        <f t="shared" si="34"/>
        <v>39235.482916666668</v>
      </c>
      <c r="F272" s="4">
        <f t="shared" si="40"/>
        <v>1.1000000000000014</v>
      </c>
      <c r="G272" s="4">
        <f t="shared" si="41"/>
        <v>0.55000000000000071</v>
      </c>
      <c r="H272" s="5">
        <f t="shared" si="42"/>
        <v>1.0999999113846584</v>
      </c>
      <c r="I272" s="14">
        <f t="shared" si="36"/>
        <v>191.43697541827873</v>
      </c>
      <c r="J272" s="19">
        <f t="shared" si="37"/>
        <v>983890.41427298053</v>
      </c>
      <c r="K272" s="16">
        <f t="shared" si="35"/>
        <v>0.97997053214440288</v>
      </c>
    </row>
    <row r="273" spans="1:11" x14ac:dyDescent="0.15">
      <c r="A273" s="7">
        <v>39235.482939814814</v>
      </c>
      <c r="B273">
        <v>41</v>
      </c>
      <c r="C273" s="6">
        <f t="shared" si="38"/>
        <v>506.00000009872019</v>
      </c>
      <c r="D273" t="str">
        <f t="shared" si="39"/>
        <v/>
      </c>
      <c r="E273">
        <f t="shared" si="34"/>
        <v>39235.482939814814</v>
      </c>
      <c r="F273" s="4">
        <f t="shared" si="40"/>
        <v>1.1000000000000014</v>
      </c>
      <c r="G273" s="4">
        <f t="shared" si="41"/>
        <v>0.55000000000000071</v>
      </c>
      <c r="H273" s="5">
        <f t="shared" si="42"/>
        <v>1.0999999113846584</v>
      </c>
      <c r="I273" s="14">
        <f t="shared" si="36"/>
        <v>191.43697541827873</v>
      </c>
      <c r="J273" s="19">
        <f t="shared" si="37"/>
        <v>984081.85124839877</v>
      </c>
      <c r="K273" s="16">
        <f t="shared" si="35"/>
        <v>0.98016120642270799</v>
      </c>
    </row>
    <row r="274" spans="1:11" x14ac:dyDescent="0.15">
      <c r="A274" s="7">
        <v>39235.48296296296</v>
      </c>
      <c r="B274">
        <v>40.700000000000003</v>
      </c>
      <c r="C274" s="6">
        <f t="shared" si="38"/>
        <v>507.99999993760139</v>
      </c>
      <c r="D274" t="str">
        <f t="shared" si="39"/>
        <v/>
      </c>
      <c r="E274">
        <f t="shared" si="34"/>
        <v>39235.48296296296</v>
      </c>
      <c r="F274" s="4">
        <f t="shared" si="40"/>
        <v>0.80000000000000426</v>
      </c>
      <c r="G274" s="4">
        <f t="shared" si="41"/>
        <v>0.40000000000000213</v>
      </c>
      <c r="H274" s="5">
        <f t="shared" si="42"/>
        <v>0.94999992346857032</v>
      </c>
      <c r="I274" s="14">
        <f t="shared" si="36"/>
        <v>165.3319333157865</v>
      </c>
      <c r="J274" s="19">
        <f t="shared" si="37"/>
        <v>984247.18318171462</v>
      </c>
      <c r="K274" s="16">
        <f t="shared" si="35"/>
        <v>0.98032587966306239</v>
      </c>
    </row>
    <row r="275" spans="1:11" x14ac:dyDescent="0.15">
      <c r="A275" s="7">
        <v>39235.482986111114</v>
      </c>
      <c r="B275">
        <v>40.799999999999997</v>
      </c>
      <c r="C275" s="6">
        <f t="shared" si="38"/>
        <v>510.00000040512532</v>
      </c>
      <c r="D275" t="str">
        <f t="shared" si="39"/>
        <v/>
      </c>
      <c r="E275">
        <f t="shared" si="34"/>
        <v>39235.482986111114</v>
      </c>
      <c r="F275" s="4">
        <f t="shared" si="40"/>
        <v>0.89999999999999858</v>
      </c>
      <c r="G275" s="4">
        <f t="shared" si="41"/>
        <v>0.44999999999999929</v>
      </c>
      <c r="H275" s="5">
        <f t="shared" si="42"/>
        <v>0.85000019869767274</v>
      </c>
      <c r="I275" s="14">
        <f t="shared" si="36"/>
        <v>147.92861841123954</v>
      </c>
      <c r="J275" s="19">
        <f t="shared" si="37"/>
        <v>984395.1118001258</v>
      </c>
      <c r="K275" s="16">
        <f t="shared" si="35"/>
        <v>0.98047321892442807</v>
      </c>
    </row>
    <row r="276" spans="1:11" x14ac:dyDescent="0.15">
      <c r="A276" s="7">
        <v>39235.48300925926</v>
      </c>
      <c r="B276">
        <v>40.799999999999997</v>
      </c>
      <c r="C276" s="6">
        <f t="shared" si="38"/>
        <v>512.00000024400651</v>
      </c>
      <c r="D276" t="str">
        <f t="shared" si="39"/>
        <v/>
      </c>
      <c r="E276">
        <f t="shared" si="34"/>
        <v>39235.48300925926</v>
      </c>
      <c r="F276" s="4">
        <f t="shared" si="40"/>
        <v>0.89999999999999858</v>
      </c>
      <c r="G276" s="4">
        <f t="shared" si="41"/>
        <v>0.44999999999999929</v>
      </c>
      <c r="H276" s="5">
        <f t="shared" si="42"/>
        <v>0.89999992749653612</v>
      </c>
      <c r="I276" s="14">
        <f t="shared" si="36"/>
        <v>156.63025261495488</v>
      </c>
      <c r="J276" s="19">
        <f t="shared" si="37"/>
        <v>984551.74205274077</v>
      </c>
      <c r="K276" s="16">
        <f t="shared" si="35"/>
        <v>0.98062922515213224</v>
      </c>
    </row>
    <row r="277" spans="1:11" x14ac:dyDescent="0.15">
      <c r="A277" s="7">
        <v>39235.483032407406</v>
      </c>
      <c r="B277">
        <v>40.700000000000003</v>
      </c>
      <c r="C277" s="6">
        <f t="shared" si="38"/>
        <v>514.00000008288771</v>
      </c>
      <c r="D277" t="str">
        <f t="shared" si="39"/>
        <v/>
      </c>
      <c r="E277">
        <f t="shared" ref="E277:E340" si="43">IF(B277-$B$6&gt;0,A277," ")</f>
        <v>39235.483032407406</v>
      </c>
      <c r="F277" s="4">
        <f t="shared" si="40"/>
        <v>0.80000000000000426</v>
      </c>
      <c r="G277" s="4">
        <f t="shared" si="41"/>
        <v>0.40000000000000213</v>
      </c>
      <c r="H277" s="5">
        <f t="shared" si="42"/>
        <v>0.84999993152450914</v>
      </c>
      <c r="I277" s="14">
        <f t="shared" si="36"/>
        <v>147.92857191412455</v>
      </c>
      <c r="J277" s="19">
        <f t="shared" si="37"/>
        <v>984699.67062465486</v>
      </c>
      <c r="K277" s="16">
        <f t="shared" ref="K277:K340" si="44">IF(J277=" ","-",J277/($B$12*1000))</f>
        <v>0.98077656436718608</v>
      </c>
    </row>
    <row r="278" spans="1:11" x14ac:dyDescent="0.15">
      <c r="A278" s="7">
        <v>39235.483055555553</v>
      </c>
      <c r="B278">
        <v>41</v>
      </c>
      <c r="C278" s="6">
        <f t="shared" si="38"/>
        <v>515.9999999217689</v>
      </c>
      <c r="D278" t="str">
        <f t="shared" si="39"/>
        <v/>
      </c>
      <c r="E278">
        <f t="shared" si="43"/>
        <v>39235.483055555553</v>
      </c>
      <c r="F278" s="4">
        <f t="shared" si="40"/>
        <v>1.1000000000000014</v>
      </c>
      <c r="G278" s="4">
        <f t="shared" si="41"/>
        <v>0.55000000000000071</v>
      </c>
      <c r="H278" s="5">
        <f t="shared" si="42"/>
        <v>0.94999992346857032</v>
      </c>
      <c r="I278" s="14">
        <f t="shared" ref="I278:I341" si="45">H278*$B$14</f>
        <v>165.3319333157865</v>
      </c>
      <c r="J278" s="19">
        <f t="shared" ref="J278:J341" si="46">J277+I278</f>
        <v>984865.0025579707</v>
      </c>
      <c r="K278" s="16">
        <f t="shared" si="44"/>
        <v>0.98094123760754048</v>
      </c>
    </row>
    <row r="279" spans="1:11" x14ac:dyDescent="0.15">
      <c r="A279" s="7">
        <v>39235.483078703706</v>
      </c>
      <c r="B279">
        <v>40.799999999999997</v>
      </c>
      <c r="C279" s="6">
        <f t="shared" si="38"/>
        <v>518.00000038929284</v>
      </c>
      <c r="D279" t="str">
        <f t="shared" si="39"/>
        <v/>
      </c>
      <c r="E279">
        <f t="shared" si="43"/>
        <v>39235.483078703706</v>
      </c>
      <c r="F279" s="4">
        <f t="shared" si="40"/>
        <v>0.89999999999999858</v>
      </c>
      <c r="G279" s="4">
        <f t="shared" si="41"/>
        <v>0.44999999999999929</v>
      </c>
      <c r="H279" s="5">
        <f t="shared" si="42"/>
        <v>1.0000002337619662</v>
      </c>
      <c r="I279" s="14">
        <f t="shared" si="45"/>
        <v>174.03366871910504</v>
      </c>
      <c r="J279" s="19">
        <f t="shared" si="46"/>
        <v>985039.03622668982</v>
      </c>
      <c r="K279" s="16">
        <f t="shared" si="44"/>
        <v>0.98111457791502965</v>
      </c>
    </row>
    <row r="280" spans="1:11" x14ac:dyDescent="0.15">
      <c r="A280" s="7">
        <v>39235.483101851853</v>
      </c>
      <c r="B280">
        <v>40.700000000000003</v>
      </c>
      <c r="C280" s="6">
        <f t="shared" si="38"/>
        <v>520.00000022817403</v>
      </c>
      <c r="D280" t="str">
        <f t="shared" si="39"/>
        <v/>
      </c>
      <c r="E280">
        <f t="shared" si="43"/>
        <v>39235.483101851853</v>
      </c>
      <c r="F280" s="4">
        <f t="shared" si="40"/>
        <v>0.80000000000000426</v>
      </c>
      <c r="G280" s="4">
        <f t="shared" si="41"/>
        <v>0.40000000000000213</v>
      </c>
      <c r="H280" s="5">
        <f t="shared" si="42"/>
        <v>0.84999993152450914</v>
      </c>
      <c r="I280" s="14">
        <f t="shared" si="45"/>
        <v>147.92857191412455</v>
      </c>
      <c r="J280" s="19">
        <f t="shared" si="46"/>
        <v>985186.96479860391</v>
      </c>
      <c r="K280" s="16">
        <f t="shared" si="44"/>
        <v>0.98126191713008359</v>
      </c>
    </row>
    <row r="281" spans="1:11" x14ac:dyDescent="0.15">
      <c r="A281" s="7">
        <v>39235.483124999999</v>
      </c>
      <c r="B281">
        <v>40.700000000000003</v>
      </c>
      <c r="C281" s="6">
        <f t="shared" si="38"/>
        <v>522.00000006705523</v>
      </c>
      <c r="D281" t="str">
        <f t="shared" si="39"/>
        <v/>
      </c>
      <c r="E281">
        <f t="shared" si="43"/>
        <v>39235.483124999999</v>
      </c>
      <c r="F281" s="4">
        <f t="shared" si="40"/>
        <v>0.80000000000000426</v>
      </c>
      <c r="G281" s="4">
        <f t="shared" si="41"/>
        <v>0.40000000000000213</v>
      </c>
      <c r="H281" s="5">
        <f t="shared" si="42"/>
        <v>0.79999993555248206</v>
      </c>
      <c r="I281" s="14">
        <f t="shared" si="45"/>
        <v>139.22689121329421</v>
      </c>
      <c r="J281" s="19">
        <f t="shared" si="46"/>
        <v>985326.19168981723</v>
      </c>
      <c r="K281" s="16">
        <f t="shared" si="44"/>
        <v>0.98140058933248731</v>
      </c>
    </row>
    <row r="282" spans="1:11" x14ac:dyDescent="0.15">
      <c r="A282" s="7">
        <v>39235.483148148145</v>
      </c>
      <c r="B282">
        <v>40.700000000000003</v>
      </c>
      <c r="C282" s="6">
        <f t="shared" si="38"/>
        <v>523.99999990593642</v>
      </c>
      <c r="D282" t="str">
        <f t="shared" si="39"/>
        <v/>
      </c>
      <c r="E282">
        <f t="shared" si="43"/>
        <v>39235.483148148145</v>
      </c>
      <c r="F282" s="4">
        <f t="shared" si="40"/>
        <v>0.80000000000000426</v>
      </c>
      <c r="G282" s="4">
        <f t="shared" si="41"/>
        <v>0.40000000000000213</v>
      </c>
      <c r="H282" s="5">
        <f t="shared" si="42"/>
        <v>0.79999993555248206</v>
      </c>
      <c r="I282" s="14">
        <f t="shared" si="45"/>
        <v>139.22689121329421</v>
      </c>
      <c r="J282" s="19">
        <f t="shared" si="46"/>
        <v>985465.41858103056</v>
      </c>
      <c r="K282" s="16">
        <f t="shared" si="44"/>
        <v>0.98153926153489102</v>
      </c>
    </row>
    <row r="283" spans="1:11" x14ac:dyDescent="0.15">
      <c r="A283" s="7">
        <v>39235.483171296299</v>
      </c>
      <c r="B283">
        <v>40.700000000000003</v>
      </c>
      <c r="C283" s="6">
        <f t="shared" si="38"/>
        <v>526.00000037346035</v>
      </c>
      <c r="D283" t="str">
        <f t="shared" si="39"/>
        <v/>
      </c>
      <c r="E283">
        <f t="shared" si="43"/>
        <v>39235.483171296299</v>
      </c>
      <c r="F283" s="4">
        <f t="shared" si="40"/>
        <v>0.80000000000000426</v>
      </c>
      <c r="G283" s="4">
        <f t="shared" si="41"/>
        <v>0.40000000000000213</v>
      </c>
      <c r="H283" s="5">
        <f t="shared" si="42"/>
        <v>0.8000001870095772</v>
      </c>
      <c r="I283" s="14">
        <f t="shared" si="45"/>
        <v>139.22693497528476</v>
      </c>
      <c r="J283" s="19">
        <f t="shared" si="46"/>
        <v>985604.64551600581</v>
      </c>
      <c r="K283" s="16">
        <f t="shared" si="44"/>
        <v>0.98167793378088231</v>
      </c>
    </row>
    <row r="284" spans="1:11" x14ac:dyDescent="0.15">
      <c r="A284" s="7">
        <v>39235.483194444445</v>
      </c>
      <c r="B284">
        <v>40.700000000000003</v>
      </c>
      <c r="C284" s="6">
        <f t="shared" si="38"/>
        <v>528.00000021234155</v>
      </c>
      <c r="D284" t="str">
        <f t="shared" si="39"/>
        <v/>
      </c>
      <c r="E284">
        <f t="shared" si="43"/>
        <v>39235.483194444445</v>
      </c>
      <c r="F284" s="4">
        <f t="shared" si="40"/>
        <v>0.80000000000000426</v>
      </c>
      <c r="G284" s="4">
        <f t="shared" si="41"/>
        <v>0.40000000000000213</v>
      </c>
      <c r="H284" s="5">
        <f t="shared" si="42"/>
        <v>0.79999993555248206</v>
      </c>
      <c r="I284" s="14">
        <f t="shared" si="45"/>
        <v>139.22689121329421</v>
      </c>
      <c r="J284" s="19">
        <f t="shared" si="46"/>
        <v>985743.87240721914</v>
      </c>
      <c r="K284" s="16">
        <f t="shared" si="44"/>
        <v>0.98181660598328602</v>
      </c>
    </row>
    <row r="285" spans="1:11" x14ac:dyDescent="0.15">
      <c r="A285" s="7">
        <v>39235.483217592591</v>
      </c>
      <c r="B285">
        <v>40.700000000000003</v>
      </c>
      <c r="C285" s="6">
        <f t="shared" si="38"/>
        <v>530.00000005122274</v>
      </c>
      <c r="D285" t="str">
        <f t="shared" si="39"/>
        <v/>
      </c>
      <c r="E285">
        <f t="shared" si="43"/>
        <v>39235.483217592591</v>
      </c>
      <c r="F285" s="4">
        <f t="shared" si="40"/>
        <v>0.80000000000000426</v>
      </c>
      <c r="G285" s="4">
        <f t="shared" si="41"/>
        <v>0.40000000000000213</v>
      </c>
      <c r="H285" s="5">
        <f t="shared" si="42"/>
        <v>0.79999993555248206</v>
      </c>
      <c r="I285" s="14">
        <f t="shared" si="45"/>
        <v>139.22689121329421</v>
      </c>
      <c r="J285" s="19">
        <f t="shared" si="46"/>
        <v>985883.09929843247</v>
      </c>
      <c r="K285" s="16">
        <f t="shared" si="44"/>
        <v>0.98195527818568973</v>
      </c>
    </row>
    <row r="286" spans="1:11" x14ac:dyDescent="0.15">
      <c r="A286" s="7">
        <v>39235.483240740738</v>
      </c>
      <c r="B286">
        <v>40.700000000000003</v>
      </c>
      <c r="C286" s="6">
        <f t="shared" si="38"/>
        <v>531.99999989010394</v>
      </c>
      <c r="D286" t="str">
        <f t="shared" si="39"/>
        <v/>
      </c>
      <c r="E286">
        <f t="shared" si="43"/>
        <v>39235.483240740738</v>
      </c>
      <c r="F286" s="4">
        <f t="shared" si="40"/>
        <v>0.80000000000000426</v>
      </c>
      <c r="G286" s="4">
        <f t="shared" si="41"/>
        <v>0.40000000000000213</v>
      </c>
      <c r="H286" s="5">
        <f t="shared" si="42"/>
        <v>0.79999993555248206</v>
      </c>
      <c r="I286" s="14">
        <f t="shared" si="45"/>
        <v>139.22689121329421</v>
      </c>
      <c r="J286" s="19">
        <f t="shared" si="46"/>
        <v>986022.3261896458</v>
      </c>
      <c r="K286" s="16">
        <f t="shared" si="44"/>
        <v>0.98209395038809344</v>
      </c>
    </row>
    <row r="287" spans="1:11" x14ac:dyDescent="0.15">
      <c r="A287" s="7">
        <v>39235.483263888891</v>
      </c>
      <c r="B287">
        <v>40.700000000000003</v>
      </c>
      <c r="C287" s="6">
        <f t="shared" si="38"/>
        <v>534.00000035762787</v>
      </c>
      <c r="D287" t="str">
        <f t="shared" si="39"/>
        <v/>
      </c>
      <c r="E287">
        <f t="shared" si="43"/>
        <v>39235.483263888891</v>
      </c>
      <c r="F287" s="4">
        <f t="shared" si="40"/>
        <v>0.80000000000000426</v>
      </c>
      <c r="G287" s="4">
        <f t="shared" si="41"/>
        <v>0.40000000000000213</v>
      </c>
      <c r="H287" s="5">
        <f t="shared" si="42"/>
        <v>0.8000001870095772</v>
      </c>
      <c r="I287" s="14">
        <f t="shared" si="45"/>
        <v>139.22693497528476</v>
      </c>
      <c r="J287" s="19">
        <f t="shared" si="46"/>
        <v>986161.55312462104</v>
      </c>
      <c r="K287" s="16">
        <f t="shared" si="44"/>
        <v>0.98223262263408473</v>
      </c>
    </row>
    <row r="288" spans="1:11" x14ac:dyDescent="0.15">
      <c r="A288" s="7">
        <v>39235.483287037037</v>
      </c>
      <c r="B288">
        <v>40.700000000000003</v>
      </c>
      <c r="C288" s="6">
        <f t="shared" si="38"/>
        <v>536.00000019650906</v>
      </c>
      <c r="D288" t="str">
        <f t="shared" si="39"/>
        <v/>
      </c>
      <c r="E288">
        <f t="shared" si="43"/>
        <v>39235.483287037037</v>
      </c>
      <c r="F288" s="4">
        <f t="shared" si="40"/>
        <v>0.80000000000000426</v>
      </c>
      <c r="G288" s="4">
        <f t="shared" si="41"/>
        <v>0.40000000000000213</v>
      </c>
      <c r="H288" s="5">
        <f t="shared" si="42"/>
        <v>0.79999993555248206</v>
      </c>
      <c r="I288" s="14">
        <f t="shared" si="45"/>
        <v>139.22689121329421</v>
      </c>
      <c r="J288" s="19">
        <f t="shared" si="46"/>
        <v>986300.78001583437</v>
      </c>
      <c r="K288" s="16">
        <f t="shared" si="44"/>
        <v>0.98237129483648844</v>
      </c>
    </row>
    <row r="289" spans="1:11" x14ac:dyDescent="0.15">
      <c r="A289" s="7">
        <v>39235.483310185184</v>
      </c>
      <c r="B289">
        <v>40.700000000000003</v>
      </c>
      <c r="C289" s="6">
        <f t="shared" si="38"/>
        <v>538.00000003539026</v>
      </c>
      <c r="D289" t="str">
        <f t="shared" si="39"/>
        <v/>
      </c>
      <c r="E289">
        <f t="shared" si="43"/>
        <v>39235.483310185184</v>
      </c>
      <c r="F289" s="4">
        <f t="shared" si="40"/>
        <v>0.80000000000000426</v>
      </c>
      <c r="G289" s="4">
        <f t="shared" si="41"/>
        <v>0.40000000000000213</v>
      </c>
      <c r="H289" s="5">
        <f t="shared" si="42"/>
        <v>0.79999993555248206</v>
      </c>
      <c r="I289" s="14">
        <f t="shared" si="45"/>
        <v>139.22689121329421</v>
      </c>
      <c r="J289" s="19">
        <f t="shared" si="46"/>
        <v>986440.0069070477</v>
      </c>
      <c r="K289" s="16">
        <f t="shared" si="44"/>
        <v>0.98250996703889215</v>
      </c>
    </row>
    <row r="290" spans="1:11" x14ac:dyDescent="0.15">
      <c r="A290" s="7">
        <v>39235.48333333333</v>
      </c>
      <c r="B290">
        <v>40.6</v>
      </c>
      <c r="C290" s="6">
        <f t="shared" si="38"/>
        <v>539.99999987427145</v>
      </c>
      <c r="D290" t="str">
        <f t="shared" si="39"/>
        <v/>
      </c>
      <c r="E290">
        <f t="shared" si="43"/>
        <v>39235.48333333333</v>
      </c>
      <c r="F290" s="4">
        <f t="shared" si="40"/>
        <v>0.70000000000000284</v>
      </c>
      <c r="G290" s="4">
        <f t="shared" si="41"/>
        <v>0.35000000000000142</v>
      </c>
      <c r="H290" s="5">
        <f t="shared" si="42"/>
        <v>0.74999993958045152</v>
      </c>
      <c r="I290" s="14">
        <f t="shared" si="45"/>
        <v>130.52521051246325</v>
      </c>
      <c r="J290" s="19">
        <f t="shared" si="46"/>
        <v>986570.53211756016</v>
      </c>
      <c r="K290" s="16">
        <f t="shared" si="44"/>
        <v>0.98263997222864552</v>
      </c>
    </row>
    <row r="291" spans="1:11" x14ac:dyDescent="0.15">
      <c r="A291" s="7">
        <v>39235.483356481483</v>
      </c>
      <c r="B291">
        <v>40.700000000000003</v>
      </c>
      <c r="C291" s="6">
        <f t="shared" si="38"/>
        <v>542.00000034179538</v>
      </c>
      <c r="D291" t="str">
        <f t="shared" si="39"/>
        <v/>
      </c>
      <c r="E291">
        <f t="shared" si="43"/>
        <v>39235.483356481483</v>
      </c>
      <c r="F291" s="4">
        <f t="shared" si="40"/>
        <v>0.80000000000000426</v>
      </c>
      <c r="G291" s="4">
        <f t="shared" si="41"/>
        <v>0.40000000000000213</v>
      </c>
      <c r="H291" s="5">
        <f t="shared" si="42"/>
        <v>0.75000017532147822</v>
      </c>
      <c r="I291" s="14">
        <f t="shared" si="45"/>
        <v>130.52525153932939</v>
      </c>
      <c r="J291" s="19">
        <f t="shared" si="46"/>
        <v>986701.05736909946</v>
      </c>
      <c r="K291" s="16">
        <f t="shared" si="44"/>
        <v>0.98276997745926242</v>
      </c>
    </row>
    <row r="292" spans="1:11" x14ac:dyDescent="0.15">
      <c r="A292" s="7">
        <v>39235.48337962963</v>
      </c>
      <c r="B292">
        <v>40.700000000000003</v>
      </c>
      <c r="C292" s="6">
        <f t="shared" si="38"/>
        <v>544.00000018067658</v>
      </c>
      <c r="D292" t="str">
        <f t="shared" si="39"/>
        <v/>
      </c>
      <c r="E292">
        <f t="shared" si="43"/>
        <v>39235.48337962963</v>
      </c>
      <c r="F292" s="4">
        <f t="shared" si="40"/>
        <v>0.80000000000000426</v>
      </c>
      <c r="G292" s="4">
        <f t="shared" si="41"/>
        <v>0.40000000000000213</v>
      </c>
      <c r="H292" s="5">
        <f t="shared" si="42"/>
        <v>0.79999993555248206</v>
      </c>
      <c r="I292" s="14">
        <f t="shared" si="45"/>
        <v>139.22689121329421</v>
      </c>
      <c r="J292" s="19">
        <f t="shared" si="46"/>
        <v>986840.28426031279</v>
      </c>
      <c r="K292" s="16">
        <f t="shared" si="44"/>
        <v>0.98290864966166613</v>
      </c>
    </row>
    <row r="293" spans="1:11" x14ac:dyDescent="0.15">
      <c r="A293" s="7">
        <v>39235.483402777776</v>
      </c>
      <c r="B293">
        <v>40.700000000000003</v>
      </c>
      <c r="C293" s="6">
        <f t="shared" si="38"/>
        <v>546.00000001955777</v>
      </c>
      <c r="D293" t="str">
        <f t="shared" si="39"/>
        <v/>
      </c>
      <c r="E293">
        <f t="shared" si="43"/>
        <v>39235.483402777776</v>
      </c>
      <c r="F293" s="4">
        <f t="shared" si="40"/>
        <v>0.80000000000000426</v>
      </c>
      <c r="G293" s="4">
        <f t="shared" si="41"/>
        <v>0.40000000000000213</v>
      </c>
      <c r="H293" s="5">
        <f t="shared" si="42"/>
        <v>0.79999993555248206</v>
      </c>
      <c r="I293" s="14">
        <f t="shared" si="45"/>
        <v>139.22689121329421</v>
      </c>
      <c r="J293" s="19">
        <f t="shared" si="46"/>
        <v>986979.51115152612</v>
      </c>
      <c r="K293" s="16">
        <f t="shared" si="44"/>
        <v>0.98304732186406985</v>
      </c>
    </row>
    <row r="294" spans="1:11" x14ac:dyDescent="0.15">
      <c r="A294" s="7">
        <v>39235.483425925922</v>
      </c>
      <c r="B294">
        <v>40.700000000000003</v>
      </c>
      <c r="C294" s="6">
        <f t="shared" si="38"/>
        <v>547.99999985843897</v>
      </c>
      <c r="D294" t="str">
        <f t="shared" si="39"/>
        <v/>
      </c>
      <c r="E294">
        <f t="shared" si="43"/>
        <v>39235.483425925922</v>
      </c>
      <c r="F294" s="4">
        <f t="shared" si="40"/>
        <v>0.80000000000000426</v>
      </c>
      <c r="G294" s="4">
        <f t="shared" si="41"/>
        <v>0.40000000000000213</v>
      </c>
      <c r="H294" s="5">
        <f t="shared" si="42"/>
        <v>0.79999993555248206</v>
      </c>
      <c r="I294" s="14">
        <f t="shared" si="45"/>
        <v>139.22689121329421</v>
      </c>
      <c r="J294" s="19">
        <f t="shared" si="46"/>
        <v>987118.73804273945</v>
      </c>
      <c r="K294" s="16">
        <f t="shared" si="44"/>
        <v>0.98318599406647356</v>
      </c>
    </row>
    <row r="295" spans="1:11" x14ac:dyDescent="0.15">
      <c r="A295" s="7">
        <v>39235.483449074076</v>
      </c>
      <c r="B295">
        <v>40.700000000000003</v>
      </c>
      <c r="C295" s="6">
        <f t="shared" si="38"/>
        <v>550.0000003259629</v>
      </c>
      <c r="D295" t="str">
        <f t="shared" si="39"/>
        <v/>
      </c>
      <c r="E295">
        <f t="shared" si="43"/>
        <v>39235.483449074076</v>
      </c>
      <c r="F295" s="4">
        <f t="shared" si="40"/>
        <v>0.80000000000000426</v>
      </c>
      <c r="G295" s="4">
        <f t="shared" si="41"/>
        <v>0.40000000000000213</v>
      </c>
      <c r="H295" s="5">
        <f t="shared" si="42"/>
        <v>0.8000001870095772</v>
      </c>
      <c r="I295" s="14">
        <f t="shared" si="45"/>
        <v>139.22693497528476</v>
      </c>
      <c r="J295" s="19">
        <f t="shared" si="46"/>
        <v>987257.9649777147</v>
      </c>
      <c r="K295" s="16">
        <f t="shared" si="44"/>
        <v>0.98332466631246485</v>
      </c>
    </row>
    <row r="296" spans="1:11" x14ac:dyDescent="0.15">
      <c r="A296" s="7">
        <v>39235.483472222222</v>
      </c>
      <c r="B296">
        <v>40.700000000000003</v>
      </c>
      <c r="C296" s="6">
        <f t="shared" si="38"/>
        <v>552.0000001648441</v>
      </c>
      <c r="D296" t="str">
        <f t="shared" si="39"/>
        <v/>
      </c>
      <c r="E296">
        <f t="shared" si="43"/>
        <v>39235.483472222222</v>
      </c>
      <c r="F296" s="4">
        <f t="shared" si="40"/>
        <v>0.80000000000000426</v>
      </c>
      <c r="G296" s="4">
        <f t="shared" si="41"/>
        <v>0.40000000000000213</v>
      </c>
      <c r="H296" s="5">
        <f t="shared" si="42"/>
        <v>0.79999993555248206</v>
      </c>
      <c r="I296" s="14">
        <f t="shared" si="45"/>
        <v>139.22689121329421</v>
      </c>
      <c r="J296" s="19">
        <f t="shared" si="46"/>
        <v>987397.19186892803</v>
      </c>
      <c r="K296" s="16">
        <f t="shared" si="44"/>
        <v>0.98346333851486856</v>
      </c>
    </row>
    <row r="297" spans="1:11" x14ac:dyDescent="0.15">
      <c r="A297" s="7">
        <v>39235.483495370368</v>
      </c>
      <c r="B297">
        <v>40.700000000000003</v>
      </c>
      <c r="C297" s="6">
        <f t="shared" si="38"/>
        <v>554.00000000372529</v>
      </c>
      <c r="D297" t="str">
        <f t="shared" si="39"/>
        <v/>
      </c>
      <c r="E297">
        <f t="shared" si="43"/>
        <v>39235.483495370368</v>
      </c>
      <c r="F297" s="4">
        <f t="shared" si="40"/>
        <v>0.80000000000000426</v>
      </c>
      <c r="G297" s="4">
        <f t="shared" si="41"/>
        <v>0.40000000000000213</v>
      </c>
      <c r="H297" s="5">
        <f t="shared" si="42"/>
        <v>0.79999993555248206</v>
      </c>
      <c r="I297" s="14">
        <f t="shared" si="45"/>
        <v>139.22689121329421</v>
      </c>
      <c r="J297" s="19">
        <f t="shared" si="46"/>
        <v>987536.41876014136</v>
      </c>
      <c r="K297" s="16">
        <f t="shared" si="44"/>
        <v>0.98360201071727227</v>
      </c>
    </row>
    <row r="298" spans="1:11" x14ac:dyDescent="0.15">
      <c r="A298" s="7">
        <v>39235.483518518522</v>
      </c>
      <c r="B298">
        <v>40.700000000000003</v>
      </c>
      <c r="C298" s="6">
        <f t="shared" ref="C298:C361" si="47">(A298-$B$4)*24*60*60</f>
        <v>556.00000047124922</v>
      </c>
      <c r="D298" t="str">
        <f t="shared" ref="D298:D361" si="48">IF(F298=$B$8,A298,"")</f>
        <v/>
      </c>
      <c r="E298">
        <f t="shared" si="43"/>
        <v>39235.483518518522</v>
      </c>
      <c r="F298" s="4">
        <f t="shared" ref="F298:F361" si="49">IF((B298-$B$6)&gt;0,B298-$B$6,0)</f>
        <v>0.80000000000000426</v>
      </c>
      <c r="G298" s="4">
        <f t="shared" ref="G298:G361" si="50">F298/2</f>
        <v>0.40000000000000213</v>
      </c>
      <c r="H298" s="5">
        <f t="shared" ref="H298:H361" si="51">AVERAGE(G297:G298)*(C298-C297)</f>
        <v>0.8000001870095772</v>
      </c>
      <c r="I298" s="14">
        <f t="shared" si="45"/>
        <v>139.22693497528476</v>
      </c>
      <c r="J298" s="19">
        <f t="shared" si="46"/>
        <v>987675.6456951166</v>
      </c>
      <c r="K298" s="16">
        <f t="shared" si="44"/>
        <v>0.98374068296326356</v>
      </c>
    </row>
    <row r="299" spans="1:11" x14ac:dyDescent="0.15">
      <c r="A299" s="7">
        <v>39235.483541666668</v>
      </c>
      <c r="B299">
        <v>40.700000000000003</v>
      </c>
      <c r="C299" s="6">
        <f t="shared" si="47"/>
        <v>558.00000031013042</v>
      </c>
      <c r="D299" t="str">
        <f t="shared" si="48"/>
        <v/>
      </c>
      <c r="E299">
        <f t="shared" si="43"/>
        <v>39235.483541666668</v>
      </c>
      <c r="F299" s="4">
        <f t="shared" si="49"/>
        <v>0.80000000000000426</v>
      </c>
      <c r="G299" s="4">
        <f t="shared" si="50"/>
        <v>0.40000000000000213</v>
      </c>
      <c r="H299" s="5">
        <f t="shared" si="51"/>
        <v>0.79999993555248206</v>
      </c>
      <c r="I299" s="14">
        <f t="shared" si="45"/>
        <v>139.22689121329421</v>
      </c>
      <c r="J299" s="19">
        <f t="shared" si="46"/>
        <v>987814.87258632993</v>
      </c>
      <c r="K299" s="16">
        <f t="shared" si="44"/>
        <v>0.98387935516566727</v>
      </c>
    </row>
    <row r="300" spans="1:11" x14ac:dyDescent="0.15">
      <c r="A300" s="7">
        <v>39235.483564814815</v>
      </c>
      <c r="B300">
        <v>40.6</v>
      </c>
      <c r="C300" s="6">
        <f t="shared" si="47"/>
        <v>560.00000014901161</v>
      </c>
      <c r="D300" t="str">
        <f t="shared" si="48"/>
        <v/>
      </c>
      <c r="E300">
        <f t="shared" si="43"/>
        <v>39235.483564814815</v>
      </c>
      <c r="F300" s="4">
        <f t="shared" si="49"/>
        <v>0.70000000000000284</v>
      </c>
      <c r="G300" s="4">
        <f t="shared" si="50"/>
        <v>0.35000000000000142</v>
      </c>
      <c r="H300" s="5">
        <f t="shared" si="51"/>
        <v>0.74999993958045152</v>
      </c>
      <c r="I300" s="14">
        <f t="shared" si="45"/>
        <v>130.52521051246325</v>
      </c>
      <c r="J300" s="19">
        <f t="shared" si="46"/>
        <v>987945.39779684239</v>
      </c>
      <c r="K300" s="16">
        <f t="shared" si="44"/>
        <v>0.98400936035542075</v>
      </c>
    </row>
    <row r="301" spans="1:11" x14ac:dyDescent="0.15">
      <c r="A301" s="7">
        <v>39235.483587962961</v>
      </c>
      <c r="B301">
        <v>40.700000000000003</v>
      </c>
      <c r="C301" s="6">
        <f t="shared" si="47"/>
        <v>561.99999998789281</v>
      </c>
      <c r="D301" t="str">
        <f t="shared" si="48"/>
        <v/>
      </c>
      <c r="E301">
        <f t="shared" si="43"/>
        <v>39235.483587962961</v>
      </c>
      <c r="F301" s="4">
        <f t="shared" si="49"/>
        <v>0.80000000000000426</v>
      </c>
      <c r="G301" s="4">
        <f t="shared" si="50"/>
        <v>0.40000000000000213</v>
      </c>
      <c r="H301" s="5">
        <f t="shared" si="51"/>
        <v>0.74999993958045152</v>
      </c>
      <c r="I301" s="14">
        <f t="shared" si="45"/>
        <v>130.52521051246325</v>
      </c>
      <c r="J301" s="19">
        <f t="shared" si="46"/>
        <v>988075.92300735484</v>
      </c>
      <c r="K301" s="16">
        <f t="shared" si="44"/>
        <v>0.98413936554517412</v>
      </c>
    </row>
    <row r="302" spans="1:11" x14ac:dyDescent="0.15">
      <c r="A302" s="7">
        <v>39235.483611111114</v>
      </c>
      <c r="B302">
        <v>40.700000000000003</v>
      </c>
      <c r="C302" s="6">
        <f t="shared" si="47"/>
        <v>564.00000045541674</v>
      </c>
      <c r="D302" t="str">
        <f t="shared" si="48"/>
        <v/>
      </c>
      <c r="E302">
        <f t="shared" si="43"/>
        <v>39235.483611111114</v>
      </c>
      <c r="F302" s="4">
        <f t="shared" si="49"/>
        <v>0.80000000000000426</v>
      </c>
      <c r="G302" s="4">
        <f t="shared" si="50"/>
        <v>0.40000000000000213</v>
      </c>
      <c r="H302" s="5">
        <f t="shared" si="51"/>
        <v>0.8000001870095772</v>
      </c>
      <c r="I302" s="14">
        <f t="shared" si="45"/>
        <v>139.22693497528476</v>
      </c>
      <c r="J302" s="19">
        <f t="shared" si="46"/>
        <v>988215.14994233008</v>
      </c>
      <c r="K302" s="16">
        <f t="shared" si="44"/>
        <v>0.98427803779116541</v>
      </c>
    </row>
    <row r="303" spans="1:11" x14ac:dyDescent="0.15">
      <c r="A303" s="7">
        <v>39235.483634259261</v>
      </c>
      <c r="B303">
        <v>40.700000000000003</v>
      </c>
      <c r="C303" s="6">
        <f t="shared" si="47"/>
        <v>566.00000029429793</v>
      </c>
      <c r="D303" t="str">
        <f t="shared" si="48"/>
        <v/>
      </c>
      <c r="E303">
        <f t="shared" si="43"/>
        <v>39235.483634259261</v>
      </c>
      <c r="F303" s="4">
        <f t="shared" si="49"/>
        <v>0.80000000000000426</v>
      </c>
      <c r="G303" s="4">
        <f t="shared" si="50"/>
        <v>0.40000000000000213</v>
      </c>
      <c r="H303" s="5">
        <f t="shared" si="51"/>
        <v>0.79999993555248206</v>
      </c>
      <c r="I303" s="14">
        <f t="shared" si="45"/>
        <v>139.22689121329421</v>
      </c>
      <c r="J303" s="19">
        <f t="shared" si="46"/>
        <v>988354.37683354341</v>
      </c>
      <c r="K303" s="16">
        <f t="shared" si="44"/>
        <v>0.98441670999356912</v>
      </c>
    </row>
    <row r="304" spans="1:11" x14ac:dyDescent="0.15">
      <c r="A304" s="7">
        <v>39235.483657407407</v>
      </c>
      <c r="B304">
        <v>40.4</v>
      </c>
      <c r="C304" s="6">
        <f t="shared" si="47"/>
        <v>568.00000013317913</v>
      </c>
      <c r="D304" t="str">
        <f t="shared" si="48"/>
        <v/>
      </c>
      <c r="E304">
        <f t="shared" si="43"/>
        <v>39235.483657407407</v>
      </c>
      <c r="F304" s="4">
        <f t="shared" si="49"/>
        <v>0.5</v>
      </c>
      <c r="G304" s="4">
        <f t="shared" si="50"/>
        <v>0.25</v>
      </c>
      <c r="H304" s="5">
        <f t="shared" si="51"/>
        <v>0.64999994763639035</v>
      </c>
      <c r="I304" s="14">
        <f t="shared" si="45"/>
        <v>113.12184911080131</v>
      </c>
      <c r="J304" s="19">
        <f t="shared" si="46"/>
        <v>988467.49868265423</v>
      </c>
      <c r="K304" s="16">
        <f t="shared" si="44"/>
        <v>0.98452938115802213</v>
      </c>
    </row>
    <row r="305" spans="1:11" x14ac:dyDescent="0.15">
      <c r="A305" s="7">
        <v>39235.483680555553</v>
      </c>
      <c r="B305">
        <v>40.5</v>
      </c>
      <c r="C305" s="6">
        <f t="shared" si="47"/>
        <v>569.99999997206032</v>
      </c>
      <c r="D305" t="str">
        <f t="shared" si="48"/>
        <v/>
      </c>
      <c r="E305">
        <f t="shared" si="43"/>
        <v>39235.483680555553</v>
      </c>
      <c r="F305" s="4">
        <f t="shared" si="49"/>
        <v>0.60000000000000142</v>
      </c>
      <c r="G305" s="4">
        <f t="shared" si="50"/>
        <v>0.30000000000000071</v>
      </c>
      <c r="H305" s="5">
        <f t="shared" si="51"/>
        <v>0.54999995569232918</v>
      </c>
      <c r="I305" s="14">
        <f t="shared" si="45"/>
        <v>95.718487709139367</v>
      </c>
      <c r="J305" s="19">
        <f t="shared" si="46"/>
        <v>988563.21717036341</v>
      </c>
      <c r="K305" s="16">
        <f t="shared" si="44"/>
        <v>0.98462471829717468</v>
      </c>
    </row>
    <row r="306" spans="1:11" x14ac:dyDescent="0.15">
      <c r="A306" s="7">
        <v>39235.483703703707</v>
      </c>
      <c r="B306">
        <v>40.700000000000003</v>
      </c>
      <c r="C306" s="6">
        <f t="shared" si="47"/>
        <v>572.00000043958426</v>
      </c>
      <c r="D306" t="str">
        <f t="shared" si="48"/>
        <v/>
      </c>
      <c r="E306">
        <f t="shared" si="43"/>
        <v>39235.483703703707</v>
      </c>
      <c r="F306" s="4">
        <f t="shared" si="49"/>
        <v>0.80000000000000426</v>
      </c>
      <c r="G306" s="4">
        <f t="shared" si="50"/>
        <v>0.40000000000000213</v>
      </c>
      <c r="H306" s="5">
        <f t="shared" si="51"/>
        <v>0.70000016363337925</v>
      </c>
      <c r="I306" s="14">
        <f t="shared" si="45"/>
        <v>121.82356810337403</v>
      </c>
      <c r="J306" s="19">
        <f t="shared" si="46"/>
        <v>988685.04073846678</v>
      </c>
      <c r="K306" s="16">
        <f t="shared" si="44"/>
        <v>0.98474605651241709</v>
      </c>
    </row>
    <row r="307" spans="1:11" x14ac:dyDescent="0.15">
      <c r="A307" s="7">
        <v>39235.483726851853</v>
      </c>
      <c r="B307">
        <v>40.700000000000003</v>
      </c>
      <c r="C307" s="6">
        <f t="shared" si="47"/>
        <v>574.00000027846545</v>
      </c>
      <c r="D307" t="str">
        <f t="shared" si="48"/>
        <v/>
      </c>
      <c r="E307">
        <f t="shared" si="43"/>
        <v>39235.483726851853</v>
      </c>
      <c r="F307" s="4">
        <f t="shared" si="49"/>
        <v>0.80000000000000426</v>
      </c>
      <c r="G307" s="4">
        <f t="shared" si="50"/>
        <v>0.40000000000000213</v>
      </c>
      <c r="H307" s="5">
        <f t="shared" si="51"/>
        <v>0.79999993555248206</v>
      </c>
      <c r="I307" s="14">
        <f t="shared" si="45"/>
        <v>139.22689121329421</v>
      </c>
      <c r="J307" s="19">
        <f t="shared" si="46"/>
        <v>988824.26762968011</v>
      </c>
      <c r="K307" s="16">
        <f t="shared" si="44"/>
        <v>0.9848847287148208</v>
      </c>
    </row>
    <row r="308" spans="1:11" x14ac:dyDescent="0.15">
      <c r="A308" s="7">
        <v>39235.483749999999</v>
      </c>
      <c r="B308">
        <v>40.4</v>
      </c>
      <c r="C308" s="6">
        <f t="shared" si="47"/>
        <v>576.00000011734664</v>
      </c>
      <c r="D308" t="str">
        <f t="shared" si="48"/>
        <v/>
      </c>
      <c r="E308">
        <f t="shared" si="43"/>
        <v>39235.483749999999</v>
      </c>
      <c r="F308" s="4">
        <f t="shared" si="49"/>
        <v>0.5</v>
      </c>
      <c r="G308" s="4">
        <f t="shared" si="50"/>
        <v>0.25</v>
      </c>
      <c r="H308" s="5">
        <f t="shared" si="51"/>
        <v>0.64999994763639035</v>
      </c>
      <c r="I308" s="14">
        <f t="shared" si="45"/>
        <v>113.12184911080131</v>
      </c>
      <c r="J308" s="19">
        <f t="shared" si="46"/>
        <v>988937.38947879092</v>
      </c>
      <c r="K308" s="16">
        <f t="shared" si="44"/>
        <v>0.98499739987927382</v>
      </c>
    </row>
    <row r="309" spans="1:11" x14ac:dyDescent="0.15">
      <c r="A309" s="7">
        <v>39235.483773148146</v>
      </c>
      <c r="B309">
        <v>40.6</v>
      </c>
      <c r="C309" s="6">
        <f t="shared" si="47"/>
        <v>577.99999995622784</v>
      </c>
      <c r="D309" t="str">
        <f t="shared" si="48"/>
        <v/>
      </c>
      <c r="E309">
        <f t="shared" si="43"/>
        <v>39235.483773148146</v>
      </c>
      <c r="F309" s="4">
        <f t="shared" si="49"/>
        <v>0.70000000000000284</v>
      </c>
      <c r="G309" s="4">
        <f t="shared" si="50"/>
        <v>0.35000000000000142</v>
      </c>
      <c r="H309" s="5">
        <f t="shared" si="51"/>
        <v>0.59999995166435982</v>
      </c>
      <c r="I309" s="14">
        <f t="shared" si="45"/>
        <v>104.42016840997034</v>
      </c>
      <c r="J309" s="19">
        <f t="shared" si="46"/>
        <v>989041.80964720086</v>
      </c>
      <c r="K309" s="16">
        <f t="shared" si="44"/>
        <v>0.9851014040310766</v>
      </c>
    </row>
    <row r="310" spans="1:11" x14ac:dyDescent="0.15">
      <c r="A310" s="7">
        <v>39235.483796296299</v>
      </c>
      <c r="B310">
        <v>40.6</v>
      </c>
      <c r="C310" s="6">
        <f t="shared" si="47"/>
        <v>580.00000042375177</v>
      </c>
      <c r="D310" t="str">
        <f t="shared" si="48"/>
        <v/>
      </c>
      <c r="E310">
        <f t="shared" si="43"/>
        <v>39235.483796296299</v>
      </c>
      <c r="F310" s="4">
        <f t="shared" si="49"/>
        <v>0.70000000000000284</v>
      </c>
      <c r="G310" s="4">
        <f t="shared" si="50"/>
        <v>0.35000000000000142</v>
      </c>
      <c r="H310" s="5">
        <f t="shared" si="51"/>
        <v>0.70000016363337925</v>
      </c>
      <c r="I310" s="14">
        <f t="shared" si="45"/>
        <v>121.82356810337403</v>
      </c>
      <c r="J310" s="19">
        <f t="shared" si="46"/>
        <v>989163.63321530423</v>
      </c>
      <c r="K310" s="16">
        <f t="shared" si="44"/>
        <v>0.98522274224631901</v>
      </c>
    </row>
    <row r="311" spans="1:11" x14ac:dyDescent="0.15">
      <c r="A311" s="7">
        <v>39235.483819444446</v>
      </c>
      <c r="B311">
        <v>40.5</v>
      </c>
      <c r="C311" s="6">
        <f t="shared" si="47"/>
        <v>582.00000026263297</v>
      </c>
      <c r="D311" t="str">
        <f t="shared" si="48"/>
        <v/>
      </c>
      <c r="E311">
        <f t="shared" si="43"/>
        <v>39235.483819444446</v>
      </c>
      <c r="F311" s="4">
        <f t="shared" si="49"/>
        <v>0.60000000000000142</v>
      </c>
      <c r="G311" s="4">
        <f t="shared" si="50"/>
        <v>0.30000000000000071</v>
      </c>
      <c r="H311" s="5">
        <f t="shared" si="51"/>
        <v>0.64999994763639035</v>
      </c>
      <c r="I311" s="14">
        <f t="shared" si="45"/>
        <v>113.12184911080131</v>
      </c>
      <c r="J311" s="19">
        <f t="shared" si="46"/>
        <v>989276.75506441505</v>
      </c>
      <c r="K311" s="16">
        <f t="shared" si="44"/>
        <v>0.98533541341077191</v>
      </c>
    </row>
    <row r="312" spans="1:11" x14ac:dyDescent="0.15">
      <c r="A312" s="7">
        <v>39235.483842592592</v>
      </c>
      <c r="B312">
        <v>40.4</v>
      </c>
      <c r="C312" s="6">
        <f t="shared" si="47"/>
        <v>584.00000010151416</v>
      </c>
      <c r="D312" t="str">
        <f t="shared" si="48"/>
        <v/>
      </c>
      <c r="E312">
        <f t="shared" si="43"/>
        <v>39235.483842592592</v>
      </c>
      <c r="F312" s="4">
        <f t="shared" si="49"/>
        <v>0.5</v>
      </c>
      <c r="G312" s="4">
        <f t="shared" si="50"/>
        <v>0.25</v>
      </c>
      <c r="H312" s="5">
        <f t="shared" si="51"/>
        <v>0.54999995569232918</v>
      </c>
      <c r="I312" s="14">
        <f t="shared" si="45"/>
        <v>95.718487709139367</v>
      </c>
      <c r="J312" s="19">
        <f t="shared" si="46"/>
        <v>989372.47355212423</v>
      </c>
      <c r="K312" s="16">
        <f t="shared" si="44"/>
        <v>0.98543075054992457</v>
      </c>
    </row>
    <row r="313" spans="1:11" x14ac:dyDescent="0.15">
      <c r="A313" s="7">
        <v>39235.483865740738</v>
      </c>
      <c r="B313">
        <v>40.4</v>
      </c>
      <c r="C313" s="6">
        <f t="shared" si="47"/>
        <v>585.99999994039536</v>
      </c>
      <c r="D313" t="str">
        <f t="shared" si="48"/>
        <v/>
      </c>
      <c r="E313">
        <f t="shared" si="43"/>
        <v>39235.483865740738</v>
      </c>
      <c r="F313" s="4">
        <f t="shared" si="49"/>
        <v>0.5</v>
      </c>
      <c r="G313" s="4">
        <f t="shared" si="50"/>
        <v>0.25</v>
      </c>
      <c r="H313" s="5">
        <f t="shared" si="51"/>
        <v>0.49999995972029865</v>
      </c>
      <c r="I313" s="14">
        <f t="shared" si="45"/>
        <v>87.016807008308419</v>
      </c>
      <c r="J313" s="19">
        <f t="shared" si="46"/>
        <v>989459.49035913253</v>
      </c>
      <c r="K313" s="16">
        <f t="shared" si="44"/>
        <v>0.98551742067642678</v>
      </c>
    </row>
    <row r="314" spans="1:11" x14ac:dyDescent="0.15">
      <c r="A314" s="7">
        <v>39235.483888888892</v>
      </c>
      <c r="B314">
        <v>40.5</v>
      </c>
      <c r="C314" s="6">
        <f t="shared" si="47"/>
        <v>588.00000040791929</v>
      </c>
      <c r="D314" t="str">
        <f t="shared" si="48"/>
        <v/>
      </c>
      <c r="E314">
        <f t="shared" si="43"/>
        <v>39235.483888888892</v>
      </c>
      <c r="F314" s="4">
        <f t="shared" si="49"/>
        <v>0.60000000000000142</v>
      </c>
      <c r="G314" s="4">
        <f t="shared" si="50"/>
        <v>0.30000000000000071</v>
      </c>
      <c r="H314" s="5">
        <f t="shared" si="51"/>
        <v>0.55000012856908209</v>
      </c>
      <c r="I314" s="14">
        <f t="shared" si="45"/>
        <v>95.718517795507879</v>
      </c>
      <c r="J314" s="19">
        <f t="shared" si="46"/>
        <v>989555.20887692808</v>
      </c>
      <c r="K314" s="16">
        <f t="shared" si="44"/>
        <v>0.98561275784554592</v>
      </c>
    </row>
    <row r="315" spans="1:11" x14ac:dyDescent="0.15">
      <c r="A315" s="7">
        <v>39235.483912037038</v>
      </c>
      <c r="B315">
        <v>40.4</v>
      </c>
      <c r="C315" s="6">
        <f t="shared" si="47"/>
        <v>590.00000024680048</v>
      </c>
      <c r="D315" t="str">
        <f t="shared" si="48"/>
        <v/>
      </c>
      <c r="E315">
        <f t="shared" si="43"/>
        <v>39235.483912037038</v>
      </c>
      <c r="F315" s="4">
        <f t="shared" si="49"/>
        <v>0.5</v>
      </c>
      <c r="G315" s="4">
        <f t="shared" si="50"/>
        <v>0.25</v>
      </c>
      <c r="H315" s="5">
        <f t="shared" si="51"/>
        <v>0.54999995569232918</v>
      </c>
      <c r="I315" s="14">
        <f t="shared" si="45"/>
        <v>95.718487709139367</v>
      </c>
      <c r="J315" s="19">
        <f t="shared" si="46"/>
        <v>989650.92736463726</v>
      </c>
      <c r="K315" s="16">
        <f t="shared" si="44"/>
        <v>0.98570809498469847</v>
      </c>
    </row>
    <row r="316" spans="1:11" x14ac:dyDescent="0.15">
      <c r="A316" s="7">
        <v>39235.483935185184</v>
      </c>
      <c r="B316">
        <v>40.4</v>
      </c>
      <c r="C316" s="6">
        <f t="shared" si="47"/>
        <v>592.00000008568168</v>
      </c>
      <c r="D316" t="str">
        <f t="shared" si="48"/>
        <v/>
      </c>
      <c r="E316">
        <f t="shared" si="43"/>
        <v>39235.483935185184</v>
      </c>
      <c r="F316" s="4">
        <f t="shared" si="49"/>
        <v>0.5</v>
      </c>
      <c r="G316" s="4">
        <f t="shared" si="50"/>
        <v>0.25</v>
      </c>
      <c r="H316" s="5">
        <f t="shared" si="51"/>
        <v>0.49999995972029865</v>
      </c>
      <c r="I316" s="14">
        <f t="shared" si="45"/>
        <v>87.016807008308419</v>
      </c>
      <c r="J316" s="19">
        <f t="shared" si="46"/>
        <v>989737.94417164556</v>
      </c>
      <c r="K316" s="16">
        <f t="shared" si="44"/>
        <v>0.98579476511120079</v>
      </c>
    </row>
    <row r="317" spans="1:11" x14ac:dyDescent="0.15">
      <c r="A317" s="7">
        <v>39235.483958333331</v>
      </c>
      <c r="B317">
        <v>40.5</v>
      </c>
      <c r="C317" s="6">
        <f t="shared" si="47"/>
        <v>593.99999992456287</v>
      </c>
      <c r="D317" t="str">
        <f t="shared" si="48"/>
        <v/>
      </c>
      <c r="E317">
        <f t="shared" si="43"/>
        <v>39235.483958333331</v>
      </c>
      <c r="F317" s="4">
        <f t="shared" si="49"/>
        <v>0.60000000000000142</v>
      </c>
      <c r="G317" s="4">
        <f t="shared" si="50"/>
        <v>0.30000000000000071</v>
      </c>
      <c r="H317" s="5">
        <f t="shared" si="51"/>
        <v>0.54999995569232918</v>
      </c>
      <c r="I317" s="14">
        <f t="shared" si="45"/>
        <v>95.718487709139367</v>
      </c>
      <c r="J317" s="19">
        <f t="shared" si="46"/>
        <v>989833.66265935474</v>
      </c>
      <c r="K317" s="16">
        <f t="shared" si="44"/>
        <v>0.98589010225035334</v>
      </c>
    </row>
    <row r="318" spans="1:11" x14ac:dyDescent="0.15">
      <c r="A318" s="7">
        <v>39235.483981481484</v>
      </c>
      <c r="B318">
        <v>40.4</v>
      </c>
      <c r="C318" s="6">
        <f t="shared" si="47"/>
        <v>596.0000003920868</v>
      </c>
      <c r="D318" t="str">
        <f t="shared" si="48"/>
        <v/>
      </c>
      <c r="E318">
        <f t="shared" si="43"/>
        <v>39235.483981481484</v>
      </c>
      <c r="F318" s="4">
        <f t="shared" si="49"/>
        <v>0.5</v>
      </c>
      <c r="G318" s="4">
        <f t="shared" si="50"/>
        <v>0.25</v>
      </c>
      <c r="H318" s="5">
        <f t="shared" si="51"/>
        <v>0.55000012856908209</v>
      </c>
      <c r="I318" s="14">
        <f t="shared" si="45"/>
        <v>95.718517795507879</v>
      </c>
      <c r="J318" s="19">
        <f t="shared" si="46"/>
        <v>989929.3811771503</v>
      </c>
      <c r="K318" s="16">
        <f t="shared" si="44"/>
        <v>0.98598543941947236</v>
      </c>
    </row>
    <row r="319" spans="1:11" x14ac:dyDescent="0.15">
      <c r="A319" s="7">
        <v>39235.48400462963</v>
      </c>
      <c r="B319">
        <v>40.4</v>
      </c>
      <c r="C319" s="6">
        <f t="shared" si="47"/>
        <v>598.000000230968</v>
      </c>
      <c r="D319" t="str">
        <f t="shared" si="48"/>
        <v/>
      </c>
      <c r="E319">
        <f t="shared" si="43"/>
        <v>39235.48400462963</v>
      </c>
      <c r="F319" s="4">
        <f t="shared" si="49"/>
        <v>0.5</v>
      </c>
      <c r="G319" s="4">
        <f t="shared" si="50"/>
        <v>0.25</v>
      </c>
      <c r="H319" s="5">
        <f t="shared" si="51"/>
        <v>0.49999995972029865</v>
      </c>
      <c r="I319" s="14">
        <f t="shared" si="45"/>
        <v>87.016807008308419</v>
      </c>
      <c r="J319" s="19">
        <f t="shared" si="46"/>
        <v>990016.3979841586</v>
      </c>
      <c r="K319" s="16">
        <f t="shared" si="44"/>
        <v>0.98607210954597468</v>
      </c>
    </row>
    <row r="320" spans="1:11" x14ac:dyDescent="0.15">
      <c r="A320" s="7">
        <v>39235.484027777777</v>
      </c>
      <c r="B320">
        <v>40.4</v>
      </c>
      <c r="C320" s="6">
        <f t="shared" si="47"/>
        <v>600.00000006984919</v>
      </c>
      <c r="D320" t="str">
        <f t="shared" si="48"/>
        <v/>
      </c>
      <c r="E320">
        <f t="shared" si="43"/>
        <v>39235.484027777777</v>
      </c>
      <c r="F320" s="4">
        <f t="shared" si="49"/>
        <v>0.5</v>
      </c>
      <c r="G320" s="4">
        <f t="shared" si="50"/>
        <v>0.25</v>
      </c>
      <c r="H320" s="5">
        <f t="shared" si="51"/>
        <v>0.49999995972029865</v>
      </c>
      <c r="I320" s="14">
        <f t="shared" si="45"/>
        <v>87.016807008308419</v>
      </c>
      <c r="J320" s="19">
        <f t="shared" si="46"/>
        <v>990103.4147911669</v>
      </c>
      <c r="K320" s="16">
        <f t="shared" si="44"/>
        <v>0.986158779672477</v>
      </c>
    </row>
    <row r="321" spans="1:11" x14ac:dyDescent="0.15">
      <c r="A321" s="7">
        <v>39235.484050925923</v>
      </c>
      <c r="B321">
        <v>40.6</v>
      </c>
      <c r="C321" s="6">
        <f t="shared" si="47"/>
        <v>601.99999990873039</v>
      </c>
      <c r="D321" t="str">
        <f t="shared" si="48"/>
        <v/>
      </c>
      <c r="E321">
        <f t="shared" si="43"/>
        <v>39235.484050925923</v>
      </c>
      <c r="F321" s="4">
        <f t="shared" si="49"/>
        <v>0.70000000000000284</v>
      </c>
      <c r="G321" s="4">
        <f t="shared" si="50"/>
        <v>0.35000000000000142</v>
      </c>
      <c r="H321" s="5">
        <f t="shared" si="51"/>
        <v>0.59999995166435982</v>
      </c>
      <c r="I321" s="14">
        <f t="shared" si="45"/>
        <v>104.42016840997034</v>
      </c>
      <c r="J321" s="19">
        <f t="shared" si="46"/>
        <v>990207.83495957684</v>
      </c>
      <c r="K321" s="16">
        <f t="shared" si="44"/>
        <v>0.98626278382427968</v>
      </c>
    </row>
    <row r="322" spans="1:11" x14ac:dyDescent="0.15">
      <c r="A322" s="7">
        <v>39235.484074074076</v>
      </c>
      <c r="B322">
        <v>40.4</v>
      </c>
      <c r="C322" s="6">
        <f t="shared" si="47"/>
        <v>604.00000037625432</v>
      </c>
      <c r="D322" t="str">
        <f t="shared" si="48"/>
        <v/>
      </c>
      <c r="E322">
        <f t="shared" si="43"/>
        <v>39235.484074074076</v>
      </c>
      <c r="F322" s="4">
        <f t="shared" si="49"/>
        <v>0.5</v>
      </c>
      <c r="G322" s="4">
        <f t="shared" si="50"/>
        <v>0.25</v>
      </c>
      <c r="H322" s="5">
        <f t="shared" si="51"/>
        <v>0.60000014025718118</v>
      </c>
      <c r="I322" s="14">
        <f t="shared" si="45"/>
        <v>104.42020123146327</v>
      </c>
      <c r="J322" s="19">
        <f t="shared" si="46"/>
        <v>990312.25516080833</v>
      </c>
      <c r="K322" s="16">
        <f t="shared" si="44"/>
        <v>0.9863667880087732</v>
      </c>
    </row>
    <row r="323" spans="1:11" x14ac:dyDescent="0.15">
      <c r="A323" s="7">
        <v>39235.484097222223</v>
      </c>
      <c r="B323">
        <v>40.4</v>
      </c>
      <c r="C323" s="6">
        <f t="shared" si="47"/>
        <v>606.00000021513551</v>
      </c>
      <c r="D323" t="str">
        <f t="shared" si="48"/>
        <v/>
      </c>
      <c r="E323">
        <f t="shared" si="43"/>
        <v>39235.484097222223</v>
      </c>
      <c r="F323" s="4">
        <f t="shared" si="49"/>
        <v>0.5</v>
      </c>
      <c r="G323" s="4">
        <f t="shared" si="50"/>
        <v>0.25</v>
      </c>
      <c r="H323" s="5">
        <f t="shared" si="51"/>
        <v>0.49999995972029865</v>
      </c>
      <c r="I323" s="14">
        <f t="shared" si="45"/>
        <v>87.016807008308419</v>
      </c>
      <c r="J323" s="19">
        <f t="shared" si="46"/>
        <v>990399.27196781663</v>
      </c>
      <c r="K323" s="16">
        <f t="shared" si="44"/>
        <v>0.98645345813527552</v>
      </c>
    </row>
    <row r="324" spans="1:11" x14ac:dyDescent="0.15">
      <c r="A324" s="7">
        <v>39235.484120370369</v>
      </c>
      <c r="B324">
        <v>40.299999999999997</v>
      </c>
      <c r="C324" s="6">
        <f t="shared" si="47"/>
        <v>608.00000005401671</v>
      </c>
      <c r="D324" t="str">
        <f t="shared" si="48"/>
        <v/>
      </c>
      <c r="E324">
        <f t="shared" si="43"/>
        <v>39235.484120370369</v>
      </c>
      <c r="F324" s="4">
        <f t="shared" si="49"/>
        <v>0.39999999999999858</v>
      </c>
      <c r="G324" s="4">
        <f t="shared" si="50"/>
        <v>0.19999999999999929</v>
      </c>
      <c r="H324" s="5">
        <f t="shared" si="51"/>
        <v>0.44999996374826806</v>
      </c>
      <c r="I324" s="14">
        <f t="shared" si="45"/>
        <v>78.315126307477442</v>
      </c>
      <c r="J324" s="19">
        <f t="shared" si="46"/>
        <v>990477.58709412406</v>
      </c>
      <c r="K324" s="16">
        <f t="shared" si="44"/>
        <v>0.98653146124912749</v>
      </c>
    </row>
    <row r="325" spans="1:11" x14ac:dyDescent="0.15">
      <c r="A325" s="7">
        <v>39235.484143518515</v>
      </c>
      <c r="B325">
        <v>40.299999999999997</v>
      </c>
      <c r="C325" s="6">
        <f t="shared" si="47"/>
        <v>609.9999998928979</v>
      </c>
      <c r="D325" t="str">
        <f t="shared" si="48"/>
        <v/>
      </c>
      <c r="E325">
        <f t="shared" si="43"/>
        <v>39235.484143518515</v>
      </c>
      <c r="F325" s="4">
        <f t="shared" si="49"/>
        <v>0.39999999999999858</v>
      </c>
      <c r="G325" s="4">
        <f t="shared" si="50"/>
        <v>0.19999999999999929</v>
      </c>
      <c r="H325" s="5">
        <f t="shared" si="51"/>
        <v>0.39999996777623748</v>
      </c>
      <c r="I325" s="14">
        <f t="shared" si="45"/>
        <v>69.613445606646479</v>
      </c>
      <c r="J325" s="19">
        <f t="shared" si="46"/>
        <v>990547.20053973072</v>
      </c>
      <c r="K325" s="16">
        <f t="shared" si="44"/>
        <v>0.98660079735032935</v>
      </c>
    </row>
    <row r="326" spans="1:11" x14ac:dyDescent="0.15">
      <c r="A326" s="7">
        <v>39235.484166666669</v>
      </c>
      <c r="B326">
        <v>40.299999999999997</v>
      </c>
      <c r="C326" s="6">
        <f t="shared" si="47"/>
        <v>612.00000036042184</v>
      </c>
      <c r="D326" t="str">
        <f t="shared" si="48"/>
        <v/>
      </c>
      <c r="E326">
        <f t="shared" si="43"/>
        <v>39235.484166666669</v>
      </c>
      <c r="F326" s="4">
        <f t="shared" si="49"/>
        <v>0.39999999999999858</v>
      </c>
      <c r="G326" s="4">
        <f t="shared" si="50"/>
        <v>0.19999999999999929</v>
      </c>
      <c r="H326" s="5">
        <f t="shared" si="51"/>
        <v>0.40000009350478505</v>
      </c>
      <c r="I326" s="14">
        <f t="shared" si="45"/>
        <v>69.613467487641756</v>
      </c>
      <c r="J326" s="19">
        <f t="shared" si="46"/>
        <v>990616.81400721835</v>
      </c>
      <c r="K326" s="16">
        <f t="shared" si="44"/>
        <v>0.986670133473325</v>
      </c>
    </row>
    <row r="327" spans="1:11" x14ac:dyDescent="0.15">
      <c r="A327" s="7">
        <v>39235.484189814815</v>
      </c>
      <c r="B327">
        <v>40.299999999999997</v>
      </c>
      <c r="C327" s="6">
        <f t="shared" si="47"/>
        <v>614.00000019930303</v>
      </c>
      <c r="D327" t="str">
        <f t="shared" si="48"/>
        <v/>
      </c>
      <c r="E327">
        <f t="shared" si="43"/>
        <v>39235.484189814815</v>
      </c>
      <c r="F327" s="4">
        <f t="shared" si="49"/>
        <v>0.39999999999999858</v>
      </c>
      <c r="G327" s="4">
        <f t="shared" si="50"/>
        <v>0.19999999999999929</v>
      </c>
      <c r="H327" s="5">
        <f t="shared" si="51"/>
        <v>0.39999996777623748</v>
      </c>
      <c r="I327" s="14">
        <f t="shared" si="45"/>
        <v>69.613445606646479</v>
      </c>
      <c r="J327" s="19">
        <f t="shared" si="46"/>
        <v>990686.42745282501</v>
      </c>
      <c r="K327" s="16">
        <f t="shared" si="44"/>
        <v>0.98673946957452685</v>
      </c>
    </row>
    <row r="328" spans="1:11" x14ac:dyDescent="0.15">
      <c r="A328" s="7">
        <v>39235.484212962961</v>
      </c>
      <c r="B328">
        <v>40.299999999999997</v>
      </c>
      <c r="C328" s="6">
        <f t="shared" si="47"/>
        <v>616.00000003818423</v>
      </c>
      <c r="D328" t="str">
        <f t="shared" si="48"/>
        <v/>
      </c>
      <c r="E328">
        <f t="shared" si="43"/>
        <v>39235.484212962961</v>
      </c>
      <c r="F328" s="4">
        <f t="shared" si="49"/>
        <v>0.39999999999999858</v>
      </c>
      <c r="G328" s="4">
        <f t="shared" si="50"/>
        <v>0.19999999999999929</v>
      </c>
      <c r="H328" s="5">
        <f t="shared" si="51"/>
        <v>0.39999996777623748</v>
      </c>
      <c r="I328" s="14">
        <f t="shared" si="45"/>
        <v>69.613445606646479</v>
      </c>
      <c r="J328" s="19">
        <f t="shared" si="46"/>
        <v>990756.04089843167</v>
      </c>
      <c r="K328" s="16">
        <f t="shared" si="44"/>
        <v>0.98680880567572871</v>
      </c>
    </row>
    <row r="329" spans="1:11" x14ac:dyDescent="0.15">
      <c r="A329" s="7">
        <v>39235.484236111108</v>
      </c>
      <c r="B329">
        <v>40.299999999999997</v>
      </c>
      <c r="C329" s="6">
        <f t="shared" si="47"/>
        <v>617.99999987706542</v>
      </c>
      <c r="D329" t="str">
        <f t="shared" si="48"/>
        <v/>
      </c>
      <c r="E329">
        <f t="shared" si="43"/>
        <v>39235.484236111108</v>
      </c>
      <c r="F329" s="4">
        <f t="shared" si="49"/>
        <v>0.39999999999999858</v>
      </c>
      <c r="G329" s="4">
        <f t="shared" si="50"/>
        <v>0.19999999999999929</v>
      </c>
      <c r="H329" s="5">
        <f t="shared" si="51"/>
        <v>0.39999996777623748</v>
      </c>
      <c r="I329" s="14">
        <f t="shared" si="45"/>
        <v>69.613445606646479</v>
      </c>
      <c r="J329" s="19">
        <f t="shared" si="46"/>
        <v>990825.65434403834</v>
      </c>
      <c r="K329" s="16">
        <f t="shared" si="44"/>
        <v>0.98687814177693056</v>
      </c>
    </row>
    <row r="330" spans="1:11" x14ac:dyDescent="0.15">
      <c r="A330" s="7">
        <v>39235.484259259261</v>
      </c>
      <c r="B330">
        <v>40.5</v>
      </c>
      <c r="C330" s="6">
        <f t="shared" si="47"/>
        <v>620.00000034458935</v>
      </c>
      <c r="D330" t="str">
        <f t="shared" si="48"/>
        <v/>
      </c>
      <c r="E330">
        <f t="shared" si="43"/>
        <v>39235.484259259261</v>
      </c>
      <c r="F330" s="4">
        <f t="shared" si="49"/>
        <v>0.60000000000000142</v>
      </c>
      <c r="G330" s="4">
        <f t="shared" si="50"/>
        <v>0.30000000000000071</v>
      </c>
      <c r="H330" s="5">
        <f t="shared" si="51"/>
        <v>0.50000011688098311</v>
      </c>
      <c r="I330" s="14">
        <f t="shared" si="45"/>
        <v>87.016834359552519</v>
      </c>
      <c r="J330" s="19">
        <f t="shared" si="46"/>
        <v>990912.67117839784</v>
      </c>
      <c r="K330" s="16">
        <f t="shared" si="44"/>
        <v>0.98696481193067509</v>
      </c>
    </row>
    <row r="331" spans="1:11" x14ac:dyDescent="0.15">
      <c r="A331" s="7">
        <v>39235.484282407408</v>
      </c>
      <c r="B331">
        <v>40.299999999999997</v>
      </c>
      <c r="C331" s="6">
        <f t="shared" si="47"/>
        <v>622.00000018347055</v>
      </c>
      <c r="D331" t="str">
        <f t="shared" si="48"/>
        <v/>
      </c>
      <c r="E331">
        <f t="shared" si="43"/>
        <v>39235.484282407408</v>
      </c>
      <c r="F331" s="4">
        <f t="shared" si="49"/>
        <v>0.39999999999999858</v>
      </c>
      <c r="G331" s="4">
        <f t="shared" si="50"/>
        <v>0.19999999999999929</v>
      </c>
      <c r="H331" s="5">
        <f t="shared" si="51"/>
        <v>0.49999995972029865</v>
      </c>
      <c r="I331" s="14">
        <f t="shared" si="45"/>
        <v>87.016807008308419</v>
      </c>
      <c r="J331" s="19">
        <f t="shared" si="46"/>
        <v>990999.68798540614</v>
      </c>
      <c r="K331" s="16">
        <f t="shared" si="44"/>
        <v>0.98705148205717741</v>
      </c>
    </row>
    <row r="332" spans="1:11" x14ac:dyDescent="0.15">
      <c r="A332" s="7">
        <v>39235.484305555554</v>
      </c>
      <c r="B332">
        <v>40.299999999999997</v>
      </c>
      <c r="C332" s="6">
        <f t="shared" si="47"/>
        <v>624.00000002235174</v>
      </c>
      <c r="D332" t="str">
        <f t="shared" si="48"/>
        <v/>
      </c>
      <c r="E332">
        <f t="shared" si="43"/>
        <v>39235.484305555554</v>
      </c>
      <c r="F332" s="4">
        <f t="shared" si="49"/>
        <v>0.39999999999999858</v>
      </c>
      <c r="G332" s="4">
        <f t="shared" si="50"/>
        <v>0.19999999999999929</v>
      </c>
      <c r="H332" s="5">
        <f t="shared" si="51"/>
        <v>0.39999996777623748</v>
      </c>
      <c r="I332" s="14">
        <f t="shared" si="45"/>
        <v>69.613445606646479</v>
      </c>
      <c r="J332" s="19">
        <f t="shared" si="46"/>
        <v>991069.30143101281</v>
      </c>
      <c r="K332" s="16">
        <f t="shared" si="44"/>
        <v>0.98712081815837927</v>
      </c>
    </row>
    <row r="333" spans="1:11" x14ac:dyDescent="0.15">
      <c r="A333" s="7">
        <v>39235.4843287037</v>
      </c>
      <c r="B333">
        <v>40.299999999999997</v>
      </c>
      <c r="C333" s="6">
        <f t="shared" si="47"/>
        <v>625.99999986123294</v>
      </c>
      <c r="D333" t="str">
        <f t="shared" si="48"/>
        <v/>
      </c>
      <c r="E333">
        <f t="shared" si="43"/>
        <v>39235.4843287037</v>
      </c>
      <c r="F333" s="4">
        <f t="shared" si="49"/>
        <v>0.39999999999999858</v>
      </c>
      <c r="G333" s="4">
        <f t="shared" si="50"/>
        <v>0.19999999999999929</v>
      </c>
      <c r="H333" s="5">
        <f t="shared" si="51"/>
        <v>0.39999996777623748</v>
      </c>
      <c r="I333" s="14">
        <f t="shared" si="45"/>
        <v>69.613445606646479</v>
      </c>
      <c r="J333" s="19">
        <f t="shared" si="46"/>
        <v>991138.91487661947</v>
      </c>
      <c r="K333" s="16">
        <f t="shared" si="44"/>
        <v>0.98719015425958112</v>
      </c>
    </row>
    <row r="334" spans="1:11" x14ac:dyDescent="0.15">
      <c r="A334" s="7">
        <v>39235.484351851854</v>
      </c>
      <c r="B334">
        <v>40.299999999999997</v>
      </c>
      <c r="C334" s="6">
        <f t="shared" si="47"/>
        <v>628.00000032875687</v>
      </c>
      <c r="D334" t="str">
        <f t="shared" si="48"/>
        <v/>
      </c>
      <c r="E334">
        <f t="shared" si="43"/>
        <v>39235.484351851854</v>
      </c>
      <c r="F334" s="4">
        <f t="shared" si="49"/>
        <v>0.39999999999999858</v>
      </c>
      <c r="G334" s="4">
        <f t="shared" si="50"/>
        <v>0.19999999999999929</v>
      </c>
      <c r="H334" s="5">
        <f t="shared" si="51"/>
        <v>0.40000009350478505</v>
      </c>
      <c r="I334" s="14">
        <f t="shared" si="45"/>
        <v>69.613467487641756</v>
      </c>
      <c r="J334" s="19">
        <f t="shared" si="46"/>
        <v>991208.52834410709</v>
      </c>
      <c r="K334" s="16">
        <f t="shared" si="44"/>
        <v>0.98725949038257677</v>
      </c>
    </row>
    <row r="335" spans="1:11" x14ac:dyDescent="0.15">
      <c r="A335" s="7">
        <v>39235.484375</v>
      </c>
      <c r="B335">
        <v>40.4</v>
      </c>
      <c r="C335" s="6">
        <f t="shared" si="47"/>
        <v>630.00000016763806</v>
      </c>
      <c r="D335" t="str">
        <f t="shared" si="48"/>
        <v/>
      </c>
      <c r="E335">
        <f t="shared" si="43"/>
        <v>39235.484375</v>
      </c>
      <c r="F335" s="4">
        <f t="shared" si="49"/>
        <v>0.5</v>
      </c>
      <c r="G335" s="4">
        <f t="shared" si="50"/>
        <v>0.25</v>
      </c>
      <c r="H335" s="5">
        <f t="shared" si="51"/>
        <v>0.44999996374826806</v>
      </c>
      <c r="I335" s="14">
        <f t="shared" si="45"/>
        <v>78.315126307477442</v>
      </c>
      <c r="J335" s="19">
        <f t="shared" si="46"/>
        <v>991286.84347041452</v>
      </c>
      <c r="K335" s="16">
        <f t="shared" si="44"/>
        <v>0.98733749349642885</v>
      </c>
    </row>
    <row r="336" spans="1:11" x14ac:dyDescent="0.15">
      <c r="A336" s="7">
        <v>39235.484398148146</v>
      </c>
      <c r="B336">
        <v>40.299999999999997</v>
      </c>
      <c r="C336" s="6">
        <f t="shared" si="47"/>
        <v>632.00000000651926</v>
      </c>
      <c r="D336" t="str">
        <f t="shared" si="48"/>
        <v/>
      </c>
      <c r="E336">
        <f t="shared" si="43"/>
        <v>39235.484398148146</v>
      </c>
      <c r="F336" s="4">
        <f t="shared" si="49"/>
        <v>0.39999999999999858</v>
      </c>
      <c r="G336" s="4">
        <f t="shared" si="50"/>
        <v>0.19999999999999929</v>
      </c>
      <c r="H336" s="5">
        <f t="shared" si="51"/>
        <v>0.44999996374826806</v>
      </c>
      <c r="I336" s="14">
        <f t="shared" si="45"/>
        <v>78.315126307477442</v>
      </c>
      <c r="J336" s="19">
        <f t="shared" si="46"/>
        <v>991365.15859672194</v>
      </c>
      <c r="K336" s="16">
        <f t="shared" si="44"/>
        <v>0.98741549661028083</v>
      </c>
    </row>
    <row r="337" spans="1:11" x14ac:dyDescent="0.15">
      <c r="A337" s="7">
        <v>39235.4844212963</v>
      </c>
      <c r="B337">
        <v>40.299999999999997</v>
      </c>
      <c r="C337" s="6">
        <f t="shared" si="47"/>
        <v>634.00000047404319</v>
      </c>
      <c r="D337" t="str">
        <f t="shared" si="48"/>
        <v/>
      </c>
      <c r="E337">
        <f t="shared" si="43"/>
        <v>39235.4844212963</v>
      </c>
      <c r="F337" s="4">
        <f t="shared" si="49"/>
        <v>0.39999999999999858</v>
      </c>
      <c r="G337" s="4">
        <f t="shared" si="50"/>
        <v>0.19999999999999929</v>
      </c>
      <c r="H337" s="5">
        <f t="shared" si="51"/>
        <v>0.40000009350478505</v>
      </c>
      <c r="I337" s="14">
        <f t="shared" si="45"/>
        <v>69.613467487641756</v>
      </c>
      <c r="J337" s="19">
        <f t="shared" si="46"/>
        <v>991434.77206420957</v>
      </c>
      <c r="K337" s="16">
        <f t="shared" si="44"/>
        <v>0.98748483273327647</v>
      </c>
    </row>
    <row r="338" spans="1:11" x14ac:dyDescent="0.15">
      <c r="A338" s="7">
        <v>39235.484444444446</v>
      </c>
      <c r="B338">
        <v>40.299999999999997</v>
      </c>
      <c r="C338" s="6">
        <f t="shared" si="47"/>
        <v>636.00000031292439</v>
      </c>
      <c r="D338" t="str">
        <f t="shared" si="48"/>
        <v/>
      </c>
      <c r="E338">
        <f t="shared" si="43"/>
        <v>39235.484444444446</v>
      </c>
      <c r="F338" s="4">
        <f t="shared" si="49"/>
        <v>0.39999999999999858</v>
      </c>
      <c r="G338" s="4">
        <f t="shared" si="50"/>
        <v>0.19999999999999929</v>
      </c>
      <c r="H338" s="5">
        <f t="shared" si="51"/>
        <v>0.39999996777623748</v>
      </c>
      <c r="I338" s="14">
        <f t="shared" si="45"/>
        <v>69.613445606646479</v>
      </c>
      <c r="J338" s="19">
        <f t="shared" si="46"/>
        <v>991504.38550981623</v>
      </c>
      <c r="K338" s="16">
        <f t="shared" si="44"/>
        <v>0.98755416883447833</v>
      </c>
    </row>
    <row r="339" spans="1:11" x14ac:dyDescent="0.15">
      <c r="A339" s="7">
        <v>39235.484467592592</v>
      </c>
      <c r="B339">
        <v>40.299999999999997</v>
      </c>
      <c r="C339" s="6">
        <f t="shared" si="47"/>
        <v>638.00000015180558</v>
      </c>
      <c r="D339" t="str">
        <f t="shared" si="48"/>
        <v/>
      </c>
      <c r="E339">
        <f t="shared" si="43"/>
        <v>39235.484467592592</v>
      </c>
      <c r="F339" s="4">
        <f t="shared" si="49"/>
        <v>0.39999999999999858</v>
      </c>
      <c r="G339" s="4">
        <f t="shared" si="50"/>
        <v>0.19999999999999929</v>
      </c>
      <c r="H339" s="5">
        <f t="shared" si="51"/>
        <v>0.39999996777623748</v>
      </c>
      <c r="I339" s="14">
        <f t="shared" si="45"/>
        <v>69.613445606646479</v>
      </c>
      <c r="J339" s="19">
        <f t="shared" si="46"/>
        <v>991573.9989554229</v>
      </c>
      <c r="K339" s="16">
        <f t="shared" si="44"/>
        <v>0.98762350493568019</v>
      </c>
    </row>
    <row r="340" spans="1:11" x14ac:dyDescent="0.15">
      <c r="A340" s="7">
        <v>39235.484490740739</v>
      </c>
      <c r="B340">
        <v>40.299999999999997</v>
      </c>
      <c r="C340" s="6">
        <f t="shared" si="47"/>
        <v>639.99999999068677</v>
      </c>
      <c r="D340" t="str">
        <f t="shared" si="48"/>
        <v/>
      </c>
      <c r="E340">
        <f t="shared" si="43"/>
        <v>39235.484490740739</v>
      </c>
      <c r="F340" s="4">
        <f t="shared" si="49"/>
        <v>0.39999999999999858</v>
      </c>
      <c r="G340" s="4">
        <f t="shared" si="50"/>
        <v>0.19999999999999929</v>
      </c>
      <c r="H340" s="5">
        <f t="shared" si="51"/>
        <v>0.39999996777623748</v>
      </c>
      <c r="I340" s="14">
        <f t="shared" si="45"/>
        <v>69.613445606646479</v>
      </c>
      <c r="J340" s="19">
        <f t="shared" si="46"/>
        <v>991643.61240102956</v>
      </c>
      <c r="K340" s="16">
        <f t="shared" si="44"/>
        <v>0.98769284103688204</v>
      </c>
    </row>
    <row r="341" spans="1:11" x14ac:dyDescent="0.15">
      <c r="A341" s="7">
        <v>39235.484513888892</v>
      </c>
      <c r="B341">
        <v>40.299999999999997</v>
      </c>
      <c r="C341" s="6">
        <f t="shared" si="47"/>
        <v>642.00000045821071</v>
      </c>
      <c r="D341" t="str">
        <f t="shared" si="48"/>
        <v/>
      </c>
      <c r="E341">
        <f t="shared" ref="E341:E404" si="52">IF(B341-$B$6&gt;0,A341," ")</f>
        <v>39235.484513888892</v>
      </c>
      <c r="F341" s="4">
        <f t="shared" si="49"/>
        <v>0.39999999999999858</v>
      </c>
      <c r="G341" s="4">
        <f t="shared" si="50"/>
        <v>0.19999999999999929</v>
      </c>
      <c r="H341" s="5">
        <f t="shared" si="51"/>
        <v>0.40000009350478505</v>
      </c>
      <c r="I341" s="14">
        <f t="shared" si="45"/>
        <v>69.613467487641756</v>
      </c>
      <c r="J341" s="19">
        <f t="shared" si="46"/>
        <v>991713.22586851718</v>
      </c>
      <c r="K341" s="16">
        <f t="shared" ref="K341:K404" si="53">IF(J341=" ","-",J341/($B$12*1000))</f>
        <v>0.98776217715987769</v>
      </c>
    </row>
    <row r="342" spans="1:11" x14ac:dyDescent="0.15">
      <c r="A342" s="7">
        <v>39235.484537037039</v>
      </c>
      <c r="B342">
        <v>40.299999999999997</v>
      </c>
      <c r="C342" s="6">
        <f t="shared" si="47"/>
        <v>644.0000002970919</v>
      </c>
      <c r="D342" t="str">
        <f t="shared" si="48"/>
        <v/>
      </c>
      <c r="E342">
        <f t="shared" si="52"/>
        <v>39235.484537037039</v>
      </c>
      <c r="F342" s="4">
        <f t="shared" si="49"/>
        <v>0.39999999999999858</v>
      </c>
      <c r="G342" s="4">
        <f t="shared" si="50"/>
        <v>0.19999999999999929</v>
      </c>
      <c r="H342" s="5">
        <f t="shared" si="51"/>
        <v>0.39999996777623748</v>
      </c>
      <c r="I342" s="14">
        <f t="shared" ref="I342:I405" si="54">H342*$B$14</f>
        <v>69.613445606646479</v>
      </c>
      <c r="J342" s="19">
        <f t="shared" ref="J342:J405" si="55">J341+I342</f>
        <v>991782.83931412385</v>
      </c>
      <c r="K342" s="16">
        <f t="shared" si="53"/>
        <v>0.98783151326107954</v>
      </c>
    </row>
    <row r="343" spans="1:11" x14ac:dyDescent="0.15">
      <c r="A343" s="7">
        <v>39235.484560185185</v>
      </c>
      <c r="B343">
        <v>40.299999999999997</v>
      </c>
      <c r="C343" s="6">
        <f t="shared" si="47"/>
        <v>646.0000001359731</v>
      </c>
      <c r="D343" t="str">
        <f t="shared" si="48"/>
        <v/>
      </c>
      <c r="E343">
        <f t="shared" si="52"/>
        <v>39235.484560185185</v>
      </c>
      <c r="F343" s="4">
        <f t="shared" si="49"/>
        <v>0.39999999999999858</v>
      </c>
      <c r="G343" s="4">
        <f t="shared" si="50"/>
        <v>0.19999999999999929</v>
      </c>
      <c r="H343" s="5">
        <f t="shared" si="51"/>
        <v>0.39999996777623748</v>
      </c>
      <c r="I343" s="14">
        <f t="shared" si="54"/>
        <v>69.613445606646479</v>
      </c>
      <c r="J343" s="19">
        <f t="shared" si="55"/>
        <v>991852.45275973051</v>
      </c>
      <c r="K343" s="16">
        <f t="shared" si="53"/>
        <v>0.9879008493622814</v>
      </c>
    </row>
    <row r="344" spans="1:11" x14ac:dyDescent="0.15">
      <c r="A344" s="7">
        <v>39235.484583333331</v>
      </c>
      <c r="B344">
        <v>40.299999999999997</v>
      </c>
      <c r="C344" s="6">
        <f t="shared" si="47"/>
        <v>647.99999997485429</v>
      </c>
      <c r="D344" t="str">
        <f t="shared" si="48"/>
        <v/>
      </c>
      <c r="E344">
        <f t="shared" si="52"/>
        <v>39235.484583333331</v>
      </c>
      <c r="F344" s="4">
        <f t="shared" si="49"/>
        <v>0.39999999999999858</v>
      </c>
      <c r="G344" s="4">
        <f t="shared" si="50"/>
        <v>0.19999999999999929</v>
      </c>
      <c r="H344" s="5">
        <f t="shared" si="51"/>
        <v>0.39999996777623748</v>
      </c>
      <c r="I344" s="14">
        <f t="shared" si="54"/>
        <v>69.613445606646479</v>
      </c>
      <c r="J344" s="19">
        <f t="shared" si="55"/>
        <v>991922.06620533718</v>
      </c>
      <c r="K344" s="16">
        <f t="shared" si="53"/>
        <v>0.98797018546348325</v>
      </c>
    </row>
    <row r="345" spans="1:11" x14ac:dyDescent="0.15">
      <c r="A345" s="7">
        <v>39235.484606481485</v>
      </c>
      <c r="B345">
        <v>40.299999999999997</v>
      </c>
      <c r="C345" s="6">
        <f t="shared" si="47"/>
        <v>650.00000044237822</v>
      </c>
      <c r="D345" t="str">
        <f t="shared" si="48"/>
        <v/>
      </c>
      <c r="E345">
        <f t="shared" si="52"/>
        <v>39235.484606481485</v>
      </c>
      <c r="F345" s="4">
        <f t="shared" si="49"/>
        <v>0.39999999999999858</v>
      </c>
      <c r="G345" s="4">
        <f t="shared" si="50"/>
        <v>0.19999999999999929</v>
      </c>
      <c r="H345" s="5">
        <f t="shared" si="51"/>
        <v>0.40000009350478505</v>
      </c>
      <c r="I345" s="14">
        <f t="shared" si="54"/>
        <v>69.613467487641756</v>
      </c>
      <c r="J345" s="19">
        <f t="shared" si="55"/>
        <v>991991.6796728248</v>
      </c>
      <c r="K345" s="16">
        <f t="shared" si="53"/>
        <v>0.9880395215864789</v>
      </c>
    </row>
    <row r="346" spans="1:11" x14ac:dyDescent="0.15">
      <c r="A346" s="7">
        <v>39235.484629629631</v>
      </c>
      <c r="B346">
        <v>40.299999999999997</v>
      </c>
      <c r="C346" s="6">
        <f t="shared" si="47"/>
        <v>652.00000028125942</v>
      </c>
      <c r="D346" t="str">
        <f t="shared" si="48"/>
        <v/>
      </c>
      <c r="E346">
        <f t="shared" si="52"/>
        <v>39235.484629629631</v>
      </c>
      <c r="F346" s="4">
        <f t="shared" si="49"/>
        <v>0.39999999999999858</v>
      </c>
      <c r="G346" s="4">
        <f t="shared" si="50"/>
        <v>0.19999999999999929</v>
      </c>
      <c r="H346" s="5">
        <f t="shared" si="51"/>
        <v>0.39999996777623748</v>
      </c>
      <c r="I346" s="14">
        <f t="shared" si="54"/>
        <v>69.613445606646479</v>
      </c>
      <c r="J346" s="19">
        <f t="shared" si="55"/>
        <v>992061.29311843147</v>
      </c>
      <c r="K346" s="16">
        <f t="shared" si="53"/>
        <v>0.98810885768768075</v>
      </c>
    </row>
    <row r="347" spans="1:11" x14ac:dyDescent="0.15">
      <c r="A347" s="7">
        <v>39235.484652777777</v>
      </c>
      <c r="B347">
        <v>40.299999999999997</v>
      </c>
      <c r="C347" s="6">
        <f t="shared" si="47"/>
        <v>654.00000012014061</v>
      </c>
      <c r="D347" t="str">
        <f t="shared" si="48"/>
        <v/>
      </c>
      <c r="E347">
        <f t="shared" si="52"/>
        <v>39235.484652777777</v>
      </c>
      <c r="F347" s="4">
        <f t="shared" si="49"/>
        <v>0.39999999999999858</v>
      </c>
      <c r="G347" s="4">
        <f t="shared" si="50"/>
        <v>0.19999999999999929</v>
      </c>
      <c r="H347" s="5">
        <f t="shared" si="51"/>
        <v>0.39999996777623748</v>
      </c>
      <c r="I347" s="14">
        <f t="shared" si="54"/>
        <v>69.613445606646479</v>
      </c>
      <c r="J347" s="19">
        <f t="shared" si="55"/>
        <v>992130.90656403813</v>
      </c>
      <c r="K347" s="16">
        <f t="shared" si="53"/>
        <v>0.98817819378888261</v>
      </c>
    </row>
    <row r="348" spans="1:11" x14ac:dyDescent="0.15">
      <c r="A348" s="7">
        <v>39235.484675925924</v>
      </c>
      <c r="B348">
        <v>40.299999999999997</v>
      </c>
      <c r="C348" s="6">
        <f t="shared" si="47"/>
        <v>655.99999995902181</v>
      </c>
      <c r="D348" t="str">
        <f t="shared" si="48"/>
        <v/>
      </c>
      <c r="E348">
        <f t="shared" si="52"/>
        <v>39235.484675925924</v>
      </c>
      <c r="F348" s="4">
        <f t="shared" si="49"/>
        <v>0.39999999999999858</v>
      </c>
      <c r="G348" s="4">
        <f t="shared" si="50"/>
        <v>0.19999999999999929</v>
      </c>
      <c r="H348" s="5">
        <f t="shared" si="51"/>
        <v>0.39999996777623748</v>
      </c>
      <c r="I348" s="14">
        <f t="shared" si="54"/>
        <v>69.613445606646479</v>
      </c>
      <c r="J348" s="19">
        <f t="shared" si="55"/>
        <v>992200.5200096448</v>
      </c>
      <c r="K348" s="16">
        <f t="shared" si="53"/>
        <v>0.98824752989008446</v>
      </c>
    </row>
    <row r="349" spans="1:11" x14ac:dyDescent="0.15">
      <c r="A349" s="7">
        <v>39235.484699074077</v>
      </c>
      <c r="B349">
        <v>40.299999999999997</v>
      </c>
      <c r="C349" s="6">
        <f t="shared" si="47"/>
        <v>658.00000042654574</v>
      </c>
      <c r="D349" t="str">
        <f t="shared" si="48"/>
        <v/>
      </c>
      <c r="E349">
        <f t="shared" si="52"/>
        <v>39235.484699074077</v>
      </c>
      <c r="F349" s="4">
        <f t="shared" si="49"/>
        <v>0.39999999999999858</v>
      </c>
      <c r="G349" s="4">
        <f t="shared" si="50"/>
        <v>0.19999999999999929</v>
      </c>
      <c r="H349" s="5">
        <f t="shared" si="51"/>
        <v>0.40000009350478505</v>
      </c>
      <c r="I349" s="14">
        <f t="shared" si="54"/>
        <v>69.613467487641756</v>
      </c>
      <c r="J349" s="19">
        <f t="shared" si="55"/>
        <v>992270.13347713242</v>
      </c>
      <c r="K349" s="16">
        <f t="shared" si="53"/>
        <v>0.98831686601308011</v>
      </c>
    </row>
    <row r="350" spans="1:11" x14ac:dyDescent="0.15">
      <c r="A350" s="7">
        <v>39235.484722222223</v>
      </c>
      <c r="B350">
        <v>40.4</v>
      </c>
      <c r="C350" s="6">
        <f t="shared" si="47"/>
        <v>660.00000026542693</v>
      </c>
      <c r="D350" t="str">
        <f t="shared" si="48"/>
        <v/>
      </c>
      <c r="E350">
        <f t="shared" si="52"/>
        <v>39235.484722222223</v>
      </c>
      <c r="F350" s="4">
        <f t="shared" si="49"/>
        <v>0.5</v>
      </c>
      <c r="G350" s="4">
        <f t="shared" si="50"/>
        <v>0.25</v>
      </c>
      <c r="H350" s="5">
        <f t="shared" si="51"/>
        <v>0.44999996374826806</v>
      </c>
      <c r="I350" s="14">
        <f t="shared" si="54"/>
        <v>78.315126307477442</v>
      </c>
      <c r="J350" s="19">
        <f t="shared" si="55"/>
        <v>992348.44860343984</v>
      </c>
      <c r="K350" s="16">
        <f t="shared" si="53"/>
        <v>0.98839486912693209</v>
      </c>
    </row>
    <row r="351" spans="1:11" x14ac:dyDescent="0.15">
      <c r="A351" s="7">
        <v>39235.48474537037</v>
      </c>
      <c r="B351">
        <v>40.299999999999997</v>
      </c>
      <c r="C351" s="6">
        <f t="shared" si="47"/>
        <v>662.00000010430813</v>
      </c>
      <c r="D351" t="str">
        <f t="shared" si="48"/>
        <v/>
      </c>
      <c r="E351">
        <f t="shared" si="52"/>
        <v>39235.48474537037</v>
      </c>
      <c r="F351" s="4">
        <f t="shared" si="49"/>
        <v>0.39999999999999858</v>
      </c>
      <c r="G351" s="4">
        <f t="shared" si="50"/>
        <v>0.19999999999999929</v>
      </c>
      <c r="H351" s="5">
        <f t="shared" si="51"/>
        <v>0.44999996374826806</v>
      </c>
      <c r="I351" s="14">
        <f t="shared" si="54"/>
        <v>78.315126307477442</v>
      </c>
      <c r="J351" s="19">
        <f t="shared" si="55"/>
        <v>992426.76372974727</v>
      </c>
      <c r="K351" s="16">
        <f t="shared" si="53"/>
        <v>0.98847287224078417</v>
      </c>
    </row>
    <row r="352" spans="1:11" x14ac:dyDescent="0.15">
      <c r="A352" s="7">
        <v>39235.484768518516</v>
      </c>
      <c r="B352">
        <v>40.299999999999997</v>
      </c>
      <c r="C352" s="6">
        <f t="shared" si="47"/>
        <v>663.99999994318932</v>
      </c>
      <c r="D352" t="str">
        <f t="shared" si="48"/>
        <v/>
      </c>
      <c r="E352">
        <f t="shared" si="52"/>
        <v>39235.484768518516</v>
      </c>
      <c r="F352" s="4">
        <f t="shared" si="49"/>
        <v>0.39999999999999858</v>
      </c>
      <c r="G352" s="4">
        <f t="shared" si="50"/>
        <v>0.19999999999999929</v>
      </c>
      <c r="H352" s="5">
        <f t="shared" si="51"/>
        <v>0.39999996777623748</v>
      </c>
      <c r="I352" s="14">
        <f t="shared" si="54"/>
        <v>69.613445606646479</v>
      </c>
      <c r="J352" s="19">
        <f t="shared" si="55"/>
        <v>992496.37717535393</v>
      </c>
      <c r="K352" s="16">
        <f t="shared" si="53"/>
        <v>0.98854220834198603</v>
      </c>
    </row>
    <row r="353" spans="1:11" x14ac:dyDescent="0.15">
      <c r="A353" s="7">
        <v>39235.484791666669</v>
      </c>
      <c r="B353">
        <v>40.299999999999997</v>
      </c>
      <c r="C353" s="6">
        <f t="shared" si="47"/>
        <v>666.00000041071326</v>
      </c>
      <c r="D353" t="str">
        <f t="shared" si="48"/>
        <v/>
      </c>
      <c r="E353">
        <f t="shared" si="52"/>
        <v>39235.484791666669</v>
      </c>
      <c r="F353" s="4">
        <f t="shared" si="49"/>
        <v>0.39999999999999858</v>
      </c>
      <c r="G353" s="4">
        <f t="shared" si="50"/>
        <v>0.19999999999999929</v>
      </c>
      <c r="H353" s="5">
        <f t="shared" si="51"/>
        <v>0.40000009350478505</v>
      </c>
      <c r="I353" s="14">
        <f t="shared" si="54"/>
        <v>69.613467487641756</v>
      </c>
      <c r="J353" s="19">
        <f t="shared" si="55"/>
        <v>992565.99064284156</v>
      </c>
      <c r="K353" s="16">
        <f t="shared" si="53"/>
        <v>0.98861154446498167</v>
      </c>
    </row>
    <row r="354" spans="1:11" x14ac:dyDescent="0.15">
      <c r="A354" s="7">
        <v>39235.484814814816</v>
      </c>
      <c r="B354">
        <v>40.299999999999997</v>
      </c>
      <c r="C354" s="6">
        <f t="shared" si="47"/>
        <v>668.00000024959445</v>
      </c>
      <c r="D354" t="str">
        <f t="shared" si="48"/>
        <v/>
      </c>
      <c r="E354">
        <f t="shared" si="52"/>
        <v>39235.484814814816</v>
      </c>
      <c r="F354" s="4">
        <f t="shared" si="49"/>
        <v>0.39999999999999858</v>
      </c>
      <c r="G354" s="4">
        <f t="shared" si="50"/>
        <v>0.19999999999999929</v>
      </c>
      <c r="H354" s="5">
        <f t="shared" si="51"/>
        <v>0.39999996777623748</v>
      </c>
      <c r="I354" s="14">
        <f t="shared" si="54"/>
        <v>69.613445606646479</v>
      </c>
      <c r="J354" s="19">
        <f t="shared" si="55"/>
        <v>992635.60408844822</v>
      </c>
      <c r="K354" s="16">
        <f t="shared" si="53"/>
        <v>0.98868088056618353</v>
      </c>
    </row>
    <row r="355" spans="1:11" x14ac:dyDescent="0.15">
      <c r="A355" s="7">
        <v>39235.484837962962</v>
      </c>
      <c r="B355">
        <v>40.299999999999997</v>
      </c>
      <c r="C355" s="6">
        <f t="shared" si="47"/>
        <v>670.00000008847564</v>
      </c>
      <c r="D355" t="str">
        <f t="shared" si="48"/>
        <v/>
      </c>
      <c r="E355">
        <f t="shared" si="52"/>
        <v>39235.484837962962</v>
      </c>
      <c r="F355" s="4">
        <f t="shared" si="49"/>
        <v>0.39999999999999858</v>
      </c>
      <c r="G355" s="4">
        <f t="shared" si="50"/>
        <v>0.19999999999999929</v>
      </c>
      <c r="H355" s="5">
        <f t="shared" si="51"/>
        <v>0.39999996777623748</v>
      </c>
      <c r="I355" s="14">
        <f t="shared" si="54"/>
        <v>69.613445606646479</v>
      </c>
      <c r="J355" s="19">
        <f t="shared" si="55"/>
        <v>992705.21753405489</v>
      </c>
      <c r="K355" s="16">
        <f t="shared" si="53"/>
        <v>0.98875021666738538</v>
      </c>
    </row>
    <row r="356" spans="1:11" x14ac:dyDescent="0.15">
      <c r="A356" s="7">
        <v>39235.484861111108</v>
      </c>
      <c r="B356">
        <v>40.299999999999997</v>
      </c>
      <c r="C356" s="6">
        <f t="shared" si="47"/>
        <v>671.99999992735684</v>
      </c>
      <c r="D356" t="str">
        <f t="shared" si="48"/>
        <v/>
      </c>
      <c r="E356">
        <f t="shared" si="52"/>
        <v>39235.484861111108</v>
      </c>
      <c r="F356" s="4">
        <f t="shared" si="49"/>
        <v>0.39999999999999858</v>
      </c>
      <c r="G356" s="4">
        <f t="shared" si="50"/>
        <v>0.19999999999999929</v>
      </c>
      <c r="H356" s="5">
        <f t="shared" si="51"/>
        <v>0.39999996777623748</v>
      </c>
      <c r="I356" s="14">
        <f t="shared" si="54"/>
        <v>69.613445606646479</v>
      </c>
      <c r="J356" s="19">
        <f t="shared" si="55"/>
        <v>992774.83097966155</v>
      </c>
      <c r="K356" s="16">
        <f t="shared" si="53"/>
        <v>0.98881955276858724</v>
      </c>
    </row>
    <row r="357" spans="1:11" x14ac:dyDescent="0.15">
      <c r="A357" s="7">
        <v>39235.484884259262</v>
      </c>
      <c r="B357">
        <v>40.299999999999997</v>
      </c>
      <c r="C357" s="6">
        <f t="shared" si="47"/>
        <v>674.00000039488077</v>
      </c>
      <c r="D357" t="str">
        <f t="shared" si="48"/>
        <v/>
      </c>
      <c r="E357">
        <f t="shared" si="52"/>
        <v>39235.484884259262</v>
      </c>
      <c r="F357" s="4">
        <f t="shared" si="49"/>
        <v>0.39999999999999858</v>
      </c>
      <c r="G357" s="4">
        <f t="shared" si="50"/>
        <v>0.19999999999999929</v>
      </c>
      <c r="H357" s="5">
        <f t="shared" si="51"/>
        <v>0.40000009350478505</v>
      </c>
      <c r="I357" s="14">
        <f t="shared" si="54"/>
        <v>69.613467487641756</v>
      </c>
      <c r="J357" s="19">
        <f t="shared" si="55"/>
        <v>992844.44444714917</v>
      </c>
      <c r="K357" s="16">
        <f t="shared" si="53"/>
        <v>0.98888888889158288</v>
      </c>
    </row>
    <row r="358" spans="1:11" x14ac:dyDescent="0.15">
      <c r="A358" s="7">
        <v>39235.484907407408</v>
      </c>
      <c r="B358">
        <v>40.299999999999997</v>
      </c>
      <c r="C358" s="6">
        <f t="shared" si="47"/>
        <v>676.00000023376197</v>
      </c>
      <c r="D358" t="str">
        <f t="shared" si="48"/>
        <v/>
      </c>
      <c r="E358">
        <f t="shared" si="52"/>
        <v>39235.484907407408</v>
      </c>
      <c r="F358" s="4">
        <f t="shared" si="49"/>
        <v>0.39999999999999858</v>
      </c>
      <c r="G358" s="4">
        <f t="shared" si="50"/>
        <v>0.19999999999999929</v>
      </c>
      <c r="H358" s="5">
        <f t="shared" si="51"/>
        <v>0.39999996777623748</v>
      </c>
      <c r="I358" s="14">
        <f t="shared" si="54"/>
        <v>69.613445606646479</v>
      </c>
      <c r="J358" s="19">
        <f t="shared" si="55"/>
        <v>992914.05789275584</v>
      </c>
      <c r="K358" s="16">
        <f t="shared" si="53"/>
        <v>0.98895822499278474</v>
      </c>
    </row>
    <row r="359" spans="1:11" x14ac:dyDescent="0.15">
      <c r="A359" s="7">
        <v>39235.484930555554</v>
      </c>
      <c r="B359">
        <v>40.299999999999997</v>
      </c>
      <c r="C359" s="6">
        <f t="shared" si="47"/>
        <v>678.00000007264316</v>
      </c>
      <c r="D359" t="str">
        <f t="shared" si="48"/>
        <v/>
      </c>
      <c r="E359">
        <f t="shared" si="52"/>
        <v>39235.484930555554</v>
      </c>
      <c r="F359" s="4">
        <f t="shared" si="49"/>
        <v>0.39999999999999858</v>
      </c>
      <c r="G359" s="4">
        <f t="shared" si="50"/>
        <v>0.19999999999999929</v>
      </c>
      <c r="H359" s="5">
        <f t="shared" si="51"/>
        <v>0.39999996777623748</v>
      </c>
      <c r="I359" s="14">
        <f t="shared" si="54"/>
        <v>69.613445606646479</v>
      </c>
      <c r="J359" s="19">
        <f t="shared" si="55"/>
        <v>992983.6713383625</v>
      </c>
      <c r="K359" s="16">
        <f t="shared" si="53"/>
        <v>0.9890275610939866</v>
      </c>
    </row>
    <row r="360" spans="1:11" x14ac:dyDescent="0.15">
      <c r="A360" s="7">
        <v>39235.484953703701</v>
      </c>
      <c r="B360">
        <v>40.299999999999997</v>
      </c>
      <c r="C360" s="6">
        <f t="shared" si="47"/>
        <v>679.99999991152436</v>
      </c>
      <c r="D360" t="str">
        <f t="shared" si="48"/>
        <v/>
      </c>
      <c r="E360">
        <f t="shared" si="52"/>
        <v>39235.484953703701</v>
      </c>
      <c r="F360" s="4">
        <f t="shared" si="49"/>
        <v>0.39999999999999858</v>
      </c>
      <c r="G360" s="4">
        <f t="shared" si="50"/>
        <v>0.19999999999999929</v>
      </c>
      <c r="H360" s="5">
        <f t="shared" si="51"/>
        <v>0.39999996777623748</v>
      </c>
      <c r="I360" s="14">
        <f t="shared" si="54"/>
        <v>69.613445606646479</v>
      </c>
      <c r="J360" s="19">
        <f t="shared" si="55"/>
        <v>993053.28478396917</v>
      </c>
      <c r="K360" s="16">
        <f t="shared" si="53"/>
        <v>0.98909689719518845</v>
      </c>
    </row>
    <row r="361" spans="1:11" x14ac:dyDescent="0.15">
      <c r="A361" s="7">
        <v>39235.484976851854</v>
      </c>
      <c r="B361">
        <v>40.299999999999997</v>
      </c>
      <c r="C361" s="6">
        <f t="shared" si="47"/>
        <v>682.00000037904829</v>
      </c>
      <c r="D361" t="str">
        <f t="shared" si="48"/>
        <v/>
      </c>
      <c r="E361">
        <f t="shared" si="52"/>
        <v>39235.484976851854</v>
      </c>
      <c r="F361" s="4">
        <f t="shared" si="49"/>
        <v>0.39999999999999858</v>
      </c>
      <c r="G361" s="4">
        <f t="shared" si="50"/>
        <v>0.19999999999999929</v>
      </c>
      <c r="H361" s="5">
        <f t="shared" si="51"/>
        <v>0.40000009350478505</v>
      </c>
      <c r="I361" s="14">
        <f t="shared" si="54"/>
        <v>69.613467487641756</v>
      </c>
      <c r="J361" s="19">
        <f t="shared" si="55"/>
        <v>993122.89825145679</v>
      </c>
      <c r="K361" s="16">
        <f t="shared" si="53"/>
        <v>0.9891662333181841</v>
      </c>
    </row>
    <row r="362" spans="1:11" x14ac:dyDescent="0.15">
      <c r="A362" s="7">
        <v>39235.485000000001</v>
      </c>
      <c r="B362">
        <v>40.299999999999997</v>
      </c>
      <c r="C362" s="6">
        <f t="shared" ref="C362:C412" si="56">(A362-$B$4)*24*60*60</f>
        <v>684.00000021792948</v>
      </c>
      <c r="D362" t="str">
        <f t="shared" ref="D362:D412" si="57">IF(F362=$B$8,A362,"")</f>
        <v/>
      </c>
      <c r="E362">
        <f t="shared" si="52"/>
        <v>39235.485000000001</v>
      </c>
      <c r="F362" s="4">
        <f t="shared" ref="F362:F412" si="58">IF((B362-$B$6)&gt;0,B362-$B$6,0)</f>
        <v>0.39999999999999858</v>
      </c>
      <c r="G362" s="4">
        <f t="shared" ref="G362:G412" si="59">F362/2</f>
        <v>0.19999999999999929</v>
      </c>
      <c r="H362" s="5">
        <f t="shared" ref="H362:H412" si="60">AVERAGE(G361:G362)*(C362-C361)</f>
        <v>0.39999996777623748</v>
      </c>
      <c r="I362" s="14">
        <f t="shared" si="54"/>
        <v>69.613445606646479</v>
      </c>
      <c r="J362" s="19">
        <f t="shared" si="55"/>
        <v>993192.51169706346</v>
      </c>
      <c r="K362" s="16">
        <f t="shared" si="53"/>
        <v>0.98923556941938595</v>
      </c>
    </row>
    <row r="363" spans="1:11" x14ac:dyDescent="0.15">
      <c r="A363" s="7">
        <v>39235.485023148147</v>
      </c>
      <c r="B363">
        <v>40.299999999999997</v>
      </c>
      <c r="C363" s="6">
        <f t="shared" si="56"/>
        <v>686.00000005681068</v>
      </c>
      <c r="D363" t="str">
        <f t="shared" si="57"/>
        <v/>
      </c>
      <c r="E363">
        <f t="shared" si="52"/>
        <v>39235.485023148147</v>
      </c>
      <c r="F363" s="4">
        <f t="shared" si="58"/>
        <v>0.39999999999999858</v>
      </c>
      <c r="G363" s="4">
        <f t="shared" si="59"/>
        <v>0.19999999999999929</v>
      </c>
      <c r="H363" s="5">
        <f t="shared" si="60"/>
        <v>0.39999996777623748</v>
      </c>
      <c r="I363" s="14">
        <f t="shared" si="54"/>
        <v>69.613445606646479</v>
      </c>
      <c r="J363" s="19">
        <f t="shared" si="55"/>
        <v>993262.12514267012</v>
      </c>
      <c r="K363" s="16">
        <f t="shared" si="53"/>
        <v>0.98930490552058781</v>
      </c>
    </row>
    <row r="364" spans="1:11" x14ac:dyDescent="0.15">
      <c r="A364" s="7">
        <v>39235.485046296293</v>
      </c>
      <c r="B364">
        <v>40.299999999999997</v>
      </c>
      <c r="C364" s="6">
        <f t="shared" si="56"/>
        <v>687.99999989569187</v>
      </c>
      <c r="D364" t="str">
        <f t="shared" si="57"/>
        <v/>
      </c>
      <c r="E364">
        <f t="shared" si="52"/>
        <v>39235.485046296293</v>
      </c>
      <c r="F364" s="4">
        <f t="shared" si="58"/>
        <v>0.39999999999999858</v>
      </c>
      <c r="G364" s="4">
        <f t="shared" si="59"/>
        <v>0.19999999999999929</v>
      </c>
      <c r="H364" s="5">
        <f t="shared" si="60"/>
        <v>0.39999996777623748</v>
      </c>
      <c r="I364" s="14">
        <f t="shared" si="54"/>
        <v>69.613445606646479</v>
      </c>
      <c r="J364" s="19">
        <f t="shared" si="55"/>
        <v>993331.73858827678</v>
      </c>
      <c r="K364" s="16">
        <f t="shared" si="53"/>
        <v>0.98937424162178966</v>
      </c>
    </row>
    <row r="365" spans="1:11" x14ac:dyDescent="0.15">
      <c r="A365" s="7">
        <v>39235.485069444447</v>
      </c>
      <c r="B365">
        <v>40.299999999999997</v>
      </c>
      <c r="C365" s="6">
        <f t="shared" si="56"/>
        <v>690.0000003632158</v>
      </c>
      <c r="D365" t="str">
        <f t="shared" si="57"/>
        <v/>
      </c>
      <c r="E365">
        <f t="shared" si="52"/>
        <v>39235.485069444447</v>
      </c>
      <c r="F365" s="4">
        <f t="shared" si="58"/>
        <v>0.39999999999999858</v>
      </c>
      <c r="G365" s="4">
        <f t="shared" si="59"/>
        <v>0.19999999999999929</v>
      </c>
      <c r="H365" s="5">
        <f t="shared" si="60"/>
        <v>0.40000009350478505</v>
      </c>
      <c r="I365" s="14">
        <f t="shared" si="54"/>
        <v>69.613467487641756</v>
      </c>
      <c r="J365" s="19">
        <f t="shared" si="55"/>
        <v>993401.35205576441</v>
      </c>
      <c r="K365" s="16">
        <f t="shared" si="53"/>
        <v>0.98944357774478531</v>
      </c>
    </row>
    <row r="366" spans="1:11" x14ac:dyDescent="0.15">
      <c r="A366" s="7">
        <v>39235.485092592593</v>
      </c>
      <c r="B366">
        <v>40.299999999999997</v>
      </c>
      <c r="C366" s="6">
        <f t="shared" si="56"/>
        <v>692.000000202097</v>
      </c>
      <c r="D366" t="str">
        <f t="shared" si="57"/>
        <v/>
      </c>
      <c r="E366">
        <f t="shared" si="52"/>
        <v>39235.485092592593</v>
      </c>
      <c r="F366" s="4">
        <f t="shared" si="58"/>
        <v>0.39999999999999858</v>
      </c>
      <c r="G366" s="4">
        <f t="shared" si="59"/>
        <v>0.19999999999999929</v>
      </c>
      <c r="H366" s="5">
        <f t="shared" si="60"/>
        <v>0.39999996777623748</v>
      </c>
      <c r="I366" s="14">
        <f t="shared" si="54"/>
        <v>69.613445606646479</v>
      </c>
      <c r="J366" s="19">
        <f t="shared" si="55"/>
        <v>993470.96550137107</v>
      </c>
      <c r="K366" s="16">
        <f t="shared" si="53"/>
        <v>0.98951291384598716</v>
      </c>
    </row>
    <row r="367" spans="1:11" x14ac:dyDescent="0.15">
      <c r="A367" s="7">
        <v>39235.485115740739</v>
      </c>
      <c r="B367">
        <v>40.1</v>
      </c>
      <c r="C367" s="6">
        <f t="shared" si="56"/>
        <v>694.00000004097819</v>
      </c>
      <c r="D367" t="str">
        <f t="shared" si="57"/>
        <v/>
      </c>
      <c r="E367">
        <f t="shared" si="52"/>
        <v>39235.485115740739</v>
      </c>
      <c r="F367" s="4">
        <f t="shared" si="58"/>
        <v>0.20000000000000284</v>
      </c>
      <c r="G367" s="4">
        <f t="shared" si="59"/>
        <v>0.10000000000000142</v>
      </c>
      <c r="H367" s="5">
        <f t="shared" si="60"/>
        <v>0.29999997583217991</v>
      </c>
      <c r="I367" s="14">
        <f t="shared" si="54"/>
        <v>52.210084204985172</v>
      </c>
      <c r="J367" s="19">
        <f t="shared" si="55"/>
        <v>993523.1755855761</v>
      </c>
      <c r="K367" s="16">
        <f t="shared" si="53"/>
        <v>0.98956491592188855</v>
      </c>
    </row>
    <row r="368" spans="1:11" x14ac:dyDescent="0.15">
      <c r="A368" s="7">
        <v>39235.485138888886</v>
      </c>
      <c r="B368">
        <v>40.299999999999997</v>
      </c>
      <c r="C368" s="6">
        <f t="shared" si="56"/>
        <v>695.99999987985939</v>
      </c>
      <c r="D368" t="str">
        <f t="shared" si="57"/>
        <v/>
      </c>
      <c r="E368">
        <f t="shared" si="52"/>
        <v>39235.485138888886</v>
      </c>
      <c r="F368" s="4">
        <f t="shared" si="58"/>
        <v>0.39999999999999858</v>
      </c>
      <c r="G368" s="4">
        <f t="shared" si="59"/>
        <v>0.19999999999999929</v>
      </c>
      <c r="H368" s="5">
        <f t="shared" si="60"/>
        <v>0.29999997583217991</v>
      </c>
      <c r="I368" s="14">
        <f t="shared" si="54"/>
        <v>52.210084204985172</v>
      </c>
      <c r="J368" s="19">
        <f t="shared" si="55"/>
        <v>993575.38566978113</v>
      </c>
      <c r="K368" s="16">
        <f t="shared" si="53"/>
        <v>0.98961691799778995</v>
      </c>
    </row>
    <row r="369" spans="1:11" x14ac:dyDescent="0.15">
      <c r="A369" s="7">
        <v>39235.485162037039</v>
      </c>
      <c r="B369">
        <v>40.299999999999997</v>
      </c>
      <c r="C369" s="6">
        <f t="shared" si="56"/>
        <v>698.00000034738332</v>
      </c>
      <c r="D369" t="str">
        <f t="shared" si="57"/>
        <v/>
      </c>
      <c r="E369">
        <f t="shared" si="52"/>
        <v>39235.485162037039</v>
      </c>
      <c r="F369" s="4">
        <f t="shared" si="58"/>
        <v>0.39999999999999858</v>
      </c>
      <c r="G369" s="4">
        <f t="shared" si="59"/>
        <v>0.19999999999999929</v>
      </c>
      <c r="H369" s="5">
        <f t="shared" si="60"/>
        <v>0.40000009350478505</v>
      </c>
      <c r="I369" s="14">
        <f t="shared" si="54"/>
        <v>69.613467487641756</v>
      </c>
      <c r="J369" s="19">
        <f t="shared" si="55"/>
        <v>993644.99913726875</v>
      </c>
      <c r="K369" s="16">
        <f t="shared" si="53"/>
        <v>0.98968625412078559</v>
      </c>
    </row>
    <row r="370" spans="1:11" x14ac:dyDescent="0.15">
      <c r="A370" s="7">
        <v>39235.485185185185</v>
      </c>
      <c r="B370">
        <v>40.299999999999997</v>
      </c>
      <c r="C370" s="6">
        <f t="shared" si="56"/>
        <v>700.00000018626451</v>
      </c>
      <c r="D370" t="str">
        <f t="shared" si="57"/>
        <v/>
      </c>
      <c r="E370">
        <f t="shared" si="52"/>
        <v>39235.485185185185</v>
      </c>
      <c r="F370" s="4">
        <f t="shared" si="58"/>
        <v>0.39999999999999858</v>
      </c>
      <c r="G370" s="4">
        <f t="shared" si="59"/>
        <v>0.19999999999999929</v>
      </c>
      <c r="H370" s="5">
        <f t="shared" si="60"/>
        <v>0.39999996777623748</v>
      </c>
      <c r="I370" s="14">
        <f t="shared" si="54"/>
        <v>69.613445606646479</v>
      </c>
      <c r="J370" s="19">
        <f t="shared" si="55"/>
        <v>993714.61258287542</v>
      </c>
      <c r="K370" s="16">
        <f t="shared" si="53"/>
        <v>0.98975559022198745</v>
      </c>
    </row>
    <row r="371" spans="1:11" x14ac:dyDescent="0.15">
      <c r="A371" s="7">
        <v>39235.485208333332</v>
      </c>
      <c r="B371">
        <v>40.299999999999997</v>
      </c>
      <c r="C371" s="6">
        <f t="shared" si="56"/>
        <v>702.00000002514571</v>
      </c>
      <c r="D371" t="str">
        <f t="shared" si="57"/>
        <v/>
      </c>
      <c r="E371">
        <f t="shared" si="52"/>
        <v>39235.485208333332</v>
      </c>
      <c r="F371" s="4">
        <f t="shared" si="58"/>
        <v>0.39999999999999858</v>
      </c>
      <c r="G371" s="4">
        <f t="shared" si="59"/>
        <v>0.19999999999999929</v>
      </c>
      <c r="H371" s="5">
        <f t="shared" si="60"/>
        <v>0.39999996777623748</v>
      </c>
      <c r="I371" s="14">
        <f t="shared" si="54"/>
        <v>69.613445606646479</v>
      </c>
      <c r="J371" s="19">
        <f t="shared" si="55"/>
        <v>993784.22602848208</v>
      </c>
      <c r="K371" s="16">
        <f t="shared" si="53"/>
        <v>0.9898249263231893</v>
      </c>
    </row>
    <row r="372" spans="1:11" x14ac:dyDescent="0.15">
      <c r="A372" s="7">
        <v>39235.485231481478</v>
      </c>
      <c r="B372">
        <v>40.299999999999997</v>
      </c>
      <c r="C372" s="6">
        <f t="shared" si="56"/>
        <v>703.9999998640269</v>
      </c>
      <c r="D372" t="str">
        <f t="shared" si="57"/>
        <v/>
      </c>
      <c r="E372">
        <f t="shared" si="52"/>
        <v>39235.485231481478</v>
      </c>
      <c r="F372" s="4">
        <f t="shared" si="58"/>
        <v>0.39999999999999858</v>
      </c>
      <c r="G372" s="4">
        <f t="shared" si="59"/>
        <v>0.19999999999999929</v>
      </c>
      <c r="H372" s="5">
        <f t="shared" si="60"/>
        <v>0.39999996777623748</v>
      </c>
      <c r="I372" s="14">
        <f t="shared" si="54"/>
        <v>69.613445606646479</v>
      </c>
      <c r="J372" s="19">
        <f t="shared" si="55"/>
        <v>993853.83947408875</v>
      </c>
      <c r="K372" s="16">
        <f t="shared" si="53"/>
        <v>0.98989426242439116</v>
      </c>
    </row>
    <row r="373" spans="1:11" x14ac:dyDescent="0.15">
      <c r="A373" s="7">
        <v>39235.485254629632</v>
      </c>
      <c r="B373">
        <v>40.299999999999997</v>
      </c>
      <c r="C373" s="6">
        <f t="shared" si="56"/>
        <v>706.00000033155084</v>
      </c>
      <c r="D373" t="str">
        <f t="shared" si="57"/>
        <v/>
      </c>
      <c r="E373">
        <f t="shared" si="52"/>
        <v>39235.485254629632</v>
      </c>
      <c r="F373" s="4">
        <f t="shared" si="58"/>
        <v>0.39999999999999858</v>
      </c>
      <c r="G373" s="4">
        <f t="shared" si="59"/>
        <v>0.19999999999999929</v>
      </c>
      <c r="H373" s="5">
        <f t="shared" si="60"/>
        <v>0.40000009350478505</v>
      </c>
      <c r="I373" s="14">
        <f t="shared" si="54"/>
        <v>69.613467487641756</v>
      </c>
      <c r="J373" s="19">
        <f t="shared" si="55"/>
        <v>993923.45294157637</v>
      </c>
      <c r="K373" s="16">
        <f t="shared" si="53"/>
        <v>0.9899635985473868</v>
      </c>
    </row>
    <row r="374" spans="1:11" x14ac:dyDescent="0.15">
      <c r="A374" s="7">
        <v>39235.485277777778</v>
      </c>
      <c r="B374">
        <v>40.299999999999997</v>
      </c>
      <c r="C374" s="6">
        <f t="shared" si="56"/>
        <v>708.00000017043203</v>
      </c>
      <c r="D374" t="str">
        <f t="shared" si="57"/>
        <v/>
      </c>
      <c r="E374">
        <f t="shared" si="52"/>
        <v>39235.485277777778</v>
      </c>
      <c r="F374" s="4">
        <f t="shared" si="58"/>
        <v>0.39999999999999858</v>
      </c>
      <c r="G374" s="4">
        <f t="shared" si="59"/>
        <v>0.19999999999999929</v>
      </c>
      <c r="H374" s="5">
        <f t="shared" si="60"/>
        <v>0.39999996777623748</v>
      </c>
      <c r="I374" s="14">
        <f t="shared" si="54"/>
        <v>69.613445606646479</v>
      </c>
      <c r="J374" s="19">
        <f t="shared" si="55"/>
        <v>993993.06638718303</v>
      </c>
      <c r="K374" s="16">
        <f t="shared" si="53"/>
        <v>0.99003293464858866</v>
      </c>
    </row>
    <row r="375" spans="1:11" x14ac:dyDescent="0.15">
      <c r="A375" s="7">
        <v>39235.485300925924</v>
      </c>
      <c r="B375">
        <v>40.299999999999997</v>
      </c>
      <c r="C375" s="6">
        <f t="shared" si="56"/>
        <v>710.00000000931323</v>
      </c>
      <c r="D375" t="str">
        <f t="shared" si="57"/>
        <v/>
      </c>
      <c r="E375">
        <f t="shared" si="52"/>
        <v>39235.485300925924</v>
      </c>
      <c r="F375" s="4">
        <f t="shared" si="58"/>
        <v>0.39999999999999858</v>
      </c>
      <c r="G375" s="4">
        <f t="shared" si="59"/>
        <v>0.19999999999999929</v>
      </c>
      <c r="H375" s="5">
        <f t="shared" si="60"/>
        <v>0.39999996777623748</v>
      </c>
      <c r="I375" s="14">
        <f t="shared" si="54"/>
        <v>69.613445606646479</v>
      </c>
      <c r="J375" s="19">
        <f t="shared" si="55"/>
        <v>994062.6798327897</v>
      </c>
      <c r="K375" s="16">
        <f t="shared" si="53"/>
        <v>0.99010227074979051</v>
      </c>
    </row>
    <row r="376" spans="1:11" x14ac:dyDescent="0.15">
      <c r="A376" s="7">
        <v>39235.485324074078</v>
      </c>
      <c r="B376">
        <v>40.299999999999997</v>
      </c>
      <c r="C376" s="6">
        <f t="shared" si="56"/>
        <v>712.00000047683716</v>
      </c>
      <c r="D376" t="str">
        <f t="shared" si="57"/>
        <v/>
      </c>
      <c r="E376">
        <f t="shared" si="52"/>
        <v>39235.485324074078</v>
      </c>
      <c r="F376" s="4">
        <f t="shared" si="58"/>
        <v>0.39999999999999858</v>
      </c>
      <c r="G376" s="4">
        <f t="shared" si="59"/>
        <v>0.19999999999999929</v>
      </c>
      <c r="H376" s="5">
        <f t="shared" si="60"/>
        <v>0.40000009350478505</v>
      </c>
      <c r="I376" s="14">
        <f t="shared" si="54"/>
        <v>69.613467487641756</v>
      </c>
      <c r="J376" s="19">
        <f t="shared" si="55"/>
        <v>994132.29330027732</v>
      </c>
      <c r="K376" s="16">
        <f t="shared" si="53"/>
        <v>0.99017160687278616</v>
      </c>
    </row>
    <row r="377" spans="1:11" x14ac:dyDescent="0.15">
      <c r="A377" s="7">
        <v>39235.485347222224</v>
      </c>
      <c r="B377">
        <v>40.299999999999997</v>
      </c>
      <c r="C377" s="6">
        <f t="shared" si="56"/>
        <v>714.00000031571835</v>
      </c>
      <c r="D377" t="str">
        <f t="shared" si="57"/>
        <v/>
      </c>
      <c r="E377">
        <f t="shared" si="52"/>
        <v>39235.485347222224</v>
      </c>
      <c r="F377" s="4">
        <f t="shared" si="58"/>
        <v>0.39999999999999858</v>
      </c>
      <c r="G377" s="4">
        <f t="shared" si="59"/>
        <v>0.19999999999999929</v>
      </c>
      <c r="H377" s="5">
        <f t="shared" si="60"/>
        <v>0.39999996777623748</v>
      </c>
      <c r="I377" s="14">
        <f t="shared" si="54"/>
        <v>69.613445606646479</v>
      </c>
      <c r="J377" s="19">
        <f t="shared" si="55"/>
        <v>994201.90674588399</v>
      </c>
      <c r="K377" s="16">
        <f t="shared" si="53"/>
        <v>0.99024094297398801</v>
      </c>
    </row>
    <row r="378" spans="1:11" x14ac:dyDescent="0.15">
      <c r="A378" s="7">
        <v>39235.48537037037</v>
      </c>
      <c r="B378">
        <v>40.299999999999997</v>
      </c>
      <c r="C378" s="6">
        <f t="shared" si="56"/>
        <v>716.00000015459955</v>
      </c>
      <c r="D378" t="str">
        <f t="shared" si="57"/>
        <v/>
      </c>
      <c r="E378">
        <f t="shared" si="52"/>
        <v>39235.48537037037</v>
      </c>
      <c r="F378" s="4">
        <f t="shared" si="58"/>
        <v>0.39999999999999858</v>
      </c>
      <c r="G378" s="4">
        <f t="shared" si="59"/>
        <v>0.19999999999999929</v>
      </c>
      <c r="H378" s="5">
        <f t="shared" si="60"/>
        <v>0.39999996777623748</v>
      </c>
      <c r="I378" s="14">
        <f t="shared" si="54"/>
        <v>69.613445606646479</v>
      </c>
      <c r="J378" s="19">
        <f t="shared" si="55"/>
        <v>994271.52019149065</v>
      </c>
      <c r="K378" s="16">
        <f t="shared" si="53"/>
        <v>0.99031027907518987</v>
      </c>
    </row>
    <row r="379" spans="1:11" x14ac:dyDescent="0.15">
      <c r="A379" s="7">
        <v>39235.485393518517</v>
      </c>
      <c r="B379">
        <v>40.299999999999997</v>
      </c>
      <c r="C379" s="6">
        <f t="shared" si="56"/>
        <v>717.99999999348074</v>
      </c>
      <c r="D379" t="str">
        <f t="shared" si="57"/>
        <v/>
      </c>
      <c r="E379">
        <f t="shared" si="52"/>
        <v>39235.485393518517</v>
      </c>
      <c r="F379" s="4">
        <f t="shared" si="58"/>
        <v>0.39999999999999858</v>
      </c>
      <c r="G379" s="4">
        <f t="shared" si="59"/>
        <v>0.19999999999999929</v>
      </c>
      <c r="H379" s="5">
        <f t="shared" si="60"/>
        <v>0.39999996777623748</v>
      </c>
      <c r="I379" s="14">
        <f t="shared" si="54"/>
        <v>69.613445606646479</v>
      </c>
      <c r="J379" s="19">
        <f t="shared" si="55"/>
        <v>994341.13363709731</v>
      </c>
      <c r="K379" s="16">
        <f t="shared" si="53"/>
        <v>0.99037961517639173</v>
      </c>
    </row>
    <row r="380" spans="1:11" x14ac:dyDescent="0.15">
      <c r="A380" s="7">
        <v>39235.48541666667</v>
      </c>
      <c r="B380">
        <v>40.299999999999997</v>
      </c>
      <c r="C380" s="6">
        <f t="shared" si="56"/>
        <v>720.00000046100467</v>
      </c>
      <c r="D380" t="str">
        <f t="shared" si="57"/>
        <v/>
      </c>
      <c r="E380">
        <f t="shared" si="52"/>
        <v>39235.48541666667</v>
      </c>
      <c r="F380" s="4">
        <f t="shared" si="58"/>
        <v>0.39999999999999858</v>
      </c>
      <c r="G380" s="4">
        <f t="shared" si="59"/>
        <v>0.19999999999999929</v>
      </c>
      <c r="H380" s="5">
        <f t="shared" si="60"/>
        <v>0.40000009350478505</v>
      </c>
      <c r="I380" s="14">
        <f t="shared" si="54"/>
        <v>69.613467487641756</v>
      </c>
      <c r="J380" s="19">
        <f t="shared" si="55"/>
        <v>994410.74710458494</v>
      </c>
      <c r="K380" s="16">
        <f t="shared" si="53"/>
        <v>0.99044895129938737</v>
      </c>
    </row>
    <row r="381" spans="1:11" x14ac:dyDescent="0.15">
      <c r="A381" s="7">
        <v>39235.485439814816</v>
      </c>
      <c r="B381">
        <v>40.299999999999997</v>
      </c>
      <c r="C381" s="6">
        <f t="shared" si="56"/>
        <v>722.00000029988587</v>
      </c>
      <c r="D381" t="str">
        <f t="shared" si="57"/>
        <v/>
      </c>
      <c r="E381">
        <f t="shared" si="52"/>
        <v>39235.485439814816</v>
      </c>
      <c r="F381" s="4">
        <f t="shared" si="58"/>
        <v>0.39999999999999858</v>
      </c>
      <c r="G381" s="4">
        <f t="shared" si="59"/>
        <v>0.19999999999999929</v>
      </c>
      <c r="H381" s="5">
        <f t="shared" si="60"/>
        <v>0.39999996777623748</v>
      </c>
      <c r="I381" s="14">
        <f t="shared" si="54"/>
        <v>69.613445606646479</v>
      </c>
      <c r="J381" s="19">
        <f t="shared" si="55"/>
        <v>994480.3605501916</v>
      </c>
      <c r="K381" s="16">
        <f t="shared" si="53"/>
        <v>0.99051828740058923</v>
      </c>
    </row>
    <row r="382" spans="1:11" x14ac:dyDescent="0.15">
      <c r="A382" s="7">
        <v>39235.485462962963</v>
      </c>
      <c r="B382">
        <v>40.299999999999997</v>
      </c>
      <c r="C382" s="6">
        <f t="shared" si="56"/>
        <v>724.00000013876706</v>
      </c>
      <c r="D382" t="str">
        <f t="shared" si="57"/>
        <v/>
      </c>
      <c r="E382">
        <f t="shared" si="52"/>
        <v>39235.485462962963</v>
      </c>
      <c r="F382" s="4">
        <f t="shared" si="58"/>
        <v>0.39999999999999858</v>
      </c>
      <c r="G382" s="4">
        <f t="shared" si="59"/>
        <v>0.19999999999999929</v>
      </c>
      <c r="H382" s="5">
        <f t="shared" si="60"/>
        <v>0.39999996777623748</v>
      </c>
      <c r="I382" s="14">
        <f t="shared" si="54"/>
        <v>69.613445606646479</v>
      </c>
      <c r="J382" s="19">
        <f t="shared" si="55"/>
        <v>994549.97399579827</v>
      </c>
      <c r="K382" s="16">
        <f t="shared" si="53"/>
        <v>0.99058762350179108</v>
      </c>
    </row>
    <row r="383" spans="1:11" x14ac:dyDescent="0.15">
      <c r="A383" s="7">
        <v>39235.485486111109</v>
      </c>
      <c r="B383">
        <v>40.299999999999997</v>
      </c>
      <c r="C383" s="6">
        <f t="shared" si="56"/>
        <v>725.99999997764826</v>
      </c>
      <c r="D383" t="str">
        <f t="shared" si="57"/>
        <v/>
      </c>
      <c r="E383">
        <f t="shared" si="52"/>
        <v>39235.485486111109</v>
      </c>
      <c r="F383" s="4">
        <f t="shared" si="58"/>
        <v>0.39999999999999858</v>
      </c>
      <c r="G383" s="4">
        <f t="shared" si="59"/>
        <v>0.19999999999999929</v>
      </c>
      <c r="H383" s="5">
        <f t="shared" si="60"/>
        <v>0.39999996777623748</v>
      </c>
      <c r="I383" s="14">
        <f t="shared" si="54"/>
        <v>69.613445606646479</v>
      </c>
      <c r="J383" s="19">
        <f t="shared" si="55"/>
        <v>994619.58744140493</v>
      </c>
      <c r="K383" s="16">
        <f t="shared" si="53"/>
        <v>0.99065695960299294</v>
      </c>
    </row>
    <row r="384" spans="1:11" x14ac:dyDescent="0.15">
      <c r="A384" s="7">
        <v>39235.485509259262</v>
      </c>
      <c r="B384">
        <v>40.299999999999997</v>
      </c>
      <c r="C384" s="6">
        <f t="shared" si="56"/>
        <v>728.00000044517219</v>
      </c>
      <c r="D384" t="str">
        <f t="shared" si="57"/>
        <v/>
      </c>
      <c r="E384">
        <f t="shared" si="52"/>
        <v>39235.485509259262</v>
      </c>
      <c r="F384" s="4">
        <f t="shared" si="58"/>
        <v>0.39999999999999858</v>
      </c>
      <c r="G384" s="4">
        <f t="shared" si="59"/>
        <v>0.19999999999999929</v>
      </c>
      <c r="H384" s="5">
        <f t="shared" si="60"/>
        <v>0.40000009350478505</v>
      </c>
      <c r="I384" s="14">
        <f t="shared" si="54"/>
        <v>69.613467487641756</v>
      </c>
      <c r="J384" s="19">
        <f t="shared" si="55"/>
        <v>994689.20090889256</v>
      </c>
      <c r="K384" s="16">
        <f t="shared" si="53"/>
        <v>0.99072629572598858</v>
      </c>
    </row>
    <row r="385" spans="1:11" x14ac:dyDescent="0.15">
      <c r="A385" s="7">
        <v>39235.485532407409</v>
      </c>
      <c r="B385">
        <v>40.299999999999997</v>
      </c>
      <c r="C385" s="6">
        <f t="shared" si="56"/>
        <v>730.00000028405339</v>
      </c>
      <c r="D385" t="str">
        <f t="shared" si="57"/>
        <v/>
      </c>
      <c r="E385">
        <f t="shared" si="52"/>
        <v>39235.485532407409</v>
      </c>
      <c r="F385" s="4">
        <f t="shared" si="58"/>
        <v>0.39999999999999858</v>
      </c>
      <c r="G385" s="4">
        <f t="shared" si="59"/>
        <v>0.19999999999999929</v>
      </c>
      <c r="H385" s="5">
        <f t="shared" si="60"/>
        <v>0.39999996777623748</v>
      </c>
      <c r="I385" s="14">
        <f t="shared" si="54"/>
        <v>69.613445606646479</v>
      </c>
      <c r="J385" s="19">
        <f t="shared" si="55"/>
        <v>994758.81435449922</v>
      </c>
      <c r="K385" s="16">
        <f t="shared" si="53"/>
        <v>0.99079563182719044</v>
      </c>
    </row>
    <row r="386" spans="1:11" x14ac:dyDescent="0.15">
      <c r="A386" s="7">
        <v>39235.485555555555</v>
      </c>
      <c r="B386">
        <v>40.299999999999997</v>
      </c>
      <c r="C386" s="6">
        <f t="shared" si="56"/>
        <v>732.00000012293458</v>
      </c>
      <c r="D386" t="str">
        <f t="shared" si="57"/>
        <v/>
      </c>
      <c r="E386">
        <f t="shared" si="52"/>
        <v>39235.485555555555</v>
      </c>
      <c r="F386" s="4">
        <f t="shared" si="58"/>
        <v>0.39999999999999858</v>
      </c>
      <c r="G386" s="4">
        <f t="shared" si="59"/>
        <v>0.19999999999999929</v>
      </c>
      <c r="H386" s="5">
        <f t="shared" si="60"/>
        <v>0.39999996777623748</v>
      </c>
      <c r="I386" s="14">
        <f t="shared" si="54"/>
        <v>69.613445606646479</v>
      </c>
      <c r="J386" s="19">
        <f t="shared" si="55"/>
        <v>994828.42780010588</v>
      </c>
      <c r="K386" s="16">
        <f t="shared" si="53"/>
        <v>0.99086496792839229</v>
      </c>
    </row>
    <row r="387" spans="1:11" x14ac:dyDescent="0.15">
      <c r="A387" s="7">
        <v>39235.485578703701</v>
      </c>
      <c r="B387">
        <v>40.1</v>
      </c>
      <c r="C387" s="6">
        <f t="shared" si="56"/>
        <v>733.99999996181577</v>
      </c>
      <c r="D387" t="str">
        <f t="shared" si="57"/>
        <v/>
      </c>
      <c r="E387">
        <f t="shared" si="52"/>
        <v>39235.485578703701</v>
      </c>
      <c r="F387" s="4">
        <f t="shared" si="58"/>
        <v>0.20000000000000284</v>
      </c>
      <c r="G387" s="4">
        <f t="shared" si="59"/>
        <v>0.10000000000000142</v>
      </c>
      <c r="H387" s="5">
        <f t="shared" si="60"/>
        <v>0.29999997583217991</v>
      </c>
      <c r="I387" s="14">
        <f t="shared" si="54"/>
        <v>52.210084204985172</v>
      </c>
      <c r="J387" s="19">
        <f t="shared" si="55"/>
        <v>994880.63788431091</v>
      </c>
      <c r="K387" s="16">
        <f t="shared" si="53"/>
        <v>0.99091697000429368</v>
      </c>
    </row>
    <row r="388" spans="1:11" x14ac:dyDescent="0.15">
      <c r="A388" s="7">
        <v>39235.485601851855</v>
      </c>
      <c r="B388">
        <v>40.299999999999997</v>
      </c>
      <c r="C388" s="6">
        <f t="shared" si="56"/>
        <v>736.00000042933971</v>
      </c>
      <c r="D388" t="str">
        <f t="shared" si="57"/>
        <v/>
      </c>
      <c r="E388">
        <f t="shared" si="52"/>
        <v>39235.485601851855</v>
      </c>
      <c r="F388" s="4">
        <f t="shared" si="58"/>
        <v>0.39999999999999858</v>
      </c>
      <c r="G388" s="4">
        <f t="shared" si="59"/>
        <v>0.19999999999999929</v>
      </c>
      <c r="H388" s="5">
        <f t="shared" si="60"/>
        <v>0.30000007012859059</v>
      </c>
      <c r="I388" s="14">
        <f t="shared" si="54"/>
        <v>52.210100615731633</v>
      </c>
      <c r="J388" s="19">
        <f t="shared" si="55"/>
        <v>994932.84798492666</v>
      </c>
      <c r="K388" s="16">
        <f t="shared" si="53"/>
        <v>0.99096897209654045</v>
      </c>
    </row>
    <row r="389" spans="1:11" x14ac:dyDescent="0.15">
      <c r="A389" s="7">
        <v>39235.485625000001</v>
      </c>
      <c r="B389">
        <v>40.299999999999997</v>
      </c>
      <c r="C389" s="6">
        <f t="shared" si="56"/>
        <v>738.0000002682209</v>
      </c>
      <c r="D389" t="str">
        <f t="shared" si="57"/>
        <v/>
      </c>
      <c r="E389">
        <f t="shared" si="52"/>
        <v>39235.485625000001</v>
      </c>
      <c r="F389" s="4">
        <f t="shared" si="58"/>
        <v>0.39999999999999858</v>
      </c>
      <c r="G389" s="4">
        <f t="shared" si="59"/>
        <v>0.19999999999999929</v>
      </c>
      <c r="H389" s="5">
        <f t="shared" si="60"/>
        <v>0.39999996777623748</v>
      </c>
      <c r="I389" s="14">
        <f t="shared" si="54"/>
        <v>69.613445606646479</v>
      </c>
      <c r="J389" s="19">
        <f t="shared" si="55"/>
        <v>995002.46143053332</v>
      </c>
      <c r="K389" s="16">
        <f t="shared" si="53"/>
        <v>0.9910383081977423</v>
      </c>
    </row>
    <row r="390" spans="1:11" x14ac:dyDescent="0.15">
      <c r="A390" s="7">
        <v>39235.485648148147</v>
      </c>
      <c r="B390">
        <v>40.299999999999997</v>
      </c>
      <c r="C390" s="6">
        <f t="shared" si="56"/>
        <v>740.0000001071021</v>
      </c>
      <c r="D390" t="str">
        <f t="shared" si="57"/>
        <v/>
      </c>
      <c r="E390">
        <f t="shared" si="52"/>
        <v>39235.485648148147</v>
      </c>
      <c r="F390" s="4">
        <f t="shared" si="58"/>
        <v>0.39999999999999858</v>
      </c>
      <c r="G390" s="4">
        <f t="shared" si="59"/>
        <v>0.19999999999999929</v>
      </c>
      <c r="H390" s="5">
        <f t="shared" si="60"/>
        <v>0.39999996777623748</v>
      </c>
      <c r="I390" s="14">
        <f t="shared" si="54"/>
        <v>69.613445606646479</v>
      </c>
      <c r="J390" s="19">
        <f t="shared" si="55"/>
        <v>995072.07487613999</v>
      </c>
      <c r="K390" s="16">
        <f t="shared" si="53"/>
        <v>0.99110764429894416</v>
      </c>
    </row>
    <row r="391" spans="1:11" x14ac:dyDescent="0.15">
      <c r="A391" s="7">
        <v>39235.485671296294</v>
      </c>
      <c r="B391">
        <v>40.299999999999997</v>
      </c>
      <c r="C391" s="6">
        <f t="shared" si="56"/>
        <v>741.99999994598329</v>
      </c>
      <c r="D391" t="str">
        <f t="shared" si="57"/>
        <v/>
      </c>
      <c r="E391">
        <f t="shared" si="52"/>
        <v>39235.485671296294</v>
      </c>
      <c r="F391" s="4">
        <f t="shared" si="58"/>
        <v>0.39999999999999858</v>
      </c>
      <c r="G391" s="4">
        <f t="shared" si="59"/>
        <v>0.19999999999999929</v>
      </c>
      <c r="H391" s="5">
        <f t="shared" si="60"/>
        <v>0.39999996777623748</v>
      </c>
      <c r="I391" s="14">
        <f t="shared" si="54"/>
        <v>69.613445606646479</v>
      </c>
      <c r="J391" s="19">
        <f t="shared" si="55"/>
        <v>995141.68832174665</v>
      </c>
      <c r="K391" s="16">
        <f t="shared" si="53"/>
        <v>0.99117698040014612</v>
      </c>
    </row>
    <row r="392" spans="1:11" x14ac:dyDescent="0.15">
      <c r="A392" s="7">
        <v>39235.485694444447</v>
      </c>
      <c r="B392">
        <v>40.299999999999997</v>
      </c>
      <c r="C392" s="6">
        <f t="shared" si="56"/>
        <v>744.00000041350722</v>
      </c>
      <c r="D392" t="str">
        <f t="shared" si="57"/>
        <v/>
      </c>
      <c r="E392">
        <f t="shared" si="52"/>
        <v>39235.485694444447</v>
      </c>
      <c r="F392" s="4">
        <f t="shared" si="58"/>
        <v>0.39999999999999858</v>
      </c>
      <c r="G392" s="4">
        <f t="shared" si="59"/>
        <v>0.19999999999999929</v>
      </c>
      <c r="H392" s="5">
        <f t="shared" si="60"/>
        <v>0.40000009350478505</v>
      </c>
      <c r="I392" s="14">
        <f t="shared" si="54"/>
        <v>69.613467487641756</v>
      </c>
      <c r="J392" s="19">
        <f t="shared" si="55"/>
        <v>995211.30178923428</v>
      </c>
      <c r="K392" s="16">
        <f t="shared" si="53"/>
        <v>0.99124631652314166</v>
      </c>
    </row>
    <row r="393" spans="1:11" x14ac:dyDescent="0.15">
      <c r="A393" s="7">
        <v>39235.485717592594</v>
      </c>
      <c r="B393">
        <v>40.1</v>
      </c>
      <c r="C393" s="6">
        <f t="shared" si="56"/>
        <v>746.00000025238842</v>
      </c>
      <c r="D393" t="str">
        <f t="shared" si="57"/>
        <v/>
      </c>
      <c r="E393">
        <f t="shared" si="52"/>
        <v>39235.485717592594</v>
      </c>
      <c r="F393" s="4">
        <f t="shared" si="58"/>
        <v>0.20000000000000284</v>
      </c>
      <c r="G393" s="4">
        <f t="shared" si="59"/>
        <v>0.10000000000000142</v>
      </c>
      <c r="H393" s="5">
        <f t="shared" si="60"/>
        <v>0.29999997583217991</v>
      </c>
      <c r="I393" s="14">
        <f t="shared" si="54"/>
        <v>52.210084204985172</v>
      </c>
      <c r="J393" s="19">
        <f t="shared" si="55"/>
        <v>995263.5118734393</v>
      </c>
      <c r="K393" s="16">
        <f t="shared" si="53"/>
        <v>0.99129831859904316</v>
      </c>
    </row>
    <row r="394" spans="1:11" x14ac:dyDescent="0.15">
      <c r="A394" s="7">
        <v>39235.48574074074</v>
      </c>
      <c r="B394">
        <v>40.299999999999997</v>
      </c>
      <c r="C394" s="6">
        <f t="shared" si="56"/>
        <v>748.00000009126961</v>
      </c>
      <c r="D394" t="str">
        <f t="shared" si="57"/>
        <v/>
      </c>
      <c r="E394">
        <f t="shared" si="52"/>
        <v>39235.48574074074</v>
      </c>
      <c r="F394" s="4">
        <f t="shared" si="58"/>
        <v>0.39999999999999858</v>
      </c>
      <c r="G394" s="4">
        <f t="shared" si="59"/>
        <v>0.19999999999999929</v>
      </c>
      <c r="H394" s="5">
        <f t="shared" si="60"/>
        <v>0.29999997583217991</v>
      </c>
      <c r="I394" s="14">
        <f t="shared" si="54"/>
        <v>52.210084204985172</v>
      </c>
      <c r="J394" s="19">
        <f t="shared" si="55"/>
        <v>995315.72195764433</v>
      </c>
      <c r="K394" s="16">
        <f t="shared" si="53"/>
        <v>0.99135032067494455</v>
      </c>
    </row>
    <row r="395" spans="1:11" x14ac:dyDescent="0.15">
      <c r="A395" s="7">
        <v>39235.485763888886</v>
      </c>
      <c r="B395">
        <v>40.1</v>
      </c>
      <c r="C395" s="6">
        <f t="shared" si="56"/>
        <v>749.99999993015081</v>
      </c>
      <c r="D395" t="str">
        <f t="shared" si="57"/>
        <v/>
      </c>
      <c r="E395">
        <f t="shared" si="52"/>
        <v>39235.485763888886</v>
      </c>
      <c r="F395" s="4">
        <f t="shared" si="58"/>
        <v>0.20000000000000284</v>
      </c>
      <c r="G395" s="4">
        <f t="shared" si="59"/>
        <v>0.10000000000000142</v>
      </c>
      <c r="H395" s="5">
        <f t="shared" si="60"/>
        <v>0.29999997583217991</v>
      </c>
      <c r="I395" s="14">
        <f t="shared" si="54"/>
        <v>52.210084204985172</v>
      </c>
      <c r="J395" s="19">
        <f t="shared" si="55"/>
        <v>995367.93204184936</v>
      </c>
      <c r="K395" s="16">
        <f t="shared" si="53"/>
        <v>0.99140232275084594</v>
      </c>
    </row>
    <row r="396" spans="1:11" x14ac:dyDescent="0.15">
      <c r="A396" s="7">
        <v>39235.48578703704</v>
      </c>
      <c r="B396">
        <v>40.299999999999997</v>
      </c>
      <c r="C396" s="6">
        <f t="shared" si="56"/>
        <v>752.00000039767474</v>
      </c>
      <c r="D396" t="str">
        <f t="shared" si="57"/>
        <v/>
      </c>
      <c r="E396">
        <f t="shared" si="52"/>
        <v>39235.48578703704</v>
      </c>
      <c r="F396" s="4">
        <f t="shared" si="58"/>
        <v>0.39999999999999858</v>
      </c>
      <c r="G396" s="4">
        <f t="shared" si="59"/>
        <v>0.19999999999999929</v>
      </c>
      <c r="H396" s="5">
        <f t="shared" si="60"/>
        <v>0.30000007012859059</v>
      </c>
      <c r="I396" s="14">
        <f t="shared" si="54"/>
        <v>52.210100615731633</v>
      </c>
      <c r="J396" s="19">
        <f t="shared" si="55"/>
        <v>995420.14214246511</v>
      </c>
      <c r="K396" s="16">
        <f t="shared" si="53"/>
        <v>0.9914543248430927</v>
      </c>
    </row>
    <row r="397" spans="1:11" x14ac:dyDescent="0.15">
      <c r="A397" s="7">
        <v>39235.485810185186</v>
      </c>
      <c r="B397">
        <v>40.1</v>
      </c>
      <c r="C397" s="6">
        <f t="shared" si="56"/>
        <v>754.00000023655593</v>
      </c>
      <c r="D397" t="str">
        <f t="shared" si="57"/>
        <v/>
      </c>
      <c r="E397">
        <f t="shared" si="52"/>
        <v>39235.485810185186</v>
      </c>
      <c r="F397" s="4">
        <f t="shared" si="58"/>
        <v>0.20000000000000284</v>
      </c>
      <c r="G397" s="4">
        <f t="shared" si="59"/>
        <v>0.10000000000000142</v>
      </c>
      <c r="H397" s="5">
        <f t="shared" si="60"/>
        <v>0.29999997583217991</v>
      </c>
      <c r="I397" s="14">
        <f t="shared" si="54"/>
        <v>52.210084204985172</v>
      </c>
      <c r="J397" s="19">
        <f t="shared" si="55"/>
        <v>995472.35222667013</v>
      </c>
      <c r="K397" s="16">
        <f t="shared" si="53"/>
        <v>0.99150632691899421</v>
      </c>
    </row>
    <row r="398" spans="1:11" x14ac:dyDescent="0.15">
      <c r="A398" s="7">
        <v>39235.485833333332</v>
      </c>
      <c r="B398">
        <v>40.299999999999997</v>
      </c>
      <c r="C398" s="6">
        <f t="shared" si="56"/>
        <v>756.00000007543713</v>
      </c>
      <c r="D398" t="str">
        <f t="shared" si="57"/>
        <v/>
      </c>
      <c r="E398">
        <f t="shared" si="52"/>
        <v>39235.485833333332</v>
      </c>
      <c r="F398" s="4">
        <f t="shared" si="58"/>
        <v>0.39999999999999858</v>
      </c>
      <c r="G398" s="4">
        <f t="shared" si="59"/>
        <v>0.19999999999999929</v>
      </c>
      <c r="H398" s="5">
        <f t="shared" si="60"/>
        <v>0.29999997583217991</v>
      </c>
      <c r="I398" s="14">
        <f t="shared" si="54"/>
        <v>52.210084204985172</v>
      </c>
      <c r="J398" s="19">
        <f t="shared" si="55"/>
        <v>995524.56231087516</v>
      </c>
      <c r="K398" s="16">
        <f t="shared" si="53"/>
        <v>0.9915583289948956</v>
      </c>
    </row>
    <row r="399" spans="1:11" x14ac:dyDescent="0.15">
      <c r="A399" s="7">
        <v>39235.485856481479</v>
      </c>
      <c r="B399">
        <v>40.299999999999997</v>
      </c>
      <c r="C399" s="6">
        <f t="shared" si="56"/>
        <v>757.99999991431832</v>
      </c>
      <c r="D399" t="str">
        <f t="shared" si="57"/>
        <v/>
      </c>
      <c r="E399">
        <f t="shared" si="52"/>
        <v>39235.485856481479</v>
      </c>
      <c r="F399" s="4">
        <f t="shared" si="58"/>
        <v>0.39999999999999858</v>
      </c>
      <c r="G399" s="4">
        <f t="shared" si="59"/>
        <v>0.19999999999999929</v>
      </c>
      <c r="H399" s="5">
        <f t="shared" si="60"/>
        <v>0.39999996777623748</v>
      </c>
      <c r="I399" s="14">
        <f t="shared" si="54"/>
        <v>69.613445606646479</v>
      </c>
      <c r="J399" s="19">
        <f t="shared" si="55"/>
        <v>995594.17575648183</v>
      </c>
      <c r="K399" s="16">
        <f t="shared" si="53"/>
        <v>0.99162766509609745</v>
      </c>
    </row>
    <row r="400" spans="1:11" x14ac:dyDescent="0.15">
      <c r="A400" s="7">
        <v>39235.485879629632</v>
      </c>
      <c r="B400">
        <v>40.1</v>
      </c>
      <c r="C400" s="6">
        <f t="shared" si="56"/>
        <v>760.00000038184226</v>
      </c>
      <c r="D400" t="str">
        <f t="shared" si="57"/>
        <v/>
      </c>
      <c r="E400">
        <f t="shared" si="52"/>
        <v>39235.485879629632</v>
      </c>
      <c r="F400" s="4">
        <f t="shared" si="58"/>
        <v>0.20000000000000284</v>
      </c>
      <c r="G400" s="4">
        <f t="shared" si="59"/>
        <v>0.10000000000000142</v>
      </c>
      <c r="H400" s="5">
        <f t="shared" si="60"/>
        <v>0.30000007012859059</v>
      </c>
      <c r="I400" s="14">
        <f t="shared" si="54"/>
        <v>52.210100615731633</v>
      </c>
      <c r="J400" s="19">
        <f t="shared" si="55"/>
        <v>995646.38585709757</v>
      </c>
      <c r="K400" s="16">
        <f t="shared" si="53"/>
        <v>0.99167966718834422</v>
      </c>
    </row>
    <row r="401" spans="1:11" x14ac:dyDescent="0.15">
      <c r="A401" s="7">
        <v>39235.485902777778</v>
      </c>
      <c r="B401">
        <v>40.1</v>
      </c>
      <c r="C401" s="6">
        <f t="shared" si="56"/>
        <v>762.00000022072345</v>
      </c>
      <c r="D401" t="str">
        <f t="shared" si="57"/>
        <v/>
      </c>
      <c r="E401">
        <f t="shared" si="52"/>
        <v>39235.485902777778</v>
      </c>
      <c r="F401" s="4">
        <f t="shared" si="58"/>
        <v>0.20000000000000284</v>
      </c>
      <c r="G401" s="4">
        <f t="shared" si="59"/>
        <v>0.10000000000000142</v>
      </c>
      <c r="H401" s="5">
        <f t="shared" si="60"/>
        <v>0.19999998388812229</v>
      </c>
      <c r="I401" s="14">
        <f t="shared" si="54"/>
        <v>34.806722803323858</v>
      </c>
      <c r="J401" s="19">
        <f t="shared" si="55"/>
        <v>995681.19257990085</v>
      </c>
      <c r="K401" s="16">
        <f t="shared" si="53"/>
        <v>0.99171433523894503</v>
      </c>
    </row>
    <row r="402" spans="1:11" x14ac:dyDescent="0.15">
      <c r="A402" s="7">
        <v>39235.485925925925</v>
      </c>
      <c r="B402">
        <v>40.299999999999997</v>
      </c>
      <c r="C402" s="6">
        <f t="shared" si="56"/>
        <v>764.00000005960464</v>
      </c>
      <c r="D402" t="str">
        <f t="shared" si="57"/>
        <v/>
      </c>
      <c r="E402">
        <f t="shared" si="52"/>
        <v>39235.485925925925</v>
      </c>
      <c r="F402" s="4">
        <f t="shared" si="58"/>
        <v>0.39999999999999858</v>
      </c>
      <c r="G402" s="4">
        <f t="shared" si="59"/>
        <v>0.19999999999999929</v>
      </c>
      <c r="H402" s="5">
        <f t="shared" si="60"/>
        <v>0.29999997583217991</v>
      </c>
      <c r="I402" s="14">
        <f t="shared" si="54"/>
        <v>52.210084204985172</v>
      </c>
      <c r="J402" s="19">
        <f t="shared" si="55"/>
        <v>995733.40266410587</v>
      </c>
      <c r="K402" s="16">
        <f t="shared" si="53"/>
        <v>0.99176633731484654</v>
      </c>
    </row>
    <row r="403" spans="1:11" x14ac:dyDescent="0.15">
      <c r="A403" s="7">
        <v>39235.485949074071</v>
      </c>
      <c r="B403">
        <v>40.299999999999997</v>
      </c>
      <c r="C403" s="6">
        <f t="shared" si="56"/>
        <v>765.99999989848584</v>
      </c>
      <c r="D403" t="str">
        <f t="shared" si="57"/>
        <v/>
      </c>
      <c r="E403">
        <f t="shared" si="52"/>
        <v>39235.485949074071</v>
      </c>
      <c r="F403" s="4">
        <f t="shared" si="58"/>
        <v>0.39999999999999858</v>
      </c>
      <c r="G403" s="4">
        <f t="shared" si="59"/>
        <v>0.19999999999999929</v>
      </c>
      <c r="H403" s="5">
        <f t="shared" si="60"/>
        <v>0.39999996777623748</v>
      </c>
      <c r="I403" s="14">
        <f t="shared" si="54"/>
        <v>69.613445606646479</v>
      </c>
      <c r="J403" s="19">
        <f t="shared" si="55"/>
        <v>995803.01610971254</v>
      </c>
      <c r="K403" s="16">
        <f t="shared" si="53"/>
        <v>0.99183567341604839</v>
      </c>
    </row>
    <row r="404" spans="1:11" x14ac:dyDescent="0.15">
      <c r="A404" s="7">
        <v>39235.485972222225</v>
      </c>
      <c r="B404">
        <v>40.299999999999997</v>
      </c>
      <c r="C404" s="6">
        <f t="shared" si="56"/>
        <v>768.00000036600977</v>
      </c>
      <c r="D404" t="str">
        <f t="shared" si="57"/>
        <v/>
      </c>
      <c r="E404">
        <f t="shared" si="52"/>
        <v>39235.485972222225</v>
      </c>
      <c r="F404" s="4">
        <f t="shared" si="58"/>
        <v>0.39999999999999858</v>
      </c>
      <c r="G404" s="4">
        <f t="shared" si="59"/>
        <v>0.19999999999999929</v>
      </c>
      <c r="H404" s="5">
        <f t="shared" si="60"/>
        <v>0.40000009350478505</v>
      </c>
      <c r="I404" s="14">
        <f t="shared" si="54"/>
        <v>69.613467487641756</v>
      </c>
      <c r="J404" s="19">
        <f t="shared" si="55"/>
        <v>995872.62957720016</v>
      </c>
      <c r="K404" s="16">
        <f t="shared" si="53"/>
        <v>0.99190500953904404</v>
      </c>
    </row>
    <row r="405" spans="1:11" x14ac:dyDescent="0.15">
      <c r="A405" s="7">
        <v>39235.485995370371</v>
      </c>
      <c r="B405">
        <v>40.299999999999997</v>
      </c>
      <c r="C405" s="6">
        <f t="shared" si="56"/>
        <v>770.00000020489097</v>
      </c>
      <c r="D405" t="str">
        <f t="shared" si="57"/>
        <v/>
      </c>
      <c r="E405">
        <f t="shared" ref="E405:E468" si="61">IF(B405-$B$6&gt;0,A405," ")</f>
        <v>39235.485995370371</v>
      </c>
      <c r="F405" s="4">
        <f t="shared" si="58"/>
        <v>0.39999999999999858</v>
      </c>
      <c r="G405" s="4">
        <f t="shared" si="59"/>
        <v>0.19999999999999929</v>
      </c>
      <c r="H405" s="5">
        <f t="shared" si="60"/>
        <v>0.39999996777623748</v>
      </c>
      <c r="I405" s="14">
        <f t="shared" si="54"/>
        <v>69.613445606646479</v>
      </c>
      <c r="J405" s="19">
        <f t="shared" si="55"/>
        <v>995942.24302280683</v>
      </c>
      <c r="K405" s="16">
        <f t="shared" ref="K405:K412" si="62">IF(J405=" ","-",J405/($B$12*1000))</f>
        <v>0.99197434564024589</v>
      </c>
    </row>
    <row r="406" spans="1:11" x14ac:dyDescent="0.15">
      <c r="A406" s="7">
        <v>39235.486018518517</v>
      </c>
      <c r="B406">
        <v>40.299999999999997</v>
      </c>
      <c r="C406" s="6">
        <f t="shared" si="56"/>
        <v>772.00000004377216</v>
      </c>
      <c r="D406" t="str">
        <f t="shared" si="57"/>
        <v/>
      </c>
      <c r="E406">
        <f t="shared" si="61"/>
        <v>39235.486018518517</v>
      </c>
      <c r="F406" s="4">
        <f t="shared" si="58"/>
        <v>0.39999999999999858</v>
      </c>
      <c r="G406" s="4">
        <f t="shared" si="59"/>
        <v>0.19999999999999929</v>
      </c>
      <c r="H406" s="5">
        <f t="shared" si="60"/>
        <v>0.39999996777623748</v>
      </c>
      <c r="I406" s="14">
        <f t="shared" ref="I406:I412" si="63">H406*$B$14</f>
        <v>69.613445606646479</v>
      </c>
      <c r="J406" s="19">
        <f t="shared" ref="J406:J412" si="64">J405+I406</f>
        <v>996011.85646841349</v>
      </c>
      <c r="K406" s="16">
        <f t="shared" si="62"/>
        <v>0.99204368174144775</v>
      </c>
    </row>
    <row r="407" spans="1:11" x14ac:dyDescent="0.15">
      <c r="A407" s="7">
        <v>39235.486041666663</v>
      </c>
      <c r="B407">
        <v>40.299999999999997</v>
      </c>
      <c r="C407" s="6">
        <f t="shared" si="56"/>
        <v>773.99999988265336</v>
      </c>
      <c r="D407" t="str">
        <f t="shared" si="57"/>
        <v/>
      </c>
      <c r="E407">
        <f t="shared" si="61"/>
        <v>39235.486041666663</v>
      </c>
      <c r="F407" s="4">
        <f t="shared" si="58"/>
        <v>0.39999999999999858</v>
      </c>
      <c r="G407" s="4">
        <f t="shared" si="59"/>
        <v>0.19999999999999929</v>
      </c>
      <c r="H407" s="5">
        <f t="shared" si="60"/>
        <v>0.39999996777623748</v>
      </c>
      <c r="I407" s="14">
        <f t="shared" si="63"/>
        <v>69.613445606646479</v>
      </c>
      <c r="J407" s="19">
        <f t="shared" si="64"/>
        <v>996081.46991402016</v>
      </c>
      <c r="K407" s="16">
        <f t="shared" si="62"/>
        <v>0.9921130178426496</v>
      </c>
    </row>
    <row r="408" spans="1:11" x14ac:dyDescent="0.15">
      <c r="A408" s="7">
        <v>39235.486064814817</v>
      </c>
      <c r="B408">
        <v>40.299999999999997</v>
      </c>
      <c r="C408" s="6">
        <f t="shared" si="56"/>
        <v>776.00000035017729</v>
      </c>
      <c r="D408" t="str">
        <f t="shared" si="57"/>
        <v/>
      </c>
      <c r="E408">
        <f t="shared" si="61"/>
        <v>39235.486064814817</v>
      </c>
      <c r="F408" s="4">
        <f t="shared" si="58"/>
        <v>0.39999999999999858</v>
      </c>
      <c r="G408" s="4">
        <f t="shared" si="59"/>
        <v>0.19999999999999929</v>
      </c>
      <c r="H408" s="5">
        <f t="shared" si="60"/>
        <v>0.40000009350478505</v>
      </c>
      <c r="I408" s="14">
        <f t="shared" si="63"/>
        <v>69.613467487641756</v>
      </c>
      <c r="J408" s="19">
        <f t="shared" si="64"/>
        <v>996151.08338150778</v>
      </c>
      <c r="K408" s="16">
        <f t="shared" si="62"/>
        <v>0.99218235396564525</v>
      </c>
    </row>
    <row r="409" spans="1:11" x14ac:dyDescent="0.15">
      <c r="A409" s="7">
        <v>39235.486087962963</v>
      </c>
      <c r="B409">
        <v>40.299999999999997</v>
      </c>
      <c r="C409" s="6">
        <f t="shared" si="56"/>
        <v>778.00000018905848</v>
      </c>
      <c r="D409" t="str">
        <f t="shared" si="57"/>
        <v/>
      </c>
      <c r="E409">
        <f t="shared" si="61"/>
        <v>39235.486087962963</v>
      </c>
      <c r="F409" s="4">
        <f t="shared" si="58"/>
        <v>0.39999999999999858</v>
      </c>
      <c r="G409" s="4">
        <f t="shared" si="59"/>
        <v>0.19999999999999929</v>
      </c>
      <c r="H409" s="5">
        <f t="shared" si="60"/>
        <v>0.39999996777623748</v>
      </c>
      <c r="I409" s="14">
        <f t="shared" si="63"/>
        <v>69.613445606646479</v>
      </c>
      <c r="J409" s="19">
        <f t="shared" si="64"/>
        <v>996220.69682711444</v>
      </c>
      <c r="K409" s="16">
        <f t="shared" si="62"/>
        <v>0.9922516900668471</v>
      </c>
    </row>
    <row r="410" spans="1:11" x14ac:dyDescent="0.15">
      <c r="A410" s="7">
        <v>39235.486111111109</v>
      </c>
      <c r="B410">
        <v>40.1</v>
      </c>
      <c r="C410" s="6">
        <f t="shared" si="56"/>
        <v>780.00000002793968</v>
      </c>
      <c r="D410" t="str">
        <f t="shared" si="57"/>
        <v/>
      </c>
      <c r="E410">
        <f t="shared" si="61"/>
        <v>39235.486111111109</v>
      </c>
      <c r="F410" s="4">
        <f t="shared" si="58"/>
        <v>0.20000000000000284</v>
      </c>
      <c r="G410" s="4">
        <f t="shared" si="59"/>
        <v>0.10000000000000142</v>
      </c>
      <c r="H410" s="5">
        <f t="shared" si="60"/>
        <v>0.29999997583217991</v>
      </c>
      <c r="I410" s="14">
        <f t="shared" si="63"/>
        <v>52.210084204985172</v>
      </c>
      <c r="J410" s="19">
        <f t="shared" si="64"/>
        <v>996272.90691131947</v>
      </c>
      <c r="K410" s="16">
        <f t="shared" si="62"/>
        <v>0.99230369214274849</v>
      </c>
    </row>
    <row r="411" spans="1:11" x14ac:dyDescent="0.15">
      <c r="A411" s="7">
        <v>39235.486134259256</v>
      </c>
      <c r="B411">
        <v>40.1</v>
      </c>
      <c r="C411" s="6">
        <f t="shared" si="56"/>
        <v>781.99999986682087</v>
      </c>
      <c r="D411" t="str">
        <f t="shared" si="57"/>
        <v/>
      </c>
      <c r="E411">
        <f t="shared" si="61"/>
        <v>39235.486134259256</v>
      </c>
      <c r="F411" s="4">
        <f t="shared" si="58"/>
        <v>0.20000000000000284</v>
      </c>
      <c r="G411" s="4">
        <f t="shared" si="59"/>
        <v>0.10000000000000142</v>
      </c>
      <c r="H411" s="5">
        <f t="shared" si="60"/>
        <v>0.19999998388812229</v>
      </c>
      <c r="I411" s="14">
        <f t="shared" si="63"/>
        <v>34.806722803323858</v>
      </c>
      <c r="J411" s="19">
        <f t="shared" si="64"/>
        <v>996307.71363412275</v>
      </c>
      <c r="K411" s="16">
        <f t="shared" si="62"/>
        <v>0.99233836019334931</v>
      </c>
    </row>
    <row r="412" spans="1:11" x14ac:dyDescent="0.15">
      <c r="A412" s="7">
        <v>39235.486157407409</v>
      </c>
      <c r="B412">
        <v>40.1</v>
      </c>
      <c r="C412" s="6">
        <f t="shared" si="56"/>
        <v>784.0000003343448</v>
      </c>
      <c r="D412" t="str">
        <f t="shared" si="57"/>
        <v/>
      </c>
      <c r="E412">
        <f t="shared" si="61"/>
        <v>39235.486157407409</v>
      </c>
      <c r="F412" s="4">
        <f t="shared" si="58"/>
        <v>0.20000000000000284</v>
      </c>
      <c r="G412" s="4">
        <f t="shared" si="59"/>
        <v>0.10000000000000142</v>
      </c>
      <c r="H412" s="5">
        <f t="shared" si="60"/>
        <v>0.20000004675239608</v>
      </c>
      <c r="I412" s="14">
        <f t="shared" si="63"/>
        <v>34.806733743821496</v>
      </c>
      <c r="J412" s="19">
        <f t="shared" si="64"/>
        <v>996342.52036786661</v>
      </c>
      <c r="K412" s="16">
        <f t="shared" si="62"/>
        <v>0.99237302825484719</v>
      </c>
    </row>
    <row r="413" spans="1:11" x14ac:dyDescent="0.15">
      <c r="A413" s="7">
        <v>39235.486180555556</v>
      </c>
      <c r="B413">
        <v>40.299999999999997</v>
      </c>
      <c r="C413" s="6">
        <f t="shared" ref="C413:C476" si="65">(A413-$B$4)*24*60*60</f>
        <v>786.000000173226</v>
      </c>
      <c r="D413" t="str">
        <f t="shared" ref="D413:D476" si="66">IF(F413=$B$8,A413,"")</f>
        <v/>
      </c>
      <c r="E413">
        <f t="shared" si="61"/>
        <v>39235.486180555556</v>
      </c>
      <c r="F413" s="4">
        <f t="shared" ref="F413:F476" si="67">IF((B413-$B$6)&gt;0,B413-$B$6,0)</f>
        <v>0.39999999999999858</v>
      </c>
      <c r="G413" s="4">
        <f t="shared" ref="G413:G476" si="68">F413/2</f>
        <v>0.19999999999999929</v>
      </c>
      <c r="H413" s="5">
        <f t="shared" ref="H413:H476" si="69">AVERAGE(G412:G413)*(C413-C412)</f>
        <v>0.29999997583217991</v>
      </c>
      <c r="I413" s="14">
        <f t="shared" ref="I413:I476" si="70">H413*$B$14</f>
        <v>52.210084204985172</v>
      </c>
      <c r="J413" s="19">
        <f t="shared" ref="J413:J476" si="71">J412+I413</f>
        <v>996394.73045207164</v>
      </c>
      <c r="K413" s="16">
        <f t="shared" ref="K413:K476" si="72">IF(J413=" ","-",J413/($B$12*1000))</f>
        <v>0.99242503033074869</v>
      </c>
    </row>
    <row r="414" spans="1:11" x14ac:dyDescent="0.15">
      <c r="A414" s="7">
        <v>39235.486203703702</v>
      </c>
      <c r="B414">
        <v>40.1</v>
      </c>
      <c r="C414" s="6">
        <f t="shared" si="65"/>
        <v>788.00000001210719</v>
      </c>
      <c r="D414" t="str">
        <f t="shared" si="66"/>
        <v/>
      </c>
      <c r="E414">
        <f t="shared" si="61"/>
        <v>39235.486203703702</v>
      </c>
      <c r="F414" s="4">
        <f t="shared" si="67"/>
        <v>0.20000000000000284</v>
      </c>
      <c r="G414" s="4">
        <f t="shared" si="68"/>
        <v>0.10000000000000142</v>
      </c>
      <c r="H414" s="5">
        <f t="shared" si="69"/>
        <v>0.29999997583217991</v>
      </c>
      <c r="I414" s="14">
        <f t="shared" si="70"/>
        <v>52.210084204985172</v>
      </c>
      <c r="J414" s="19">
        <f t="shared" si="71"/>
        <v>996446.94053627667</v>
      </c>
      <c r="K414" s="16">
        <f t="shared" si="72"/>
        <v>0.99247703240665008</v>
      </c>
    </row>
    <row r="415" spans="1:11" x14ac:dyDescent="0.15">
      <c r="A415" s="7">
        <v>39235.486226851855</v>
      </c>
      <c r="B415">
        <v>40.1</v>
      </c>
      <c r="C415" s="6">
        <f t="shared" si="65"/>
        <v>790.00000047963113</v>
      </c>
      <c r="D415" t="str">
        <f t="shared" si="66"/>
        <v/>
      </c>
      <c r="E415">
        <f t="shared" si="61"/>
        <v>39235.486226851855</v>
      </c>
      <c r="F415" s="4">
        <f t="shared" si="67"/>
        <v>0.20000000000000284</v>
      </c>
      <c r="G415" s="4">
        <f t="shared" si="68"/>
        <v>0.10000000000000142</v>
      </c>
      <c r="H415" s="5">
        <f t="shared" si="69"/>
        <v>0.20000004675239608</v>
      </c>
      <c r="I415" s="14">
        <f t="shared" si="70"/>
        <v>34.806733743821496</v>
      </c>
      <c r="J415" s="19">
        <f t="shared" si="71"/>
        <v>996481.74727002054</v>
      </c>
      <c r="K415" s="16">
        <f t="shared" si="72"/>
        <v>0.99251170046814796</v>
      </c>
    </row>
    <row r="416" spans="1:11" x14ac:dyDescent="0.15">
      <c r="A416" s="7">
        <v>39235.486250000002</v>
      </c>
      <c r="B416">
        <v>40.1</v>
      </c>
      <c r="C416" s="6">
        <f t="shared" si="65"/>
        <v>792.00000031851232</v>
      </c>
      <c r="D416" t="str">
        <f t="shared" si="66"/>
        <v/>
      </c>
      <c r="E416">
        <f t="shared" si="61"/>
        <v>39235.486250000002</v>
      </c>
      <c r="F416" s="4">
        <f t="shared" si="67"/>
        <v>0.20000000000000284</v>
      </c>
      <c r="G416" s="4">
        <f t="shared" si="68"/>
        <v>0.10000000000000142</v>
      </c>
      <c r="H416" s="5">
        <f t="shared" si="69"/>
        <v>0.19999998388812229</v>
      </c>
      <c r="I416" s="14">
        <f t="shared" si="70"/>
        <v>34.806722803323858</v>
      </c>
      <c r="J416" s="19">
        <f t="shared" si="71"/>
        <v>996516.55399282381</v>
      </c>
      <c r="K416" s="16">
        <f t="shared" si="72"/>
        <v>0.99254636851874878</v>
      </c>
    </row>
    <row r="417" spans="1:11" x14ac:dyDescent="0.15">
      <c r="A417" s="7">
        <v>39235.486273148148</v>
      </c>
      <c r="B417">
        <v>40.1</v>
      </c>
      <c r="C417" s="6">
        <f t="shared" si="65"/>
        <v>794.00000015739352</v>
      </c>
      <c r="D417" t="str">
        <f t="shared" si="66"/>
        <v/>
      </c>
      <c r="E417">
        <f t="shared" si="61"/>
        <v>39235.486273148148</v>
      </c>
      <c r="F417" s="4">
        <f t="shared" si="67"/>
        <v>0.20000000000000284</v>
      </c>
      <c r="G417" s="4">
        <f t="shared" si="68"/>
        <v>0.10000000000000142</v>
      </c>
      <c r="H417" s="5">
        <f t="shared" si="69"/>
        <v>0.19999998388812229</v>
      </c>
      <c r="I417" s="14">
        <f t="shared" si="70"/>
        <v>34.806722803323858</v>
      </c>
      <c r="J417" s="19">
        <f t="shared" si="71"/>
        <v>996551.36071562709</v>
      </c>
      <c r="K417" s="16">
        <f t="shared" si="72"/>
        <v>0.99258103656934971</v>
      </c>
    </row>
    <row r="418" spans="1:11" x14ac:dyDescent="0.15">
      <c r="A418" s="7">
        <v>39235.486296296294</v>
      </c>
      <c r="B418">
        <v>40.1</v>
      </c>
      <c r="C418" s="6">
        <f t="shared" si="65"/>
        <v>795.99999999627471</v>
      </c>
      <c r="D418" t="str">
        <f t="shared" si="66"/>
        <v/>
      </c>
      <c r="E418">
        <f t="shared" si="61"/>
        <v>39235.486296296294</v>
      </c>
      <c r="F418" s="4">
        <f t="shared" si="67"/>
        <v>0.20000000000000284</v>
      </c>
      <c r="G418" s="4">
        <f t="shared" si="68"/>
        <v>0.10000000000000142</v>
      </c>
      <c r="H418" s="5">
        <f t="shared" si="69"/>
        <v>0.19999998388812229</v>
      </c>
      <c r="I418" s="14">
        <f t="shared" si="70"/>
        <v>34.806722803323858</v>
      </c>
      <c r="J418" s="19">
        <f t="shared" si="71"/>
        <v>996586.16743843036</v>
      </c>
      <c r="K418" s="16">
        <f t="shared" si="72"/>
        <v>0.99261570461995052</v>
      </c>
    </row>
    <row r="419" spans="1:11" x14ac:dyDescent="0.15">
      <c r="A419" s="7">
        <v>39235.486319444448</v>
      </c>
      <c r="B419">
        <v>40.1</v>
      </c>
      <c r="C419" s="6">
        <f t="shared" si="65"/>
        <v>798.00000046379864</v>
      </c>
      <c r="D419" t="str">
        <f t="shared" si="66"/>
        <v/>
      </c>
      <c r="E419">
        <f t="shared" si="61"/>
        <v>39235.486319444448</v>
      </c>
      <c r="F419" s="4">
        <f t="shared" si="67"/>
        <v>0.20000000000000284</v>
      </c>
      <c r="G419" s="4">
        <f t="shared" si="68"/>
        <v>0.10000000000000142</v>
      </c>
      <c r="H419" s="5">
        <f t="shared" si="69"/>
        <v>0.20000004675239608</v>
      </c>
      <c r="I419" s="14">
        <f t="shared" si="70"/>
        <v>34.806733743821496</v>
      </c>
      <c r="J419" s="19">
        <f t="shared" si="71"/>
        <v>996620.97417217423</v>
      </c>
      <c r="K419" s="16">
        <f t="shared" si="72"/>
        <v>0.9926503726814484</v>
      </c>
    </row>
    <row r="420" spans="1:11" x14ac:dyDescent="0.15">
      <c r="A420" s="7">
        <v>39235.486342592594</v>
      </c>
      <c r="B420">
        <v>40.299999999999997</v>
      </c>
      <c r="C420" s="6">
        <f t="shared" si="65"/>
        <v>800.00000030267984</v>
      </c>
      <c r="D420" t="str">
        <f t="shared" si="66"/>
        <v/>
      </c>
      <c r="E420">
        <f t="shared" si="61"/>
        <v>39235.486342592594</v>
      </c>
      <c r="F420" s="4">
        <f t="shared" si="67"/>
        <v>0.39999999999999858</v>
      </c>
      <c r="G420" s="4">
        <f t="shared" si="68"/>
        <v>0.19999999999999929</v>
      </c>
      <c r="H420" s="5">
        <f t="shared" si="69"/>
        <v>0.29999997583217991</v>
      </c>
      <c r="I420" s="14">
        <f t="shared" si="70"/>
        <v>52.210084204985172</v>
      </c>
      <c r="J420" s="19">
        <f t="shared" si="71"/>
        <v>996673.18425637926</v>
      </c>
      <c r="K420" s="16">
        <f t="shared" si="72"/>
        <v>0.9927023747573499</v>
      </c>
    </row>
    <row r="421" spans="1:11" x14ac:dyDescent="0.15">
      <c r="A421" s="7">
        <v>39235.48636574074</v>
      </c>
      <c r="B421">
        <v>40.1</v>
      </c>
      <c r="C421" s="6">
        <f t="shared" si="65"/>
        <v>802.00000014156103</v>
      </c>
      <c r="D421" t="str">
        <f t="shared" si="66"/>
        <v/>
      </c>
      <c r="E421">
        <f t="shared" si="61"/>
        <v>39235.48636574074</v>
      </c>
      <c r="F421" s="4">
        <f t="shared" si="67"/>
        <v>0.20000000000000284</v>
      </c>
      <c r="G421" s="4">
        <f t="shared" si="68"/>
        <v>0.10000000000000142</v>
      </c>
      <c r="H421" s="5">
        <f t="shared" si="69"/>
        <v>0.29999997583217991</v>
      </c>
      <c r="I421" s="14">
        <f t="shared" si="70"/>
        <v>52.210084204985172</v>
      </c>
      <c r="J421" s="19">
        <f t="shared" si="71"/>
        <v>996725.39434058429</v>
      </c>
      <c r="K421" s="16">
        <f t="shared" si="72"/>
        <v>0.9927543768332513</v>
      </c>
    </row>
    <row r="422" spans="1:11" x14ac:dyDescent="0.15">
      <c r="A422" s="7">
        <v>39235.486388888887</v>
      </c>
      <c r="B422">
        <v>40.299999999999997</v>
      </c>
      <c r="C422" s="6">
        <f t="shared" si="65"/>
        <v>803.99999998044223</v>
      </c>
      <c r="D422" t="str">
        <f t="shared" si="66"/>
        <v/>
      </c>
      <c r="E422">
        <f t="shared" si="61"/>
        <v>39235.486388888887</v>
      </c>
      <c r="F422" s="4">
        <f t="shared" si="67"/>
        <v>0.39999999999999858</v>
      </c>
      <c r="G422" s="4">
        <f t="shared" si="68"/>
        <v>0.19999999999999929</v>
      </c>
      <c r="H422" s="5">
        <f t="shared" si="69"/>
        <v>0.29999997583217991</v>
      </c>
      <c r="I422" s="14">
        <f t="shared" si="70"/>
        <v>52.210084204985172</v>
      </c>
      <c r="J422" s="19">
        <f t="shared" si="71"/>
        <v>996777.60442478932</v>
      </c>
      <c r="K422" s="16">
        <f t="shared" si="72"/>
        <v>0.99280637890915269</v>
      </c>
    </row>
    <row r="423" spans="1:11" x14ac:dyDescent="0.15">
      <c r="A423" s="7">
        <v>39235.48641203704</v>
      </c>
      <c r="B423">
        <v>40.299999999999997</v>
      </c>
      <c r="C423" s="6">
        <f t="shared" si="65"/>
        <v>806.00000044796616</v>
      </c>
      <c r="D423" t="str">
        <f t="shared" si="66"/>
        <v/>
      </c>
      <c r="E423">
        <f t="shared" si="61"/>
        <v>39235.48641203704</v>
      </c>
      <c r="F423" s="4">
        <f t="shared" si="67"/>
        <v>0.39999999999999858</v>
      </c>
      <c r="G423" s="4">
        <f t="shared" si="68"/>
        <v>0.19999999999999929</v>
      </c>
      <c r="H423" s="5">
        <f t="shared" si="69"/>
        <v>0.40000009350478505</v>
      </c>
      <c r="I423" s="14">
        <f t="shared" si="70"/>
        <v>69.613467487641756</v>
      </c>
      <c r="J423" s="19">
        <f t="shared" si="71"/>
        <v>996847.21789227694</v>
      </c>
      <c r="K423" s="16">
        <f t="shared" si="72"/>
        <v>0.99287571503214833</v>
      </c>
    </row>
    <row r="424" spans="1:11" x14ac:dyDescent="0.15">
      <c r="A424" s="7">
        <v>39235.486435185187</v>
      </c>
      <c r="B424">
        <v>40.1</v>
      </c>
      <c r="C424" s="6">
        <f t="shared" si="65"/>
        <v>808.00000028684735</v>
      </c>
      <c r="D424" t="str">
        <f t="shared" si="66"/>
        <v/>
      </c>
      <c r="E424">
        <f t="shared" si="61"/>
        <v>39235.486435185187</v>
      </c>
      <c r="F424" s="4">
        <f t="shared" si="67"/>
        <v>0.20000000000000284</v>
      </c>
      <c r="G424" s="4">
        <f t="shared" si="68"/>
        <v>0.10000000000000142</v>
      </c>
      <c r="H424" s="5">
        <f t="shared" si="69"/>
        <v>0.29999997583217991</v>
      </c>
      <c r="I424" s="14">
        <f t="shared" si="70"/>
        <v>52.210084204985172</v>
      </c>
      <c r="J424" s="19">
        <f t="shared" si="71"/>
        <v>996899.42797648197</v>
      </c>
      <c r="K424" s="16">
        <f t="shared" si="72"/>
        <v>0.99292771710804972</v>
      </c>
    </row>
    <row r="425" spans="1:11" x14ac:dyDescent="0.15">
      <c r="A425" s="7">
        <v>39235.486458333333</v>
      </c>
      <c r="B425">
        <v>40.1</v>
      </c>
      <c r="C425" s="6">
        <f t="shared" si="65"/>
        <v>810.00000012572855</v>
      </c>
      <c r="D425" t="str">
        <f t="shared" si="66"/>
        <v/>
      </c>
      <c r="E425">
        <f t="shared" si="61"/>
        <v>39235.486458333333</v>
      </c>
      <c r="F425" s="4">
        <f t="shared" si="67"/>
        <v>0.20000000000000284</v>
      </c>
      <c r="G425" s="4">
        <f t="shared" si="68"/>
        <v>0.10000000000000142</v>
      </c>
      <c r="H425" s="5">
        <f t="shared" si="69"/>
        <v>0.19999998388812229</v>
      </c>
      <c r="I425" s="14">
        <f t="shared" si="70"/>
        <v>34.806722803323858</v>
      </c>
      <c r="J425" s="19">
        <f t="shared" si="71"/>
        <v>996934.23469928524</v>
      </c>
      <c r="K425" s="16">
        <f t="shared" si="72"/>
        <v>0.99296238515865065</v>
      </c>
    </row>
    <row r="426" spans="1:11" x14ac:dyDescent="0.15">
      <c r="A426" s="7">
        <v>39235.486481481479</v>
      </c>
      <c r="B426">
        <v>40.1</v>
      </c>
      <c r="C426" s="6">
        <f t="shared" si="65"/>
        <v>811.99999996460974</v>
      </c>
      <c r="D426" t="str">
        <f t="shared" si="66"/>
        <v/>
      </c>
      <c r="E426">
        <f t="shared" si="61"/>
        <v>39235.486481481479</v>
      </c>
      <c r="F426" s="4">
        <f t="shared" si="67"/>
        <v>0.20000000000000284</v>
      </c>
      <c r="G426" s="4">
        <f t="shared" si="68"/>
        <v>0.10000000000000142</v>
      </c>
      <c r="H426" s="5">
        <f t="shared" si="69"/>
        <v>0.19999998388812229</v>
      </c>
      <c r="I426" s="14">
        <f t="shared" si="70"/>
        <v>34.806722803323858</v>
      </c>
      <c r="J426" s="19">
        <f t="shared" si="71"/>
        <v>996969.04142208851</v>
      </c>
      <c r="K426" s="16">
        <f t="shared" si="72"/>
        <v>0.99299705320925147</v>
      </c>
    </row>
    <row r="427" spans="1:11" x14ac:dyDescent="0.15">
      <c r="A427" s="7">
        <v>39235.486504629633</v>
      </c>
      <c r="B427">
        <v>40.1</v>
      </c>
      <c r="C427" s="6">
        <f t="shared" si="65"/>
        <v>814.00000043213367</v>
      </c>
      <c r="D427" t="str">
        <f t="shared" si="66"/>
        <v/>
      </c>
      <c r="E427">
        <f t="shared" si="61"/>
        <v>39235.486504629633</v>
      </c>
      <c r="F427" s="4">
        <f t="shared" si="67"/>
        <v>0.20000000000000284</v>
      </c>
      <c r="G427" s="4">
        <f t="shared" si="68"/>
        <v>0.10000000000000142</v>
      </c>
      <c r="H427" s="5">
        <f t="shared" si="69"/>
        <v>0.20000004675239608</v>
      </c>
      <c r="I427" s="14">
        <f t="shared" si="70"/>
        <v>34.806733743821496</v>
      </c>
      <c r="J427" s="19">
        <f t="shared" si="71"/>
        <v>997003.84815583238</v>
      </c>
      <c r="K427" s="16">
        <f t="shared" si="72"/>
        <v>0.99303172127074935</v>
      </c>
    </row>
    <row r="428" spans="1:11" x14ac:dyDescent="0.15">
      <c r="A428" s="7">
        <v>39235.486527777779</v>
      </c>
      <c r="B428">
        <v>40.1</v>
      </c>
      <c r="C428" s="6">
        <f t="shared" si="65"/>
        <v>816.00000027101487</v>
      </c>
      <c r="D428" t="str">
        <f t="shared" si="66"/>
        <v/>
      </c>
      <c r="E428">
        <f t="shared" si="61"/>
        <v>39235.486527777779</v>
      </c>
      <c r="F428" s="4">
        <f t="shared" si="67"/>
        <v>0.20000000000000284</v>
      </c>
      <c r="G428" s="4">
        <f t="shared" si="68"/>
        <v>0.10000000000000142</v>
      </c>
      <c r="H428" s="5">
        <f t="shared" si="69"/>
        <v>0.19999998388812229</v>
      </c>
      <c r="I428" s="14">
        <f t="shared" si="70"/>
        <v>34.806722803323858</v>
      </c>
      <c r="J428" s="19">
        <f t="shared" si="71"/>
        <v>997038.65487863566</v>
      </c>
      <c r="K428" s="16">
        <f t="shared" si="72"/>
        <v>0.99306638932135027</v>
      </c>
    </row>
    <row r="429" spans="1:11" x14ac:dyDescent="0.15">
      <c r="A429" s="7">
        <v>39235.486550925925</v>
      </c>
      <c r="B429">
        <v>40.1</v>
      </c>
      <c r="C429" s="6">
        <f t="shared" si="65"/>
        <v>818.00000010989606</v>
      </c>
      <c r="D429" t="str">
        <f t="shared" si="66"/>
        <v/>
      </c>
      <c r="E429">
        <f t="shared" si="61"/>
        <v>39235.486550925925</v>
      </c>
      <c r="F429" s="4">
        <f t="shared" si="67"/>
        <v>0.20000000000000284</v>
      </c>
      <c r="G429" s="4">
        <f t="shared" si="68"/>
        <v>0.10000000000000142</v>
      </c>
      <c r="H429" s="5">
        <f t="shared" si="69"/>
        <v>0.19999998388812229</v>
      </c>
      <c r="I429" s="14">
        <f t="shared" si="70"/>
        <v>34.806722803323858</v>
      </c>
      <c r="J429" s="19">
        <f t="shared" si="71"/>
        <v>997073.46160143893</v>
      </c>
      <c r="K429" s="16">
        <f t="shared" si="72"/>
        <v>0.99310105737195109</v>
      </c>
    </row>
    <row r="430" spans="1:11" x14ac:dyDescent="0.15">
      <c r="A430" s="7">
        <v>39235.486574074072</v>
      </c>
      <c r="B430">
        <v>40.1</v>
      </c>
      <c r="C430" s="6">
        <f t="shared" si="65"/>
        <v>819.99999994877726</v>
      </c>
      <c r="D430" t="str">
        <f t="shared" si="66"/>
        <v/>
      </c>
      <c r="E430">
        <f t="shared" si="61"/>
        <v>39235.486574074072</v>
      </c>
      <c r="F430" s="4">
        <f t="shared" si="67"/>
        <v>0.20000000000000284</v>
      </c>
      <c r="G430" s="4">
        <f t="shared" si="68"/>
        <v>0.10000000000000142</v>
      </c>
      <c r="H430" s="5">
        <f t="shared" si="69"/>
        <v>0.19999998388812229</v>
      </c>
      <c r="I430" s="14">
        <f t="shared" si="70"/>
        <v>34.806722803323858</v>
      </c>
      <c r="J430" s="19">
        <f t="shared" si="71"/>
        <v>997108.26832424221</v>
      </c>
      <c r="K430" s="16">
        <f t="shared" si="72"/>
        <v>0.99313572542255202</v>
      </c>
    </row>
    <row r="431" spans="1:11" x14ac:dyDescent="0.15">
      <c r="A431" s="7">
        <v>39235.486597222225</v>
      </c>
      <c r="B431">
        <v>40.1</v>
      </c>
      <c r="C431" s="6">
        <f t="shared" si="65"/>
        <v>822.00000041630119</v>
      </c>
      <c r="D431" t="str">
        <f t="shared" si="66"/>
        <v/>
      </c>
      <c r="E431">
        <f t="shared" si="61"/>
        <v>39235.486597222225</v>
      </c>
      <c r="F431" s="4">
        <f t="shared" si="67"/>
        <v>0.20000000000000284</v>
      </c>
      <c r="G431" s="4">
        <f t="shared" si="68"/>
        <v>0.10000000000000142</v>
      </c>
      <c r="H431" s="5">
        <f t="shared" si="69"/>
        <v>0.20000004675239608</v>
      </c>
      <c r="I431" s="14">
        <f t="shared" si="70"/>
        <v>34.806733743821496</v>
      </c>
      <c r="J431" s="19">
        <f t="shared" si="71"/>
        <v>997143.07505798608</v>
      </c>
      <c r="K431" s="16">
        <f t="shared" si="72"/>
        <v>0.9931703934840499</v>
      </c>
    </row>
    <row r="432" spans="1:11" x14ac:dyDescent="0.15">
      <c r="A432" s="7">
        <v>39235.486620370371</v>
      </c>
      <c r="B432">
        <v>40.1</v>
      </c>
      <c r="C432" s="6">
        <f t="shared" si="65"/>
        <v>824.00000025518239</v>
      </c>
      <c r="D432" t="str">
        <f t="shared" si="66"/>
        <v/>
      </c>
      <c r="E432">
        <f t="shared" si="61"/>
        <v>39235.486620370371</v>
      </c>
      <c r="F432" s="4">
        <f t="shared" si="67"/>
        <v>0.20000000000000284</v>
      </c>
      <c r="G432" s="4">
        <f t="shared" si="68"/>
        <v>0.10000000000000142</v>
      </c>
      <c r="H432" s="5">
        <f t="shared" si="69"/>
        <v>0.19999998388812229</v>
      </c>
      <c r="I432" s="14">
        <f t="shared" si="70"/>
        <v>34.806722803323858</v>
      </c>
      <c r="J432" s="19">
        <f t="shared" si="71"/>
        <v>997177.88178078935</v>
      </c>
      <c r="K432" s="16">
        <f t="shared" si="72"/>
        <v>0.99320506153465071</v>
      </c>
    </row>
    <row r="433" spans="1:11" x14ac:dyDescent="0.15">
      <c r="A433" s="7">
        <v>39235.486643518518</v>
      </c>
      <c r="B433">
        <v>40.1</v>
      </c>
      <c r="C433" s="6">
        <f t="shared" si="65"/>
        <v>826.00000009406358</v>
      </c>
      <c r="D433" t="str">
        <f t="shared" si="66"/>
        <v/>
      </c>
      <c r="E433">
        <f t="shared" si="61"/>
        <v>39235.486643518518</v>
      </c>
      <c r="F433" s="4">
        <f t="shared" si="67"/>
        <v>0.20000000000000284</v>
      </c>
      <c r="G433" s="4">
        <f t="shared" si="68"/>
        <v>0.10000000000000142</v>
      </c>
      <c r="H433" s="5">
        <f t="shared" si="69"/>
        <v>0.19999998388812229</v>
      </c>
      <c r="I433" s="14">
        <f t="shared" si="70"/>
        <v>34.806722803323858</v>
      </c>
      <c r="J433" s="19">
        <f t="shared" si="71"/>
        <v>997212.68850359262</v>
      </c>
      <c r="K433" s="16">
        <f t="shared" si="72"/>
        <v>0.99323972958525164</v>
      </c>
    </row>
    <row r="434" spans="1:11" x14ac:dyDescent="0.15">
      <c r="A434" s="7">
        <v>39235.486666666664</v>
      </c>
      <c r="B434">
        <v>40.1</v>
      </c>
      <c r="C434" s="6">
        <f t="shared" si="65"/>
        <v>827.99999993294477</v>
      </c>
      <c r="D434" t="str">
        <f t="shared" si="66"/>
        <v/>
      </c>
      <c r="E434">
        <f t="shared" si="61"/>
        <v>39235.486666666664</v>
      </c>
      <c r="F434" s="4">
        <f t="shared" si="67"/>
        <v>0.20000000000000284</v>
      </c>
      <c r="G434" s="4">
        <f t="shared" si="68"/>
        <v>0.10000000000000142</v>
      </c>
      <c r="H434" s="5">
        <f t="shared" si="69"/>
        <v>0.19999998388812229</v>
      </c>
      <c r="I434" s="14">
        <f t="shared" si="70"/>
        <v>34.806722803323858</v>
      </c>
      <c r="J434" s="19">
        <f t="shared" si="71"/>
        <v>997247.4952263959</v>
      </c>
      <c r="K434" s="16">
        <f t="shared" si="72"/>
        <v>0.99327439763585246</v>
      </c>
    </row>
    <row r="435" spans="1:11" x14ac:dyDescent="0.15">
      <c r="A435" s="7">
        <v>39235.486689814818</v>
      </c>
      <c r="B435">
        <v>40.1</v>
      </c>
      <c r="C435" s="6">
        <f t="shared" si="65"/>
        <v>830.00000040046871</v>
      </c>
      <c r="D435" t="str">
        <f t="shared" si="66"/>
        <v/>
      </c>
      <c r="E435">
        <f t="shared" si="61"/>
        <v>39235.486689814818</v>
      </c>
      <c r="F435" s="4">
        <f t="shared" si="67"/>
        <v>0.20000000000000284</v>
      </c>
      <c r="G435" s="4">
        <f t="shared" si="68"/>
        <v>0.10000000000000142</v>
      </c>
      <c r="H435" s="5">
        <f t="shared" si="69"/>
        <v>0.20000004675239608</v>
      </c>
      <c r="I435" s="14">
        <f t="shared" si="70"/>
        <v>34.806733743821496</v>
      </c>
      <c r="J435" s="19">
        <f t="shared" si="71"/>
        <v>997282.30196013977</v>
      </c>
      <c r="K435" s="16">
        <f t="shared" si="72"/>
        <v>0.99330906569735034</v>
      </c>
    </row>
    <row r="436" spans="1:11" x14ac:dyDescent="0.15">
      <c r="A436" s="7">
        <v>39235.486712962964</v>
      </c>
      <c r="B436">
        <v>40.1</v>
      </c>
      <c r="C436" s="6">
        <f t="shared" si="65"/>
        <v>832.0000002393499</v>
      </c>
      <c r="D436" t="str">
        <f t="shared" si="66"/>
        <v/>
      </c>
      <c r="E436">
        <f t="shared" si="61"/>
        <v>39235.486712962964</v>
      </c>
      <c r="F436" s="4">
        <f t="shared" si="67"/>
        <v>0.20000000000000284</v>
      </c>
      <c r="G436" s="4">
        <f t="shared" si="68"/>
        <v>0.10000000000000142</v>
      </c>
      <c r="H436" s="5">
        <f t="shared" si="69"/>
        <v>0.19999998388812229</v>
      </c>
      <c r="I436" s="14">
        <f t="shared" si="70"/>
        <v>34.806722803323858</v>
      </c>
      <c r="J436" s="19">
        <f t="shared" si="71"/>
        <v>997317.10868294304</v>
      </c>
      <c r="K436" s="16">
        <f t="shared" si="72"/>
        <v>0.99334373374795126</v>
      </c>
    </row>
    <row r="437" spans="1:11" x14ac:dyDescent="0.15">
      <c r="A437" s="7">
        <v>39235.48673611111</v>
      </c>
      <c r="B437">
        <v>40.1</v>
      </c>
      <c r="C437" s="6">
        <f t="shared" si="65"/>
        <v>834.0000000782311</v>
      </c>
      <c r="D437" t="str">
        <f t="shared" si="66"/>
        <v/>
      </c>
      <c r="E437">
        <f t="shared" si="61"/>
        <v>39235.48673611111</v>
      </c>
      <c r="F437" s="4">
        <f t="shared" si="67"/>
        <v>0.20000000000000284</v>
      </c>
      <c r="G437" s="4">
        <f t="shared" si="68"/>
        <v>0.10000000000000142</v>
      </c>
      <c r="H437" s="5">
        <f t="shared" si="69"/>
        <v>0.19999998388812229</v>
      </c>
      <c r="I437" s="14">
        <f t="shared" si="70"/>
        <v>34.806722803323858</v>
      </c>
      <c r="J437" s="19">
        <f t="shared" si="71"/>
        <v>997351.91540574632</v>
      </c>
      <c r="K437" s="16">
        <f t="shared" si="72"/>
        <v>0.99337840179855208</v>
      </c>
    </row>
    <row r="438" spans="1:11" x14ac:dyDescent="0.15">
      <c r="A438" s="7">
        <v>39235.486759259256</v>
      </c>
      <c r="B438">
        <v>40.1</v>
      </c>
      <c r="C438" s="6">
        <f t="shared" si="65"/>
        <v>835.99999991711229</v>
      </c>
      <c r="D438" t="str">
        <f t="shared" si="66"/>
        <v/>
      </c>
      <c r="E438">
        <f t="shared" si="61"/>
        <v>39235.486759259256</v>
      </c>
      <c r="F438" s="4">
        <f t="shared" si="67"/>
        <v>0.20000000000000284</v>
      </c>
      <c r="G438" s="4">
        <f t="shared" si="68"/>
        <v>0.10000000000000142</v>
      </c>
      <c r="H438" s="5">
        <f t="shared" si="69"/>
        <v>0.19999998388812229</v>
      </c>
      <c r="I438" s="14">
        <f t="shared" si="70"/>
        <v>34.806722803323858</v>
      </c>
      <c r="J438" s="19">
        <f t="shared" si="71"/>
        <v>997386.72212854959</v>
      </c>
      <c r="K438" s="16">
        <f t="shared" si="72"/>
        <v>0.99341306984915301</v>
      </c>
    </row>
    <row r="439" spans="1:11" x14ac:dyDescent="0.15">
      <c r="A439" s="7">
        <v>39235.48678240741</v>
      </c>
      <c r="B439">
        <v>40.1</v>
      </c>
      <c r="C439" s="6">
        <f t="shared" si="65"/>
        <v>838.00000038463622</v>
      </c>
      <c r="D439" t="str">
        <f t="shared" si="66"/>
        <v/>
      </c>
      <c r="E439">
        <f t="shared" si="61"/>
        <v>39235.48678240741</v>
      </c>
      <c r="F439" s="4">
        <f t="shared" si="67"/>
        <v>0.20000000000000284</v>
      </c>
      <c r="G439" s="4">
        <f t="shared" si="68"/>
        <v>0.10000000000000142</v>
      </c>
      <c r="H439" s="5">
        <f t="shared" si="69"/>
        <v>0.20000004675239608</v>
      </c>
      <c r="I439" s="14">
        <f t="shared" si="70"/>
        <v>34.806733743821496</v>
      </c>
      <c r="J439" s="19">
        <f t="shared" si="71"/>
        <v>997421.52886229346</v>
      </c>
      <c r="K439" s="16">
        <f t="shared" si="72"/>
        <v>0.99344773791065089</v>
      </c>
    </row>
    <row r="440" spans="1:11" x14ac:dyDescent="0.15">
      <c r="A440" s="7">
        <v>39235.486805555556</v>
      </c>
      <c r="B440">
        <v>40.299999999999997</v>
      </c>
      <c r="C440" s="6">
        <f t="shared" si="65"/>
        <v>840.00000022351742</v>
      </c>
      <c r="D440" t="str">
        <f t="shared" si="66"/>
        <v/>
      </c>
      <c r="E440">
        <f t="shared" si="61"/>
        <v>39235.486805555556</v>
      </c>
      <c r="F440" s="4">
        <f t="shared" si="67"/>
        <v>0.39999999999999858</v>
      </c>
      <c r="G440" s="4">
        <f t="shared" si="68"/>
        <v>0.19999999999999929</v>
      </c>
      <c r="H440" s="5">
        <f t="shared" si="69"/>
        <v>0.29999997583217991</v>
      </c>
      <c r="I440" s="14">
        <f t="shared" si="70"/>
        <v>52.210084204985172</v>
      </c>
      <c r="J440" s="19">
        <f t="shared" si="71"/>
        <v>997473.73894649849</v>
      </c>
      <c r="K440" s="16">
        <f t="shared" si="72"/>
        <v>0.99349973998655228</v>
      </c>
    </row>
    <row r="441" spans="1:11" x14ac:dyDescent="0.15">
      <c r="A441" s="7">
        <v>39235.486828703702</v>
      </c>
      <c r="B441">
        <v>40.1</v>
      </c>
      <c r="C441" s="6">
        <f t="shared" si="65"/>
        <v>842.00000006239861</v>
      </c>
      <c r="D441" t="str">
        <f t="shared" si="66"/>
        <v/>
      </c>
      <c r="E441">
        <f t="shared" si="61"/>
        <v>39235.486828703702</v>
      </c>
      <c r="F441" s="4">
        <f t="shared" si="67"/>
        <v>0.20000000000000284</v>
      </c>
      <c r="G441" s="4">
        <f t="shared" si="68"/>
        <v>0.10000000000000142</v>
      </c>
      <c r="H441" s="5">
        <f t="shared" si="69"/>
        <v>0.29999997583217991</v>
      </c>
      <c r="I441" s="14">
        <f t="shared" si="70"/>
        <v>52.210084204985172</v>
      </c>
      <c r="J441" s="19">
        <f t="shared" si="71"/>
        <v>997525.94903070352</v>
      </c>
      <c r="K441" s="16">
        <f t="shared" si="72"/>
        <v>0.99355174206245367</v>
      </c>
    </row>
    <row r="442" spans="1:11" x14ac:dyDescent="0.15">
      <c r="A442" s="7">
        <v>39235.486851851849</v>
      </c>
      <c r="B442">
        <v>40.1</v>
      </c>
      <c r="C442" s="6">
        <f t="shared" si="65"/>
        <v>843.99999990127981</v>
      </c>
      <c r="D442" t="str">
        <f t="shared" si="66"/>
        <v/>
      </c>
      <c r="E442">
        <f t="shared" si="61"/>
        <v>39235.486851851849</v>
      </c>
      <c r="F442" s="4">
        <f t="shared" si="67"/>
        <v>0.20000000000000284</v>
      </c>
      <c r="G442" s="4">
        <f t="shared" si="68"/>
        <v>0.10000000000000142</v>
      </c>
      <c r="H442" s="5">
        <f t="shared" si="69"/>
        <v>0.19999998388812229</v>
      </c>
      <c r="I442" s="14">
        <f t="shared" si="70"/>
        <v>34.806722803323858</v>
      </c>
      <c r="J442" s="19">
        <f t="shared" si="71"/>
        <v>997560.75575350679</v>
      </c>
      <c r="K442" s="16">
        <f t="shared" si="72"/>
        <v>0.9935864101130546</v>
      </c>
    </row>
    <row r="443" spans="1:11" x14ac:dyDescent="0.15">
      <c r="A443" s="7">
        <v>39235.486875000002</v>
      </c>
      <c r="B443">
        <v>40.1</v>
      </c>
      <c r="C443" s="6">
        <f t="shared" si="65"/>
        <v>846.00000036880374</v>
      </c>
      <c r="D443" t="str">
        <f t="shared" si="66"/>
        <v/>
      </c>
      <c r="E443">
        <f t="shared" si="61"/>
        <v>39235.486875000002</v>
      </c>
      <c r="F443" s="4">
        <f t="shared" si="67"/>
        <v>0.20000000000000284</v>
      </c>
      <c r="G443" s="4">
        <f t="shared" si="68"/>
        <v>0.10000000000000142</v>
      </c>
      <c r="H443" s="5">
        <f t="shared" si="69"/>
        <v>0.20000004675239608</v>
      </c>
      <c r="I443" s="14">
        <f t="shared" si="70"/>
        <v>34.806733743821496</v>
      </c>
      <c r="J443" s="19">
        <f t="shared" si="71"/>
        <v>997595.56248725066</v>
      </c>
      <c r="K443" s="16">
        <f t="shared" si="72"/>
        <v>0.99362107817455247</v>
      </c>
    </row>
    <row r="444" spans="1:11" x14ac:dyDescent="0.15">
      <c r="A444" s="7">
        <v>39235.486898148149</v>
      </c>
      <c r="B444">
        <v>40.299999999999997</v>
      </c>
      <c r="C444" s="6">
        <f t="shared" si="65"/>
        <v>848.00000020768493</v>
      </c>
      <c r="D444" t="str">
        <f t="shared" si="66"/>
        <v/>
      </c>
      <c r="E444">
        <f t="shared" si="61"/>
        <v>39235.486898148149</v>
      </c>
      <c r="F444" s="4">
        <f t="shared" si="67"/>
        <v>0.39999999999999858</v>
      </c>
      <c r="G444" s="4">
        <f t="shared" si="68"/>
        <v>0.19999999999999929</v>
      </c>
      <c r="H444" s="5">
        <f t="shared" si="69"/>
        <v>0.29999997583217991</v>
      </c>
      <c r="I444" s="14">
        <f t="shared" si="70"/>
        <v>52.210084204985172</v>
      </c>
      <c r="J444" s="19">
        <f t="shared" si="71"/>
        <v>997647.77257145569</v>
      </c>
      <c r="K444" s="16">
        <f t="shared" si="72"/>
        <v>0.99367308025045387</v>
      </c>
    </row>
    <row r="445" spans="1:11" x14ac:dyDescent="0.15">
      <c r="A445" s="7">
        <v>39235.486921296295</v>
      </c>
      <c r="B445">
        <v>40.1</v>
      </c>
      <c r="C445" s="6">
        <f t="shared" si="65"/>
        <v>850.00000004656613</v>
      </c>
      <c r="D445" t="str">
        <f t="shared" si="66"/>
        <v/>
      </c>
      <c r="E445">
        <f t="shared" si="61"/>
        <v>39235.486921296295</v>
      </c>
      <c r="F445" s="4">
        <f t="shared" si="67"/>
        <v>0.20000000000000284</v>
      </c>
      <c r="G445" s="4">
        <f t="shared" si="68"/>
        <v>0.10000000000000142</v>
      </c>
      <c r="H445" s="5">
        <f t="shared" si="69"/>
        <v>0.29999997583217991</v>
      </c>
      <c r="I445" s="14">
        <f t="shared" si="70"/>
        <v>52.210084204985172</v>
      </c>
      <c r="J445" s="19">
        <f t="shared" si="71"/>
        <v>997699.98265566071</v>
      </c>
      <c r="K445" s="16">
        <f t="shared" si="72"/>
        <v>0.99372508232635526</v>
      </c>
    </row>
    <row r="446" spans="1:11" x14ac:dyDescent="0.15">
      <c r="A446" s="7">
        <v>39235.486944444441</v>
      </c>
      <c r="B446">
        <v>40.1</v>
      </c>
      <c r="C446" s="6">
        <f t="shared" si="65"/>
        <v>851.99999988544732</v>
      </c>
      <c r="D446" t="str">
        <f t="shared" si="66"/>
        <v/>
      </c>
      <c r="E446">
        <f t="shared" si="61"/>
        <v>39235.486944444441</v>
      </c>
      <c r="F446" s="4">
        <f t="shared" si="67"/>
        <v>0.20000000000000284</v>
      </c>
      <c r="G446" s="4">
        <f t="shared" si="68"/>
        <v>0.10000000000000142</v>
      </c>
      <c r="H446" s="5">
        <f t="shared" si="69"/>
        <v>0.19999998388812229</v>
      </c>
      <c r="I446" s="14">
        <f t="shared" si="70"/>
        <v>34.806722803323858</v>
      </c>
      <c r="J446" s="19">
        <f t="shared" si="71"/>
        <v>997734.78937846399</v>
      </c>
      <c r="K446" s="16">
        <f t="shared" si="72"/>
        <v>0.99375975037695619</v>
      </c>
    </row>
    <row r="447" spans="1:11" x14ac:dyDescent="0.15">
      <c r="A447" s="7">
        <v>39235.486967592595</v>
      </c>
      <c r="B447">
        <v>40.1</v>
      </c>
      <c r="C447" s="6">
        <f t="shared" si="65"/>
        <v>854.00000035297126</v>
      </c>
      <c r="D447" t="str">
        <f t="shared" si="66"/>
        <v/>
      </c>
      <c r="E447">
        <f t="shared" si="61"/>
        <v>39235.486967592595</v>
      </c>
      <c r="F447" s="4">
        <f t="shared" si="67"/>
        <v>0.20000000000000284</v>
      </c>
      <c r="G447" s="4">
        <f t="shared" si="68"/>
        <v>0.10000000000000142</v>
      </c>
      <c r="H447" s="5">
        <f t="shared" si="69"/>
        <v>0.20000004675239608</v>
      </c>
      <c r="I447" s="14">
        <f t="shared" si="70"/>
        <v>34.806733743821496</v>
      </c>
      <c r="J447" s="19">
        <f t="shared" si="71"/>
        <v>997769.59611220786</v>
      </c>
      <c r="K447" s="16">
        <f t="shared" si="72"/>
        <v>0.99379441843845406</v>
      </c>
    </row>
    <row r="448" spans="1:11" x14ac:dyDescent="0.15">
      <c r="A448" s="7">
        <v>39235.486990740741</v>
      </c>
      <c r="B448">
        <v>40.1</v>
      </c>
      <c r="C448" s="6">
        <f t="shared" si="65"/>
        <v>856.00000019185245</v>
      </c>
      <c r="D448" t="str">
        <f t="shared" si="66"/>
        <v/>
      </c>
      <c r="E448">
        <f t="shared" si="61"/>
        <v>39235.486990740741</v>
      </c>
      <c r="F448" s="4">
        <f t="shared" si="67"/>
        <v>0.20000000000000284</v>
      </c>
      <c r="G448" s="4">
        <f t="shared" si="68"/>
        <v>0.10000000000000142</v>
      </c>
      <c r="H448" s="5">
        <f t="shared" si="69"/>
        <v>0.19999998388812229</v>
      </c>
      <c r="I448" s="14">
        <f t="shared" si="70"/>
        <v>34.806722803323858</v>
      </c>
      <c r="J448" s="19">
        <f t="shared" si="71"/>
        <v>997804.40283501113</v>
      </c>
      <c r="K448" s="16">
        <f t="shared" si="72"/>
        <v>0.99382908648905488</v>
      </c>
    </row>
    <row r="449" spans="1:11" x14ac:dyDescent="0.15">
      <c r="A449" s="7">
        <v>39235.487013888887</v>
      </c>
      <c r="B449">
        <v>40.1</v>
      </c>
      <c r="C449" s="6">
        <f t="shared" si="65"/>
        <v>858.00000003073364</v>
      </c>
      <c r="D449" t="str">
        <f t="shared" si="66"/>
        <v/>
      </c>
      <c r="E449">
        <f t="shared" si="61"/>
        <v>39235.487013888887</v>
      </c>
      <c r="F449" s="4">
        <f t="shared" si="67"/>
        <v>0.20000000000000284</v>
      </c>
      <c r="G449" s="4">
        <f t="shared" si="68"/>
        <v>0.10000000000000142</v>
      </c>
      <c r="H449" s="5">
        <f t="shared" si="69"/>
        <v>0.19999998388812229</v>
      </c>
      <c r="I449" s="14">
        <f t="shared" si="70"/>
        <v>34.806722803323858</v>
      </c>
      <c r="J449" s="19">
        <f t="shared" si="71"/>
        <v>997839.20955781441</v>
      </c>
      <c r="K449" s="16">
        <f t="shared" si="72"/>
        <v>0.99386375453965581</v>
      </c>
    </row>
    <row r="450" spans="1:11" x14ac:dyDescent="0.15">
      <c r="A450" s="7">
        <v>39235.487037037034</v>
      </c>
      <c r="B450">
        <v>40.1</v>
      </c>
      <c r="C450" s="6">
        <f t="shared" si="65"/>
        <v>859.99999986961484</v>
      </c>
      <c r="D450" t="str">
        <f t="shared" si="66"/>
        <v/>
      </c>
      <c r="E450">
        <f t="shared" si="61"/>
        <v>39235.487037037034</v>
      </c>
      <c r="F450" s="4">
        <f t="shared" si="67"/>
        <v>0.20000000000000284</v>
      </c>
      <c r="G450" s="4">
        <f t="shared" si="68"/>
        <v>0.10000000000000142</v>
      </c>
      <c r="H450" s="5">
        <f t="shared" si="69"/>
        <v>0.19999998388812229</v>
      </c>
      <c r="I450" s="14">
        <f t="shared" si="70"/>
        <v>34.806722803323858</v>
      </c>
      <c r="J450" s="19">
        <f t="shared" si="71"/>
        <v>997874.01628061768</v>
      </c>
      <c r="K450" s="16">
        <f t="shared" si="72"/>
        <v>0.99389842259025662</v>
      </c>
    </row>
    <row r="451" spans="1:11" x14ac:dyDescent="0.15">
      <c r="A451" s="7">
        <v>39235.487060185187</v>
      </c>
      <c r="B451">
        <v>40.1</v>
      </c>
      <c r="C451" s="6">
        <f t="shared" si="65"/>
        <v>862.00000033713877</v>
      </c>
      <c r="D451" t="str">
        <f t="shared" si="66"/>
        <v/>
      </c>
      <c r="E451">
        <f t="shared" si="61"/>
        <v>39235.487060185187</v>
      </c>
      <c r="F451" s="4">
        <f t="shared" si="67"/>
        <v>0.20000000000000284</v>
      </c>
      <c r="G451" s="4">
        <f t="shared" si="68"/>
        <v>0.10000000000000142</v>
      </c>
      <c r="H451" s="5">
        <f t="shared" si="69"/>
        <v>0.20000004675239608</v>
      </c>
      <c r="I451" s="14">
        <f t="shared" si="70"/>
        <v>34.806733743821496</v>
      </c>
      <c r="J451" s="19">
        <f t="shared" si="71"/>
        <v>997908.82301436155</v>
      </c>
      <c r="K451" s="16">
        <f t="shared" si="72"/>
        <v>0.9939330906517545</v>
      </c>
    </row>
    <row r="452" spans="1:11" x14ac:dyDescent="0.15">
      <c r="A452" s="7">
        <v>39235.487083333333</v>
      </c>
      <c r="B452">
        <v>40.1</v>
      </c>
      <c r="C452" s="6">
        <f t="shared" si="65"/>
        <v>864.00000017601997</v>
      </c>
      <c r="D452" t="str">
        <f t="shared" si="66"/>
        <v/>
      </c>
      <c r="E452">
        <f t="shared" si="61"/>
        <v>39235.487083333333</v>
      </c>
      <c r="F452" s="4">
        <f t="shared" si="67"/>
        <v>0.20000000000000284</v>
      </c>
      <c r="G452" s="4">
        <f t="shared" si="68"/>
        <v>0.10000000000000142</v>
      </c>
      <c r="H452" s="5">
        <f t="shared" si="69"/>
        <v>0.19999998388812229</v>
      </c>
      <c r="I452" s="14">
        <f t="shared" si="70"/>
        <v>34.806722803323858</v>
      </c>
      <c r="J452" s="19">
        <f t="shared" si="71"/>
        <v>997943.62973716483</v>
      </c>
      <c r="K452" s="16">
        <f t="shared" si="72"/>
        <v>0.99396775870235543</v>
      </c>
    </row>
    <row r="453" spans="1:11" x14ac:dyDescent="0.15">
      <c r="A453" s="7">
        <v>39235.48710648148</v>
      </c>
      <c r="B453">
        <v>40.1</v>
      </c>
      <c r="C453" s="6">
        <f t="shared" si="65"/>
        <v>866.00000001490116</v>
      </c>
      <c r="D453" t="str">
        <f t="shared" si="66"/>
        <v/>
      </c>
      <c r="E453">
        <f t="shared" si="61"/>
        <v>39235.48710648148</v>
      </c>
      <c r="F453" s="4">
        <f t="shared" si="67"/>
        <v>0.20000000000000284</v>
      </c>
      <c r="G453" s="4">
        <f t="shared" si="68"/>
        <v>0.10000000000000142</v>
      </c>
      <c r="H453" s="5">
        <f t="shared" si="69"/>
        <v>0.19999998388812229</v>
      </c>
      <c r="I453" s="14">
        <f t="shared" si="70"/>
        <v>34.806722803323858</v>
      </c>
      <c r="J453" s="19">
        <f t="shared" si="71"/>
        <v>997978.4364599681</v>
      </c>
      <c r="K453" s="16">
        <f t="shared" si="72"/>
        <v>0.99400242675295625</v>
      </c>
    </row>
    <row r="454" spans="1:11" x14ac:dyDescent="0.15">
      <c r="A454" s="7">
        <v>39235.487129629626</v>
      </c>
      <c r="B454">
        <v>40.1</v>
      </c>
      <c r="C454" s="6">
        <f t="shared" si="65"/>
        <v>867.99999985378236</v>
      </c>
      <c r="D454" t="str">
        <f t="shared" si="66"/>
        <v/>
      </c>
      <c r="E454">
        <f t="shared" si="61"/>
        <v>39235.487129629626</v>
      </c>
      <c r="F454" s="4">
        <f t="shared" si="67"/>
        <v>0.20000000000000284</v>
      </c>
      <c r="G454" s="4">
        <f t="shared" si="68"/>
        <v>0.10000000000000142</v>
      </c>
      <c r="H454" s="5">
        <f t="shared" si="69"/>
        <v>0.19999998388812229</v>
      </c>
      <c r="I454" s="14">
        <f t="shared" si="70"/>
        <v>34.806722803323858</v>
      </c>
      <c r="J454" s="19">
        <f t="shared" si="71"/>
        <v>998013.24318277137</v>
      </c>
      <c r="K454" s="16">
        <f t="shared" si="72"/>
        <v>0.99403709480355718</v>
      </c>
    </row>
    <row r="455" spans="1:11" x14ac:dyDescent="0.15">
      <c r="A455" s="7">
        <v>39235.48715277778</v>
      </c>
      <c r="B455">
        <v>40.200000000000003</v>
      </c>
      <c r="C455" s="6">
        <f t="shared" si="65"/>
        <v>870.00000032130629</v>
      </c>
      <c r="D455" t="str">
        <f t="shared" si="66"/>
        <v/>
      </c>
      <c r="E455">
        <f t="shared" si="61"/>
        <v>39235.48715277778</v>
      </c>
      <c r="F455" s="4">
        <f t="shared" si="67"/>
        <v>0.30000000000000426</v>
      </c>
      <c r="G455" s="4">
        <f t="shared" si="68"/>
        <v>0.15000000000000213</v>
      </c>
      <c r="H455" s="5">
        <f t="shared" si="69"/>
        <v>0.25000005844049511</v>
      </c>
      <c r="I455" s="14">
        <f t="shared" si="70"/>
        <v>43.508417179776878</v>
      </c>
      <c r="J455" s="19">
        <f t="shared" si="71"/>
        <v>998056.75159995118</v>
      </c>
      <c r="K455" s="16">
        <f t="shared" si="72"/>
        <v>0.99408042988042944</v>
      </c>
    </row>
    <row r="456" spans="1:11" x14ac:dyDescent="0.15">
      <c r="A456" s="7">
        <v>39235.487175925926</v>
      </c>
      <c r="B456">
        <v>40.1</v>
      </c>
      <c r="C456" s="6">
        <f t="shared" si="65"/>
        <v>872.00000016018748</v>
      </c>
      <c r="D456" t="str">
        <f t="shared" si="66"/>
        <v/>
      </c>
      <c r="E456">
        <f t="shared" si="61"/>
        <v>39235.487175925926</v>
      </c>
      <c r="F456" s="4">
        <f t="shared" si="67"/>
        <v>0.20000000000000284</v>
      </c>
      <c r="G456" s="4">
        <f t="shared" si="68"/>
        <v>0.10000000000000142</v>
      </c>
      <c r="H456" s="5">
        <f t="shared" si="69"/>
        <v>0.24999997986015288</v>
      </c>
      <c r="I456" s="14">
        <f t="shared" si="70"/>
        <v>43.508403504154828</v>
      </c>
      <c r="J456" s="19">
        <f t="shared" si="71"/>
        <v>998100.26000345533</v>
      </c>
      <c r="K456" s="16">
        <f t="shared" si="72"/>
        <v>0.9941237649436806</v>
      </c>
    </row>
    <row r="457" spans="1:11" x14ac:dyDescent="0.15">
      <c r="A457" s="7">
        <v>39235.487199074072</v>
      </c>
      <c r="B457">
        <v>40.1</v>
      </c>
      <c r="C457" s="6">
        <f t="shared" si="65"/>
        <v>873.99999999906868</v>
      </c>
      <c r="D457" t="str">
        <f t="shared" si="66"/>
        <v/>
      </c>
      <c r="E457">
        <f t="shared" si="61"/>
        <v>39235.487199074072</v>
      </c>
      <c r="F457" s="4">
        <f t="shared" si="67"/>
        <v>0.20000000000000284</v>
      </c>
      <c r="G457" s="4">
        <f t="shared" si="68"/>
        <v>0.10000000000000142</v>
      </c>
      <c r="H457" s="5">
        <f t="shared" si="69"/>
        <v>0.19999998388812229</v>
      </c>
      <c r="I457" s="14">
        <f t="shared" si="70"/>
        <v>34.806722803323858</v>
      </c>
      <c r="J457" s="19">
        <f t="shared" si="71"/>
        <v>998135.06672625861</v>
      </c>
      <c r="K457" s="16">
        <f t="shared" si="72"/>
        <v>0.99415843299428153</v>
      </c>
    </row>
    <row r="458" spans="1:11" x14ac:dyDescent="0.15">
      <c r="A458" s="7">
        <v>39235.487222222226</v>
      </c>
      <c r="B458">
        <v>40.1</v>
      </c>
      <c r="C458" s="6">
        <f t="shared" si="65"/>
        <v>876.00000046659261</v>
      </c>
      <c r="D458" t="str">
        <f t="shared" si="66"/>
        <v/>
      </c>
      <c r="E458">
        <f t="shared" si="61"/>
        <v>39235.487222222226</v>
      </c>
      <c r="F458" s="4">
        <f t="shared" si="67"/>
        <v>0.20000000000000284</v>
      </c>
      <c r="G458" s="4">
        <f t="shared" si="68"/>
        <v>0.10000000000000142</v>
      </c>
      <c r="H458" s="5">
        <f t="shared" si="69"/>
        <v>0.20000004675239608</v>
      </c>
      <c r="I458" s="14">
        <f t="shared" si="70"/>
        <v>34.806733743821496</v>
      </c>
      <c r="J458" s="19">
        <f t="shared" si="71"/>
        <v>998169.87346000248</v>
      </c>
      <c r="K458" s="16">
        <f t="shared" si="72"/>
        <v>0.9941931010557794</v>
      </c>
    </row>
    <row r="459" spans="1:11" x14ac:dyDescent="0.15">
      <c r="A459" s="7">
        <v>39235.487245370372</v>
      </c>
      <c r="B459">
        <v>40.1</v>
      </c>
      <c r="C459" s="6">
        <f t="shared" si="65"/>
        <v>878.0000003054738</v>
      </c>
      <c r="D459" t="str">
        <f t="shared" si="66"/>
        <v/>
      </c>
      <c r="E459">
        <f t="shared" si="61"/>
        <v>39235.487245370372</v>
      </c>
      <c r="F459" s="4">
        <f t="shared" si="67"/>
        <v>0.20000000000000284</v>
      </c>
      <c r="G459" s="4">
        <f t="shared" si="68"/>
        <v>0.10000000000000142</v>
      </c>
      <c r="H459" s="5">
        <f t="shared" si="69"/>
        <v>0.19999998388812229</v>
      </c>
      <c r="I459" s="14">
        <f t="shared" si="70"/>
        <v>34.806722803323858</v>
      </c>
      <c r="J459" s="19">
        <f t="shared" si="71"/>
        <v>998204.68018280575</v>
      </c>
      <c r="K459" s="16">
        <f t="shared" si="72"/>
        <v>0.99422776910638022</v>
      </c>
    </row>
    <row r="460" spans="1:11" x14ac:dyDescent="0.15">
      <c r="A460" s="7">
        <v>39235.487268518518</v>
      </c>
      <c r="B460">
        <v>40.1</v>
      </c>
      <c r="C460" s="6">
        <f t="shared" si="65"/>
        <v>880.000000144355</v>
      </c>
      <c r="D460" t="str">
        <f t="shared" si="66"/>
        <v/>
      </c>
      <c r="E460">
        <f t="shared" si="61"/>
        <v>39235.487268518518</v>
      </c>
      <c r="F460" s="4">
        <f t="shared" si="67"/>
        <v>0.20000000000000284</v>
      </c>
      <c r="G460" s="4">
        <f t="shared" si="68"/>
        <v>0.10000000000000142</v>
      </c>
      <c r="H460" s="5">
        <f t="shared" si="69"/>
        <v>0.19999998388812229</v>
      </c>
      <c r="I460" s="14">
        <f t="shared" si="70"/>
        <v>34.806722803323858</v>
      </c>
      <c r="J460" s="19">
        <f t="shared" si="71"/>
        <v>998239.48690560902</v>
      </c>
      <c r="K460" s="16">
        <f t="shared" si="72"/>
        <v>0.99426243715698115</v>
      </c>
    </row>
    <row r="461" spans="1:11" x14ac:dyDescent="0.15">
      <c r="A461" s="7">
        <v>39235.487291666665</v>
      </c>
      <c r="B461">
        <v>40.1</v>
      </c>
      <c r="C461" s="6">
        <f t="shared" si="65"/>
        <v>881.99999998323619</v>
      </c>
      <c r="D461" t="str">
        <f t="shared" si="66"/>
        <v/>
      </c>
      <c r="E461">
        <f t="shared" si="61"/>
        <v>39235.487291666665</v>
      </c>
      <c r="F461" s="4">
        <f t="shared" si="67"/>
        <v>0.20000000000000284</v>
      </c>
      <c r="G461" s="4">
        <f t="shared" si="68"/>
        <v>0.10000000000000142</v>
      </c>
      <c r="H461" s="5">
        <f t="shared" si="69"/>
        <v>0.19999998388812229</v>
      </c>
      <c r="I461" s="14">
        <f t="shared" si="70"/>
        <v>34.806722803323858</v>
      </c>
      <c r="J461" s="19">
        <f t="shared" si="71"/>
        <v>998274.2936284123</v>
      </c>
      <c r="K461" s="16">
        <f t="shared" si="72"/>
        <v>0.99429710520758197</v>
      </c>
    </row>
    <row r="462" spans="1:11" x14ac:dyDescent="0.15">
      <c r="A462" s="7">
        <v>39235.487314814818</v>
      </c>
      <c r="B462">
        <v>40.1</v>
      </c>
      <c r="C462" s="6">
        <f t="shared" si="65"/>
        <v>884.00000045076013</v>
      </c>
      <c r="D462" t="str">
        <f t="shared" si="66"/>
        <v/>
      </c>
      <c r="E462">
        <f t="shared" si="61"/>
        <v>39235.487314814818</v>
      </c>
      <c r="F462" s="4">
        <f t="shared" si="67"/>
        <v>0.20000000000000284</v>
      </c>
      <c r="G462" s="4">
        <f t="shared" si="68"/>
        <v>0.10000000000000142</v>
      </c>
      <c r="H462" s="5">
        <f t="shared" si="69"/>
        <v>0.20000004675239608</v>
      </c>
      <c r="I462" s="14">
        <f t="shared" si="70"/>
        <v>34.806733743821496</v>
      </c>
      <c r="J462" s="19">
        <f t="shared" si="71"/>
        <v>998309.10036215617</v>
      </c>
      <c r="K462" s="16">
        <f t="shared" si="72"/>
        <v>0.99433177326907984</v>
      </c>
    </row>
    <row r="463" spans="1:11" x14ac:dyDescent="0.15">
      <c r="A463" s="7">
        <v>39235.487337962964</v>
      </c>
      <c r="B463">
        <v>40.299999999999997</v>
      </c>
      <c r="C463" s="6">
        <f t="shared" si="65"/>
        <v>886.00000028964132</v>
      </c>
      <c r="D463" t="str">
        <f t="shared" si="66"/>
        <v/>
      </c>
      <c r="E463">
        <f t="shared" si="61"/>
        <v>39235.487337962964</v>
      </c>
      <c r="F463" s="4">
        <f t="shared" si="67"/>
        <v>0.39999999999999858</v>
      </c>
      <c r="G463" s="4">
        <f t="shared" si="68"/>
        <v>0.19999999999999929</v>
      </c>
      <c r="H463" s="5">
        <f t="shared" si="69"/>
        <v>0.29999997583217991</v>
      </c>
      <c r="I463" s="14">
        <f t="shared" si="70"/>
        <v>52.210084204985172</v>
      </c>
      <c r="J463" s="19">
        <f t="shared" si="71"/>
        <v>998361.3104463612</v>
      </c>
      <c r="K463" s="16">
        <f t="shared" si="72"/>
        <v>0.99438377534498124</v>
      </c>
    </row>
    <row r="464" spans="1:11" x14ac:dyDescent="0.15">
      <c r="A464" s="7">
        <v>39235.487361111111</v>
      </c>
      <c r="B464">
        <v>40.200000000000003</v>
      </c>
      <c r="C464" s="6">
        <f t="shared" si="65"/>
        <v>888.00000012852252</v>
      </c>
      <c r="D464" t="str">
        <f t="shared" si="66"/>
        <v/>
      </c>
      <c r="E464">
        <f t="shared" si="61"/>
        <v>39235.487361111111</v>
      </c>
      <c r="F464" s="4">
        <f t="shared" si="67"/>
        <v>0.30000000000000426</v>
      </c>
      <c r="G464" s="4">
        <f t="shared" si="68"/>
        <v>0.15000000000000213</v>
      </c>
      <c r="H464" s="5">
        <f t="shared" si="69"/>
        <v>0.3499999718042105</v>
      </c>
      <c r="I464" s="14">
        <f t="shared" si="70"/>
        <v>60.911764905816142</v>
      </c>
      <c r="J464" s="19">
        <f t="shared" si="71"/>
        <v>998422.22221126698</v>
      </c>
      <c r="K464" s="16">
        <f t="shared" si="72"/>
        <v>0.99444444443353286</v>
      </c>
    </row>
    <row r="465" spans="1:11" x14ac:dyDescent="0.15">
      <c r="A465" s="7">
        <v>39235.487384259257</v>
      </c>
      <c r="B465">
        <v>40.1</v>
      </c>
      <c r="C465" s="6">
        <f t="shared" si="65"/>
        <v>889.99999996740371</v>
      </c>
      <c r="D465" t="str">
        <f t="shared" si="66"/>
        <v/>
      </c>
      <c r="E465">
        <f t="shared" si="61"/>
        <v>39235.487384259257</v>
      </c>
      <c r="F465" s="4">
        <f t="shared" si="67"/>
        <v>0.20000000000000284</v>
      </c>
      <c r="G465" s="4">
        <f t="shared" si="68"/>
        <v>0.10000000000000142</v>
      </c>
      <c r="H465" s="5">
        <f t="shared" si="69"/>
        <v>0.24999997986015288</v>
      </c>
      <c r="I465" s="14">
        <f t="shared" si="70"/>
        <v>43.508403504154828</v>
      </c>
      <c r="J465" s="19">
        <f t="shared" si="71"/>
        <v>998465.73061477114</v>
      </c>
      <c r="K465" s="16">
        <f t="shared" si="72"/>
        <v>0.99448777949678402</v>
      </c>
    </row>
    <row r="466" spans="1:11" x14ac:dyDescent="0.15">
      <c r="A466" s="7">
        <v>39235.487407407411</v>
      </c>
      <c r="B466">
        <v>40.1</v>
      </c>
      <c r="C466" s="6">
        <f t="shared" si="65"/>
        <v>892.00000043492764</v>
      </c>
      <c r="D466" t="str">
        <f t="shared" si="66"/>
        <v/>
      </c>
      <c r="E466">
        <f t="shared" si="61"/>
        <v>39235.487407407411</v>
      </c>
      <c r="F466" s="4">
        <f t="shared" si="67"/>
        <v>0.20000000000000284</v>
      </c>
      <c r="G466" s="4">
        <f t="shared" si="68"/>
        <v>0.10000000000000142</v>
      </c>
      <c r="H466" s="5">
        <f t="shared" si="69"/>
        <v>0.20000004675239608</v>
      </c>
      <c r="I466" s="14">
        <f t="shared" si="70"/>
        <v>34.806733743821496</v>
      </c>
      <c r="J466" s="19">
        <f t="shared" si="71"/>
        <v>998500.537348515</v>
      </c>
      <c r="K466" s="16">
        <f t="shared" si="72"/>
        <v>0.9945224475582819</v>
      </c>
    </row>
    <row r="467" spans="1:11" x14ac:dyDescent="0.15">
      <c r="A467" s="7">
        <v>39235.487430555557</v>
      </c>
      <c r="B467">
        <v>40.1</v>
      </c>
      <c r="C467" s="6">
        <f t="shared" si="65"/>
        <v>894.00000027380884</v>
      </c>
      <c r="D467" t="str">
        <f t="shared" si="66"/>
        <v/>
      </c>
      <c r="E467">
        <f t="shared" si="61"/>
        <v>39235.487430555557</v>
      </c>
      <c r="F467" s="4">
        <f t="shared" si="67"/>
        <v>0.20000000000000284</v>
      </c>
      <c r="G467" s="4">
        <f t="shared" si="68"/>
        <v>0.10000000000000142</v>
      </c>
      <c r="H467" s="5">
        <f t="shared" si="69"/>
        <v>0.19999998388812229</v>
      </c>
      <c r="I467" s="14">
        <f t="shared" si="70"/>
        <v>34.806722803323858</v>
      </c>
      <c r="J467" s="19">
        <f t="shared" si="71"/>
        <v>998535.34407131828</v>
      </c>
      <c r="K467" s="16">
        <f t="shared" si="72"/>
        <v>0.99455711560888271</v>
      </c>
    </row>
    <row r="468" spans="1:11" x14ac:dyDescent="0.15">
      <c r="A468" s="7">
        <v>39235.487453703703</v>
      </c>
      <c r="B468">
        <v>39.9</v>
      </c>
      <c r="C468" s="6">
        <f t="shared" si="65"/>
        <v>896.00000011269003</v>
      </c>
      <c r="D468" t="str">
        <f t="shared" si="66"/>
        <v/>
      </c>
      <c r="E468" t="str">
        <f t="shared" si="61"/>
        <v xml:space="preserve"> </v>
      </c>
      <c r="F468" s="4">
        <f t="shared" si="67"/>
        <v>0</v>
      </c>
      <c r="G468" s="4">
        <f t="shared" si="68"/>
        <v>0</v>
      </c>
      <c r="H468" s="5">
        <f t="shared" si="69"/>
        <v>9.9999991944061145E-2</v>
      </c>
      <c r="I468" s="14">
        <f t="shared" si="70"/>
        <v>17.403361401661929</v>
      </c>
      <c r="J468" s="19">
        <f t="shared" si="71"/>
        <v>998552.74743271992</v>
      </c>
      <c r="K468" s="16">
        <f t="shared" si="72"/>
        <v>0.99457444963418318</v>
      </c>
    </row>
    <row r="469" spans="1:11" x14ac:dyDescent="0.15">
      <c r="A469" s="7">
        <v>39235.487476851849</v>
      </c>
      <c r="B469">
        <v>40.1</v>
      </c>
      <c r="C469" s="6">
        <f t="shared" si="65"/>
        <v>897.99999995157123</v>
      </c>
      <c r="D469" t="str">
        <f t="shared" si="66"/>
        <v/>
      </c>
      <c r="E469">
        <f t="shared" ref="E469:E529" si="73">IF(B469-$B$6&gt;0,A469," ")</f>
        <v>39235.487476851849</v>
      </c>
      <c r="F469" s="4">
        <f t="shared" si="67"/>
        <v>0.20000000000000284</v>
      </c>
      <c r="G469" s="4">
        <f t="shared" si="68"/>
        <v>0.10000000000000142</v>
      </c>
      <c r="H469" s="5">
        <f t="shared" si="69"/>
        <v>9.9999991944061145E-2</v>
      </c>
      <c r="I469" s="14">
        <f t="shared" si="70"/>
        <v>17.403361401661929</v>
      </c>
      <c r="J469" s="19">
        <f t="shared" si="71"/>
        <v>998570.15079412155</v>
      </c>
      <c r="K469" s="16">
        <f t="shared" si="72"/>
        <v>0.99459178365948364</v>
      </c>
    </row>
    <row r="470" spans="1:11" x14ac:dyDescent="0.15">
      <c r="A470" s="7">
        <v>39235.487500000003</v>
      </c>
      <c r="B470">
        <v>40.1</v>
      </c>
      <c r="C470" s="6">
        <f t="shared" si="65"/>
        <v>900.00000041909516</v>
      </c>
      <c r="D470" t="str">
        <f t="shared" si="66"/>
        <v/>
      </c>
      <c r="E470">
        <f t="shared" si="73"/>
        <v>39235.487500000003</v>
      </c>
      <c r="F470" s="4">
        <f t="shared" si="67"/>
        <v>0.20000000000000284</v>
      </c>
      <c r="G470" s="4">
        <f t="shared" si="68"/>
        <v>0.10000000000000142</v>
      </c>
      <c r="H470" s="5">
        <f t="shared" si="69"/>
        <v>0.20000004675239608</v>
      </c>
      <c r="I470" s="14">
        <f t="shared" si="70"/>
        <v>34.806733743821496</v>
      </c>
      <c r="J470" s="19">
        <f t="shared" si="71"/>
        <v>998604.95752786542</v>
      </c>
      <c r="K470" s="16">
        <f t="shared" si="72"/>
        <v>0.99462645172098152</v>
      </c>
    </row>
    <row r="471" spans="1:11" x14ac:dyDescent="0.15">
      <c r="A471" s="7">
        <v>39235.487523148149</v>
      </c>
      <c r="B471">
        <v>40.1</v>
      </c>
      <c r="C471" s="6">
        <f t="shared" si="65"/>
        <v>902.00000025797635</v>
      </c>
      <c r="D471" t="str">
        <f t="shared" si="66"/>
        <v/>
      </c>
      <c r="E471">
        <f t="shared" si="73"/>
        <v>39235.487523148149</v>
      </c>
      <c r="F471" s="4">
        <f t="shared" si="67"/>
        <v>0.20000000000000284</v>
      </c>
      <c r="G471" s="4">
        <f t="shared" si="68"/>
        <v>0.10000000000000142</v>
      </c>
      <c r="H471" s="5">
        <f t="shared" si="69"/>
        <v>0.19999998388812229</v>
      </c>
      <c r="I471" s="14">
        <f t="shared" si="70"/>
        <v>34.806722803323858</v>
      </c>
      <c r="J471" s="19">
        <f t="shared" si="71"/>
        <v>998639.7642506687</v>
      </c>
      <c r="K471" s="16">
        <f t="shared" si="72"/>
        <v>0.99466111977158234</v>
      </c>
    </row>
    <row r="472" spans="1:11" x14ac:dyDescent="0.15">
      <c r="A472" s="7">
        <v>39235.487546296295</v>
      </c>
      <c r="B472">
        <v>40.1</v>
      </c>
      <c r="C472" s="6">
        <f t="shared" si="65"/>
        <v>904.00000009685755</v>
      </c>
      <c r="D472" t="str">
        <f t="shared" si="66"/>
        <v/>
      </c>
      <c r="E472">
        <f t="shared" si="73"/>
        <v>39235.487546296295</v>
      </c>
      <c r="F472" s="4">
        <f t="shared" si="67"/>
        <v>0.20000000000000284</v>
      </c>
      <c r="G472" s="4">
        <f t="shared" si="68"/>
        <v>0.10000000000000142</v>
      </c>
      <c r="H472" s="5">
        <f t="shared" si="69"/>
        <v>0.19999998388812229</v>
      </c>
      <c r="I472" s="14">
        <f t="shared" si="70"/>
        <v>34.806722803323858</v>
      </c>
      <c r="J472" s="19">
        <f t="shared" si="71"/>
        <v>998674.57097347197</v>
      </c>
      <c r="K472" s="16">
        <f t="shared" si="72"/>
        <v>0.99469578782218326</v>
      </c>
    </row>
    <row r="473" spans="1:11" x14ac:dyDescent="0.15">
      <c r="A473" s="7">
        <v>39235.487569444442</v>
      </c>
      <c r="B473">
        <v>40.1</v>
      </c>
      <c r="C473" s="6">
        <f t="shared" si="65"/>
        <v>905.99999993573874</v>
      </c>
      <c r="D473" t="str">
        <f t="shared" si="66"/>
        <v/>
      </c>
      <c r="E473">
        <f t="shared" si="73"/>
        <v>39235.487569444442</v>
      </c>
      <c r="F473" s="4">
        <f t="shared" si="67"/>
        <v>0.20000000000000284</v>
      </c>
      <c r="G473" s="4">
        <f t="shared" si="68"/>
        <v>0.10000000000000142</v>
      </c>
      <c r="H473" s="5">
        <f t="shared" si="69"/>
        <v>0.19999998388812229</v>
      </c>
      <c r="I473" s="14">
        <f t="shared" si="70"/>
        <v>34.806722803323858</v>
      </c>
      <c r="J473" s="19">
        <f t="shared" si="71"/>
        <v>998709.37769627525</v>
      </c>
      <c r="K473" s="16">
        <f t="shared" si="72"/>
        <v>0.99473045587278408</v>
      </c>
    </row>
    <row r="474" spans="1:11" x14ac:dyDescent="0.15">
      <c r="A474" s="7">
        <v>39235.487592592595</v>
      </c>
      <c r="B474">
        <v>40.1</v>
      </c>
      <c r="C474" s="6">
        <f t="shared" si="65"/>
        <v>908.00000040326267</v>
      </c>
      <c r="D474" t="str">
        <f t="shared" si="66"/>
        <v/>
      </c>
      <c r="E474">
        <f t="shared" si="73"/>
        <v>39235.487592592595</v>
      </c>
      <c r="F474" s="4">
        <f t="shared" si="67"/>
        <v>0.20000000000000284</v>
      </c>
      <c r="G474" s="4">
        <f t="shared" si="68"/>
        <v>0.10000000000000142</v>
      </c>
      <c r="H474" s="5">
        <f t="shared" si="69"/>
        <v>0.20000004675239608</v>
      </c>
      <c r="I474" s="14">
        <f t="shared" si="70"/>
        <v>34.806733743821496</v>
      </c>
      <c r="J474" s="19">
        <f t="shared" si="71"/>
        <v>998744.18443001912</v>
      </c>
      <c r="K474" s="16">
        <f t="shared" si="72"/>
        <v>0.99476512393428196</v>
      </c>
    </row>
    <row r="475" spans="1:11" x14ac:dyDescent="0.15">
      <c r="A475" s="7">
        <v>39235.487615740742</v>
      </c>
      <c r="B475">
        <v>40.1</v>
      </c>
      <c r="C475" s="6">
        <f t="shared" si="65"/>
        <v>910.00000024214387</v>
      </c>
      <c r="D475" t="str">
        <f t="shared" si="66"/>
        <v/>
      </c>
      <c r="E475">
        <f t="shared" si="73"/>
        <v>39235.487615740742</v>
      </c>
      <c r="F475" s="4">
        <f t="shared" si="67"/>
        <v>0.20000000000000284</v>
      </c>
      <c r="G475" s="4">
        <f t="shared" si="68"/>
        <v>0.10000000000000142</v>
      </c>
      <c r="H475" s="5">
        <f t="shared" si="69"/>
        <v>0.19999998388812229</v>
      </c>
      <c r="I475" s="14">
        <f t="shared" si="70"/>
        <v>34.806722803323858</v>
      </c>
      <c r="J475" s="19">
        <f t="shared" si="71"/>
        <v>998778.99115282239</v>
      </c>
      <c r="K475" s="16">
        <f t="shared" si="72"/>
        <v>0.99479979198488289</v>
      </c>
    </row>
    <row r="476" spans="1:11" x14ac:dyDescent="0.15">
      <c r="A476" s="7">
        <v>39235.487638888888</v>
      </c>
      <c r="B476">
        <v>40.1</v>
      </c>
      <c r="C476" s="6">
        <f t="shared" si="65"/>
        <v>912.00000008102506</v>
      </c>
      <c r="D476" t="str">
        <f t="shared" si="66"/>
        <v/>
      </c>
      <c r="E476">
        <f t="shared" si="73"/>
        <v>39235.487638888888</v>
      </c>
      <c r="F476" s="4">
        <f t="shared" si="67"/>
        <v>0.20000000000000284</v>
      </c>
      <c r="G476" s="4">
        <f t="shared" si="68"/>
        <v>0.10000000000000142</v>
      </c>
      <c r="H476" s="5">
        <f t="shared" si="69"/>
        <v>0.19999998388812229</v>
      </c>
      <c r="I476" s="14">
        <f t="shared" si="70"/>
        <v>34.806722803323858</v>
      </c>
      <c r="J476" s="19">
        <f t="shared" si="71"/>
        <v>998813.79787562566</v>
      </c>
      <c r="K476" s="16">
        <f t="shared" si="72"/>
        <v>0.9948344600354837</v>
      </c>
    </row>
    <row r="477" spans="1:11" x14ac:dyDescent="0.15">
      <c r="A477" s="7">
        <v>39235.487662037034</v>
      </c>
      <c r="B477">
        <v>40.1</v>
      </c>
      <c r="C477" s="6">
        <f t="shared" ref="C477:C529" si="74">(A477-$B$4)*24*60*60</f>
        <v>913.99999991990626</v>
      </c>
      <c r="D477" t="str">
        <f t="shared" ref="D477:D529" si="75">IF(F477=$B$8,A477,"")</f>
        <v/>
      </c>
      <c r="E477">
        <f t="shared" si="73"/>
        <v>39235.487662037034</v>
      </c>
      <c r="F477" s="4">
        <f t="shared" ref="F477:F529" si="76">IF((B477-$B$6)&gt;0,B477-$B$6,0)</f>
        <v>0.20000000000000284</v>
      </c>
      <c r="G477" s="4">
        <f t="shared" ref="G477:G529" si="77">F477/2</f>
        <v>0.10000000000000142</v>
      </c>
      <c r="H477" s="5">
        <f t="shared" ref="H477:H529" si="78">AVERAGE(G476:G477)*(C477-C476)</f>
        <v>0.19999998388812229</v>
      </c>
      <c r="I477" s="14">
        <f t="shared" ref="I477:I529" si="79">H477*$B$14</f>
        <v>34.806722803323858</v>
      </c>
      <c r="J477" s="19">
        <f t="shared" ref="J477:J529" si="80">J476+I477</f>
        <v>998848.60459842894</v>
      </c>
      <c r="K477" s="16">
        <f t="shared" ref="K477:K529" si="81">IF(J477=" ","-",J477/($B$12*1000))</f>
        <v>0.99486912808608463</v>
      </c>
    </row>
    <row r="478" spans="1:11" x14ac:dyDescent="0.15">
      <c r="A478" s="7">
        <v>39235.487685185188</v>
      </c>
      <c r="B478">
        <v>40.1</v>
      </c>
      <c r="C478" s="6">
        <f t="shared" si="74"/>
        <v>916.00000038743019</v>
      </c>
      <c r="D478" t="str">
        <f t="shared" si="75"/>
        <v/>
      </c>
      <c r="E478">
        <f t="shared" si="73"/>
        <v>39235.487685185188</v>
      </c>
      <c r="F478" s="4">
        <f t="shared" si="76"/>
        <v>0.20000000000000284</v>
      </c>
      <c r="G478" s="4">
        <f t="shared" si="77"/>
        <v>0.10000000000000142</v>
      </c>
      <c r="H478" s="5">
        <f t="shared" si="78"/>
        <v>0.20000004675239608</v>
      </c>
      <c r="I478" s="14">
        <f t="shared" si="79"/>
        <v>34.806733743821496</v>
      </c>
      <c r="J478" s="19">
        <f t="shared" si="80"/>
        <v>998883.41133217281</v>
      </c>
      <c r="K478" s="16">
        <f t="shared" si="81"/>
        <v>0.99490379614758251</v>
      </c>
    </row>
    <row r="479" spans="1:11" x14ac:dyDescent="0.15">
      <c r="A479" s="7">
        <v>39235.487708333334</v>
      </c>
      <c r="B479">
        <v>40</v>
      </c>
      <c r="C479" s="6">
        <f t="shared" si="74"/>
        <v>918.00000022631139</v>
      </c>
      <c r="D479" t="str">
        <f t="shared" si="75"/>
        <v/>
      </c>
      <c r="E479">
        <f t="shared" si="73"/>
        <v>39235.487708333334</v>
      </c>
      <c r="F479" s="4">
        <f t="shared" si="76"/>
        <v>0.10000000000000142</v>
      </c>
      <c r="G479" s="4">
        <f t="shared" si="77"/>
        <v>5.0000000000000711E-2</v>
      </c>
      <c r="H479" s="5">
        <f t="shared" si="78"/>
        <v>0.14999998791609173</v>
      </c>
      <c r="I479" s="14">
        <f t="shared" si="79"/>
        <v>26.105042102492895</v>
      </c>
      <c r="J479" s="19">
        <f t="shared" si="80"/>
        <v>998909.51637427532</v>
      </c>
      <c r="K479" s="16">
        <f t="shared" si="81"/>
        <v>0.9949297971855332</v>
      </c>
    </row>
    <row r="480" spans="1:11" x14ac:dyDescent="0.15">
      <c r="A480" s="7">
        <v>39235.48773148148</v>
      </c>
      <c r="B480">
        <v>40.1</v>
      </c>
      <c r="C480" s="6">
        <f t="shared" si="74"/>
        <v>920.00000006519258</v>
      </c>
      <c r="D480" t="str">
        <f t="shared" si="75"/>
        <v/>
      </c>
      <c r="E480">
        <f t="shared" si="73"/>
        <v>39235.48773148148</v>
      </c>
      <c r="F480" s="4">
        <f t="shared" si="76"/>
        <v>0.20000000000000284</v>
      </c>
      <c r="G480" s="4">
        <f t="shared" si="77"/>
        <v>0.10000000000000142</v>
      </c>
      <c r="H480" s="5">
        <f t="shared" si="78"/>
        <v>0.14999998791609173</v>
      </c>
      <c r="I480" s="14">
        <f t="shared" si="79"/>
        <v>26.105042102492895</v>
      </c>
      <c r="J480" s="19">
        <f t="shared" si="80"/>
        <v>998935.62141637783</v>
      </c>
      <c r="K480" s="16">
        <f t="shared" si="81"/>
        <v>0.9949557982234839</v>
      </c>
    </row>
    <row r="481" spans="1:11" x14ac:dyDescent="0.15">
      <c r="A481" s="7">
        <v>39235.487754629627</v>
      </c>
      <c r="B481">
        <v>40.1</v>
      </c>
      <c r="C481" s="6">
        <f t="shared" si="74"/>
        <v>921.99999990407377</v>
      </c>
      <c r="D481" t="str">
        <f t="shared" si="75"/>
        <v/>
      </c>
      <c r="E481">
        <f t="shared" si="73"/>
        <v>39235.487754629627</v>
      </c>
      <c r="F481" s="4">
        <f t="shared" si="76"/>
        <v>0.20000000000000284</v>
      </c>
      <c r="G481" s="4">
        <f t="shared" si="77"/>
        <v>0.10000000000000142</v>
      </c>
      <c r="H481" s="5">
        <f t="shared" si="78"/>
        <v>0.19999998388812229</v>
      </c>
      <c r="I481" s="14">
        <f t="shared" si="79"/>
        <v>34.806722803323858</v>
      </c>
      <c r="J481" s="19">
        <f t="shared" si="80"/>
        <v>998970.42813918111</v>
      </c>
      <c r="K481" s="16">
        <f t="shared" si="81"/>
        <v>0.99499046627408472</v>
      </c>
    </row>
    <row r="482" spans="1:11" x14ac:dyDescent="0.15">
      <c r="A482" s="7">
        <v>39235.48777777778</v>
      </c>
      <c r="B482">
        <v>40.1</v>
      </c>
      <c r="C482" s="6">
        <f t="shared" si="74"/>
        <v>924.00000037159771</v>
      </c>
      <c r="D482" t="str">
        <f t="shared" si="75"/>
        <v/>
      </c>
      <c r="E482">
        <f t="shared" si="73"/>
        <v>39235.48777777778</v>
      </c>
      <c r="F482" s="4">
        <f t="shared" si="76"/>
        <v>0.20000000000000284</v>
      </c>
      <c r="G482" s="4">
        <f t="shared" si="77"/>
        <v>0.10000000000000142</v>
      </c>
      <c r="H482" s="5">
        <f t="shared" si="78"/>
        <v>0.20000004675239608</v>
      </c>
      <c r="I482" s="14">
        <f t="shared" si="79"/>
        <v>34.806733743821496</v>
      </c>
      <c r="J482" s="19">
        <f t="shared" si="80"/>
        <v>999005.23487292498</v>
      </c>
      <c r="K482" s="16">
        <f t="shared" si="81"/>
        <v>0.9950251343355826</v>
      </c>
    </row>
    <row r="483" spans="1:11" x14ac:dyDescent="0.15">
      <c r="A483" s="7">
        <v>39235.487800925926</v>
      </c>
      <c r="B483">
        <v>40.1</v>
      </c>
      <c r="C483" s="6">
        <f t="shared" si="74"/>
        <v>926.0000002104789</v>
      </c>
      <c r="D483" t="str">
        <f t="shared" si="75"/>
        <v/>
      </c>
      <c r="E483">
        <f t="shared" si="73"/>
        <v>39235.487800925926</v>
      </c>
      <c r="F483" s="4">
        <f t="shared" si="76"/>
        <v>0.20000000000000284</v>
      </c>
      <c r="G483" s="4">
        <f t="shared" si="77"/>
        <v>0.10000000000000142</v>
      </c>
      <c r="H483" s="5">
        <f t="shared" si="78"/>
        <v>0.19999998388812229</v>
      </c>
      <c r="I483" s="14">
        <f t="shared" si="79"/>
        <v>34.806722803323858</v>
      </c>
      <c r="J483" s="19">
        <f t="shared" si="80"/>
        <v>999040.04159572825</v>
      </c>
      <c r="K483" s="16">
        <f t="shared" si="81"/>
        <v>0.99505980238618352</v>
      </c>
    </row>
    <row r="484" spans="1:11" x14ac:dyDescent="0.15">
      <c r="A484" s="7">
        <v>39235.487824074073</v>
      </c>
      <c r="B484">
        <v>40.1</v>
      </c>
      <c r="C484" s="6">
        <f t="shared" si="74"/>
        <v>928.0000000493601</v>
      </c>
      <c r="D484" t="str">
        <f t="shared" si="75"/>
        <v/>
      </c>
      <c r="E484">
        <f t="shared" si="73"/>
        <v>39235.487824074073</v>
      </c>
      <c r="F484" s="4">
        <f t="shared" si="76"/>
        <v>0.20000000000000284</v>
      </c>
      <c r="G484" s="4">
        <f t="shared" si="77"/>
        <v>0.10000000000000142</v>
      </c>
      <c r="H484" s="5">
        <f t="shared" si="78"/>
        <v>0.19999998388812229</v>
      </c>
      <c r="I484" s="14">
        <f t="shared" si="79"/>
        <v>34.806722803323858</v>
      </c>
      <c r="J484" s="19">
        <f t="shared" si="80"/>
        <v>999074.84831853153</v>
      </c>
      <c r="K484" s="16">
        <f t="shared" si="81"/>
        <v>0.99509447043678434</v>
      </c>
    </row>
    <row r="485" spans="1:11" x14ac:dyDescent="0.15">
      <c r="A485" s="7">
        <v>39235.487847222219</v>
      </c>
      <c r="B485">
        <v>40</v>
      </c>
      <c r="C485" s="6">
        <f t="shared" si="74"/>
        <v>929.99999988824129</v>
      </c>
      <c r="D485" t="str">
        <f t="shared" si="75"/>
        <v/>
      </c>
      <c r="E485">
        <f t="shared" si="73"/>
        <v>39235.487847222219</v>
      </c>
      <c r="F485" s="4">
        <f t="shared" si="76"/>
        <v>0.10000000000000142</v>
      </c>
      <c r="G485" s="4">
        <f t="shared" si="77"/>
        <v>5.0000000000000711E-2</v>
      </c>
      <c r="H485" s="5">
        <f t="shared" si="78"/>
        <v>0.14999998791609173</v>
      </c>
      <c r="I485" s="14">
        <f t="shared" si="79"/>
        <v>26.105042102492895</v>
      </c>
      <c r="J485" s="19">
        <f t="shared" si="80"/>
        <v>999100.95336063404</v>
      </c>
      <c r="K485" s="16">
        <f t="shared" si="81"/>
        <v>0.99512047147473515</v>
      </c>
    </row>
    <row r="486" spans="1:11" x14ac:dyDescent="0.15">
      <c r="A486" s="7">
        <v>39235.487870370373</v>
      </c>
      <c r="B486">
        <v>40.1</v>
      </c>
      <c r="C486" s="6">
        <f t="shared" si="74"/>
        <v>932.00000035576522</v>
      </c>
      <c r="D486" t="str">
        <f t="shared" si="75"/>
        <v/>
      </c>
      <c r="E486">
        <f t="shared" si="73"/>
        <v>39235.487870370373</v>
      </c>
      <c r="F486" s="4">
        <f t="shared" si="76"/>
        <v>0.20000000000000284</v>
      </c>
      <c r="G486" s="4">
        <f t="shared" si="77"/>
        <v>0.10000000000000142</v>
      </c>
      <c r="H486" s="5">
        <f t="shared" si="78"/>
        <v>0.15000003506429707</v>
      </c>
      <c r="I486" s="14">
        <f t="shared" si="79"/>
        <v>26.105050307866126</v>
      </c>
      <c r="J486" s="19">
        <f t="shared" si="80"/>
        <v>999127.05841094186</v>
      </c>
      <c r="K486" s="16">
        <f t="shared" si="81"/>
        <v>0.99514647252085842</v>
      </c>
    </row>
    <row r="487" spans="1:11" x14ac:dyDescent="0.15">
      <c r="A487" s="7">
        <v>39235.487893518519</v>
      </c>
      <c r="B487">
        <v>40.1</v>
      </c>
      <c r="C487" s="6">
        <f t="shared" si="74"/>
        <v>934.00000019464642</v>
      </c>
      <c r="D487" t="str">
        <f t="shared" si="75"/>
        <v/>
      </c>
      <c r="E487">
        <f t="shared" si="73"/>
        <v>39235.487893518519</v>
      </c>
      <c r="F487" s="4">
        <f t="shared" si="76"/>
        <v>0.20000000000000284</v>
      </c>
      <c r="G487" s="4">
        <f t="shared" si="77"/>
        <v>0.10000000000000142</v>
      </c>
      <c r="H487" s="5">
        <f t="shared" si="78"/>
        <v>0.19999998388812229</v>
      </c>
      <c r="I487" s="14">
        <f t="shared" si="79"/>
        <v>34.806722803323858</v>
      </c>
      <c r="J487" s="19">
        <f t="shared" si="80"/>
        <v>999161.86513374513</v>
      </c>
      <c r="K487" s="16">
        <f t="shared" si="81"/>
        <v>0.99518114057145934</v>
      </c>
    </row>
    <row r="488" spans="1:11" x14ac:dyDescent="0.15">
      <c r="A488" s="7">
        <v>39235.487916666665</v>
      </c>
      <c r="B488">
        <v>40.1</v>
      </c>
      <c r="C488" s="6">
        <f t="shared" si="74"/>
        <v>936.00000003352761</v>
      </c>
      <c r="D488" t="str">
        <f t="shared" si="75"/>
        <v/>
      </c>
      <c r="E488">
        <f t="shared" si="73"/>
        <v>39235.487916666665</v>
      </c>
      <c r="F488" s="4">
        <f t="shared" si="76"/>
        <v>0.20000000000000284</v>
      </c>
      <c r="G488" s="4">
        <f t="shared" si="77"/>
        <v>0.10000000000000142</v>
      </c>
      <c r="H488" s="5">
        <f t="shared" si="78"/>
        <v>0.19999998388812229</v>
      </c>
      <c r="I488" s="14">
        <f t="shared" si="79"/>
        <v>34.806722803323858</v>
      </c>
      <c r="J488" s="19">
        <f t="shared" si="80"/>
        <v>999196.6718565484</v>
      </c>
      <c r="K488" s="16">
        <f t="shared" si="81"/>
        <v>0.99521580862206016</v>
      </c>
    </row>
    <row r="489" spans="1:11" x14ac:dyDescent="0.15">
      <c r="A489" s="7">
        <v>39235.487939814811</v>
      </c>
      <c r="B489">
        <v>40</v>
      </c>
      <c r="C489" s="6">
        <f t="shared" si="74"/>
        <v>937.99999987240881</v>
      </c>
      <c r="D489" t="str">
        <f t="shared" si="75"/>
        <v/>
      </c>
      <c r="E489">
        <f t="shared" si="73"/>
        <v>39235.487939814811</v>
      </c>
      <c r="F489" s="4">
        <f t="shared" si="76"/>
        <v>0.10000000000000142</v>
      </c>
      <c r="G489" s="4">
        <f t="shared" si="77"/>
        <v>5.0000000000000711E-2</v>
      </c>
      <c r="H489" s="5">
        <f t="shared" si="78"/>
        <v>0.14999998791609173</v>
      </c>
      <c r="I489" s="14">
        <f t="shared" si="79"/>
        <v>26.105042102492895</v>
      </c>
      <c r="J489" s="19">
        <f t="shared" si="80"/>
        <v>999222.77689865092</v>
      </c>
      <c r="K489" s="16">
        <f t="shared" si="81"/>
        <v>0.99524180966001086</v>
      </c>
    </row>
    <row r="490" spans="1:11" x14ac:dyDescent="0.15">
      <c r="A490" s="7">
        <v>39235.487962962965</v>
      </c>
      <c r="B490">
        <v>40.1</v>
      </c>
      <c r="C490" s="6">
        <f t="shared" si="74"/>
        <v>940.00000033993274</v>
      </c>
      <c r="D490" t="str">
        <f t="shared" si="75"/>
        <v/>
      </c>
      <c r="E490">
        <f t="shared" si="73"/>
        <v>39235.487962962965</v>
      </c>
      <c r="F490" s="4">
        <f t="shared" si="76"/>
        <v>0.20000000000000284</v>
      </c>
      <c r="G490" s="4">
        <f t="shared" si="77"/>
        <v>0.10000000000000142</v>
      </c>
      <c r="H490" s="5">
        <f t="shared" si="78"/>
        <v>0.15000003506429707</v>
      </c>
      <c r="I490" s="14">
        <f t="shared" si="79"/>
        <v>26.105050307866126</v>
      </c>
      <c r="J490" s="19">
        <f t="shared" si="80"/>
        <v>999248.88194895873</v>
      </c>
      <c r="K490" s="16">
        <f t="shared" si="81"/>
        <v>0.99526781070613424</v>
      </c>
    </row>
    <row r="491" spans="1:11" x14ac:dyDescent="0.15">
      <c r="A491" s="7">
        <v>39235.487986111111</v>
      </c>
      <c r="B491">
        <v>40.1</v>
      </c>
      <c r="C491" s="6">
        <f t="shared" si="74"/>
        <v>942.00000017881393</v>
      </c>
      <c r="D491" t="str">
        <f t="shared" si="75"/>
        <v/>
      </c>
      <c r="E491">
        <f t="shared" si="73"/>
        <v>39235.487986111111</v>
      </c>
      <c r="F491" s="4">
        <f t="shared" si="76"/>
        <v>0.20000000000000284</v>
      </c>
      <c r="G491" s="4">
        <f t="shared" si="77"/>
        <v>0.10000000000000142</v>
      </c>
      <c r="H491" s="5">
        <f t="shared" si="78"/>
        <v>0.19999998388812229</v>
      </c>
      <c r="I491" s="14">
        <f t="shared" si="79"/>
        <v>34.806722803323858</v>
      </c>
      <c r="J491" s="19">
        <f t="shared" si="80"/>
        <v>999283.68867176201</v>
      </c>
      <c r="K491" s="16">
        <f t="shared" si="81"/>
        <v>0.99530247875673505</v>
      </c>
    </row>
    <row r="492" spans="1:11" x14ac:dyDescent="0.15">
      <c r="A492" s="7">
        <v>39235.488009259258</v>
      </c>
      <c r="B492">
        <v>40.1</v>
      </c>
      <c r="C492" s="6">
        <f t="shared" si="74"/>
        <v>944.00000001769513</v>
      </c>
      <c r="D492" t="str">
        <f t="shared" si="75"/>
        <v/>
      </c>
      <c r="E492">
        <f t="shared" si="73"/>
        <v>39235.488009259258</v>
      </c>
      <c r="F492" s="4">
        <f t="shared" si="76"/>
        <v>0.20000000000000284</v>
      </c>
      <c r="G492" s="4">
        <f t="shared" si="77"/>
        <v>0.10000000000000142</v>
      </c>
      <c r="H492" s="5">
        <f t="shared" si="78"/>
        <v>0.19999998388812229</v>
      </c>
      <c r="I492" s="14">
        <f t="shared" si="79"/>
        <v>34.806722803323858</v>
      </c>
      <c r="J492" s="19">
        <f t="shared" si="80"/>
        <v>999318.49539456528</v>
      </c>
      <c r="K492" s="16">
        <f t="shared" si="81"/>
        <v>0.99533714680733598</v>
      </c>
    </row>
    <row r="493" spans="1:11" x14ac:dyDescent="0.15">
      <c r="A493" s="7">
        <v>39235.488032407404</v>
      </c>
      <c r="B493">
        <v>40.1</v>
      </c>
      <c r="C493" s="6">
        <f t="shared" si="74"/>
        <v>945.99999985657632</v>
      </c>
      <c r="D493" t="str">
        <f t="shared" si="75"/>
        <v/>
      </c>
      <c r="E493">
        <f t="shared" si="73"/>
        <v>39235.488032407404</v>
      </c>
      <c r="F493" s="4">
        <f t="shared" si="76"/>
        <v>0.20000000000000284</v>
      </c>
      <c r="G493" s="4">
        <f t="shared" si="77"/>
        <v>0.10000000000000142</v>
      </c>
      <c r="H493" s="5">
        <f t="shared" si="78"/>
        <v>0.19999998388812229</v>
      </c>
      <c r="I493" s="14">
        <f t="shared" si="79"/>
        <v>34.806722803323858</v>
      </c>
      <c r="J493" s="19">
        <f t="shared" si="80"/>
        <v>999353.30211736856</v>
      </c>
      <c r="K493" s="16">
        <f t="shared" si="81"/>
        <v>0.9953718148579368</v>
      </c>
    </row>
    <row r="494" spans="1:11" x14ac:dyDescent="0.15">
      <c r="A494" s="7">
        <v>39235.488055555557</v>
      </c>
      <c r="B494">
        <v>40.1</v>
      </c>
      <c r="C494" s="6">
        <f t="shared" si="74"/>
        <v>948.00000032410026</v>
      </c>
      <c r="D494" t="str">
        <f t="shared" si="75"/>
        <v/>
      </c>
      <c r="E494">
        <f t="shared" si="73"/>
        <v>39235.488055555557</v>
      </c>
      <c r="F494" s="4">
        <f t="shared" si="76"/>
        <v>0.20000000000000284</v>
      </c>
      <c r="G494" s="4">
        <f t="shared" si="77"/>
        <v>0.10000000000000142</v>
      </c>
      <c r="H494" s="5">
        <f t="shared" si="78"/>
        <v>0.20000004675239608</v>
      </c>
      <c r="I494" s="14">
        <f t="shared" si="79"/>
        <v>34.806733743821496</v>
      </c>
      <c r="J494" s="19">
        <f t="shared" si="80"/>
        <v>999388.10885111243</v>
      </c>
      <c r="K494" s="16">
        <f t="shared" si="81"/>
        <v>0.99540648291943468</v>
      </c>
    </row>
    <row r="495" spans="1:11" x14ac:dyDescent="0.15">
      <c r="A495" s="7">
        <v>39235.488078703704</v>
      </c>
      <c r="B495">
        <v>39.9</v>
      </c>
      <c r="C495" s="6">
        <f t="shared" si="74"/>
        <v>950.00000016298145</v>
      </c>
      <c r="D495" t="str">
        <f t="shared" si="75"/>
        <v/>
      </c>
      <c r="E495" t="str">
        <f t="shared" si="73"/>
        <v xml:space="preserve"> </v>
      </c>
      <c r="F495" s="4">
        <f t="shared" si="76"/>
        <v>0</v>
      </c>
      <c r="G495" s="4">
        <f t="shared" si="77"/>
        <v>0</v>
      </c>
      <c r="H495" s="5">
        <f t="shared" si="78"/>
        <v>9.9999991944061145E-2</v>
      </c>
      <c r="I495" s="14">
        <f t="shared" si="79"/>
        <v>17.403361401661929</v>
      </c>
      <c r="J495" s="19">
        <f t="shared" si="80"/>
        <v>999405.51221251406</v>
      </c>
      <c r="K495" s="16">
        <f t="shared" si="81"/>
        <v>0.99542381694473514</v>
      </c>
    </row>
    <row r="496" spans="1:11" x14ac:dyDescent="0.15">
      <c r="A496" s="7">
        <v>39235.48810185185</v>
      </c>
      <c r="B496">
        <v>40.1</v>
      </c>
      <c r="C496" s="6">
        <f t="shared" si="74"/>
        <v>952.00000000186265</v>
      </c>
      <c r="D496" t="str">
        <f t="shared" si="75"/>
        <v/>
      </c>
      <c r="E496">
        <f t="shared" si="73"/>
        <v>39235.48810185185</v>
      </c>
      <c r="F496" s="4">
        <f t="shared" si="76"/>
        <v>0.20000000000000284</v>
      </c>
      <c r="G496" s="4">
        <f t="shared" si="77"/>
        <v>0.10000000000000142</v>
      </c>
      <c r="H496" s="5">
        <f t="shared" si="78"/>
        <v>9.9999991944061145E-2</v>
      </c>
      <c r="I496" s="14">
        <f t="shared" si="79"/>
        <v>17.403361401661929</v>
      </c>
      <c r="J496" s="19">
        <f t="shared" si="80"/>
        <v>999422.9155739157</v>
      </c>
      <c r="K496" s="16">
        <f t="shared" si="81"/>
        <v>0.9954411509700356</v>
      </c>
    </row>
    <row r="497" spans="1:11" x14ac:dyDescent="0.15">
      <c r="A497" s="7">
        <v>39235.488125000003</v>
      </c>
      <c r="B497">
        <v>40</v>
      </c>
      <c r="C497" s="6">
        <f t="shared" si="74"/>
        <v>954.00000046938658</v>
      </c>
      <c r="D497" t="str">
        <f t="shared" si="75"/>
        <v/>
      </c>
      <c r="E497">
        <f t="shared" si="73"/>
        <v>39235.488125000003</v>
      </c>
      <c r="F497" s="4">
        <f t="shared" si="76"/>
        <v>0.10000000000000142</v>
      </c>
      <c r="G497" s="4">
        <f t="shared" si="77"/>
        <v>5.0000000000000711E-2</v>
      </c>
      <c r="H497" s="5">
        <f t="shared" si="78"/>
        <v>0.15000003506429707</v>
      </c>
      <c r="I497" s="14">
        <f t="shared" si="79"/>
        <v>26.105050307866126</v>
      </c>
      <c r="J497" s="19">
        <f t="shared" si="80"/>
        <v>999449.02062422351</v>
      </c>
      <c r="K497" s="16">
        <f t="shared" si="81"/>
        <v>0.99546715201615887</v>
      </c>
    </row>
    <row r="498" spans="1:11" x14ac:dyDescent="0.15">
      <c r="A498" s="7">
        <v>39235.48814814815</v>
      </c>
      <c r="B498">
        <v>39.9</v>
      </c>
      <c r="C498" s="6">
        <f t="shared" si="74"/>
        <v>956.00000030826777</v>
      </c>
      <c r="D498" t="str">
        <f t="shared" si="75"/>
        <v/>
      </c>
      <c r="E498" t="str">
        <f t="shared" si="73"/>
        <v xml:space="preserve"> </v>
      </c>
      <c r="F498" s="4">
        <f t="shared" si="76"/>
        <v>0</v>
      </c>
      <c r="G498" s="4">
        <f t="shared" si="77"/>
        <v>0</v>
      </c>
      <c r="H498" s="5">
        <f t="shared" si="78"/>
        <v>4.9999995972030573E-2</v>
      </c>
      <c r="I498" s="14">
        <f t="shared" si="79"/>
        <v>8.7016807008309645</v>
      </c>
      <c r="J498" s="19">
        <f t="shared" si="80"/>
        <v>999457.72230492439</v>
      </c>
      <c r="K498" s="16">
        <f t="shared" si="81"/>
        <v>0.99547581902880911</v>
      </c>
    </row>
    <row r="499" spans="1:11" x14ac:dyDescent="0.15">
      <c r="A499" s="7">
        <v>39235.488171296296</v>
      </c>
      <c r="B499">
        <v>40.1</v>
      </c>
      <c r="C499" s="6">
        <f t="shared" si="74"/>
        <v>958.00000014714897</v>
      </c>
      <c r="D499" t="str">
        <f t="shared" si="75"/>
        <v/>
      </c>
      <c r="E499">
        <f t="shared" si="73"/>
        <v>39235.488171296296</v>
      </c>
      <c r="F499" s="4">
        <f t="shared" si="76"/>
        <v>0.20000000000000284</v>
      </c>
      <c r="G499" s="4">
        <f t="shared" si="77"/>
        <v>0.10000000000000142</v>
      </c>
      <c r="H499" s="5">
        <f t="shared" si="78"/>
        <v>9.9999991944061145E-2</v>
      </c>
      <c r="I499" s="14">
        <f t="shared" si="79"/>
        <v>17.403361401661929</v>
      </c>
      <c r="J499" s="19">
        <f t="shared" si="80"/>
        <v>999475.12566632603</v>
      </c>
      <c r="K499" s="16">
        <f t="shared" si="81"/>
        <v>0.99549315305410957</v>
      </c>
    </row>
    <row r="500" spans="1:11" x14ac:dyDescent="0.15">
      <c r="A500" s="7">
        <v>39235.488194444442</v>
      </c>
      <c r="B500">
        <v>40.1</v>
      </c>
      <c r="C500" s="6">
        <f t="shared" si="74"/>
        <v>959.99999998603016</v>
      </c>
      <c r="D500" t="str">
        <f t="shared" si="75"/>
        <v/>
      </c>
      <c r="E500">
        <f t="shared" si="73"/>
        <v>39235.488194444442</v>
      </c>
      <c r="F500" s="4">
        <f t="shared" si="76"/>
        <v>0.20000000000000284</v>
      </c>
      <c r="G500" s="4">
        <f t="shared" si="77"/>
        <v>0.10000000000000142</v>
      </c>
      <c r="H500" s="5">
        <f t="shared" si="78"/>
        <v>0.19999998388812229</v>
      </c>
      <c r="I500" s="14">
        <f t="shared" si="79"/>
        <v>34.806722803323858</v>
      </c>
      <c r="J500" s="19">
        <f t="shared" si="80"/>
        <v>999509.9323891293</v>
      </c>
      <c r="K500" s="16">
        <f t="shared" si="81"/>
        <v>0.9955278211047105</v>
      </c>
    </row>
    <row r="501" spans="1:11" x14ac:dyDescent="0.15">
      <c r="A501" s="7">
        <v>39235.488217592596</v>
      </c>
      <c r="B501">
        <v>40.1</v>
      </c>
      <c r="C501" s="6">
        <f t="shared" si="74"/>
        <v>962.00000045355409</v>
      </c>
      <c r="D501" t="str">
        <f t="shared" si="75"/>
        <v/>
      </c>
      <c r="E501">
        <f t="shared" si="73"/>
        <v>39235.488217592596</v>
      </c>
      <c r="F501" s="4">
        <f t="shared" si="76"/>
        <v>0.20000000000000284</v>
      </c>
      <c r="G501" s="4">
        <f t="shared" si="77"/>
        <v>0.10000000000000142</v>
      </c>
      <c r="H501" s="5">
        <f t="shared" si="78"/>
        <v>0.20000004675239608</v>
      </c>
      <c r="I501" s="14">
        <f t="shared" si="79"/>
        <v>34.806733743821496</v>
      </c>
      <c r="J501" s="19">
        <f t="shared" si="80"/>
        <v>999544.73912287317</v>
      </c>
      <c r="K501" s="16">
        <f t="shared" si="81"/>
        <v>0.99556248916620838</v>
      </c>
    </row>
    <row r="502" spans="1:11" x14ac:dyDescent="0.15">
      <c r="A502" s="7">
        <v>39235.488240740742</v>
      </c>
      <c r="B502">
        <v>40.1</v>
      </c>
      <c r="C502" s="6">
        <f t="shared" si="74"/>
        <v>964.00000029243529</v>
      </c>
      <c r="D502" t="str">
        <f t="shared" si="75"/>
        <v/>
      </c>
      <c r="E502">
        <f t="shared" si="73"/>
        <v>39235.488240740742</v>
      </c>
      <c r="F502" s="4">
        <f t="shared" si="76"/>
        <v>0.20000000000000284</v>
      </c>
      <c r="G502" s="4">
        <f t="shared" si="77"/>
        <v>0.10000000000000142</v>
      </c>
      <c r="H502" s="5">
        <f t="shared" si="78"/>
        <v>0.19999998388812229</v>
      </c>
      <c r="I502" s="14">
        <f t="shared" si="79"/>
        <v>34.806722803323858</v>
      </c>
      <c r="J502" s="19">
        <f t="shared" si="80"/>
        <v>999579.54584567645</v>
      </c>
      <c r="K502" s="16">
        <f t="shared" si="81"/>
        <v>0.99559715721680919</v>
      </c>
    </row>
    <row r="503" spans="1:11" x14ac:dyDescent="0.15">
      <c r="A503" s="7">
        <v>39235.488263888888</v>
      </c>
      <c r="B503">
        <v>40</v>
      </c>
      <c r="C503" s="6">
        <f t="shared" si="74"/>
        <v>966.00000013131648</v>
      </c>
      <c r="D503" t="str">
        <f t="shared" si="75"/>
        <v/>
      </c>
      <c r="E503">
        <f t="shared" si="73"/>
        <v>39235.488263888888</v>
      </c>
      <c r="F503" s="4">
        <f t="shared" si="76"/>
        <v>0.10000000000000142</v>
      </c>
      <c r="G503" s="4">
        <f t="shared" si="77"/>
        <v>5.0000000000000711E-2</v>
      </c>
      <c r="H503" s="5">
        <f t="shared" si="78"/>
        <v>0.14999998791609173</v>
      </c>
      <c r="I503" s="14">
        <f t="shared" si="79"/>
        <v>26.105042102492895</v>
      </c>
      <c r="J503" s="19">
        <f t="shared" si="80"/>
        <v>999605.65088777896</v>
      </c>
      <c r="K503" s="16">
        <f t="shared" si="81"/>
        <v>0.99562315825475989</v>
      </c>
    </row>
    <row r="504" spans="1:11" x14ac:dyDescent="0.15">
      <c r="A504" s="7">
        <v>39235.488287037035</v>
      </c>
      <c r="B504">
        <v>39.9</v>
      </c>
      <c r="C504" s="6">
        <f t="shared" si="74"/>
        <v>967.99999997019768</v>
      </c>
      <c r="D504" t="str">
        <f t="shared" si="75"/>
        <v/>
      </c>
      <c r="E504" t="str">
        <f t="shared" si="73"/>
        <v xml:space="preserve"> </v>
      </c>
      <c r="F504" s="4">
        <f t="shared" si="76"/>
        <v>0</v>
      </c>
      <c r="G504" s="4">
        <f t="shared" si="77"/>
        <v>0</v>
      </c>
      <c r="H504" s="5">
        <f t="shared" si="78"/>
        <v>4.9999995972030573E-2</v>
      </c>
      <c r="I504" s="14">
        <f t="shared" si="79"/>
        <v>8.7016807008309645</v>
      </c>
      <c r="J504" s="19">
        <f t="shared" si="80"/>
        <v>999614.35256847984</v>
      </c>
      <c r="K504" s="16">
        <f t="shared" si="81"/>
        <v>0.99563182526741023</v>
      </c>
    </row>
    <row r="505" spans="1:11" x14ac:dyDescent="0.15">
      <c r="A505" s="7">
        <v>39235.488310185188</v>
      </c>
      <c r="B505">
        <v>40.1</v>
      </c>
      <c r="C505" s="6">
        <f t="shared" si="74"/>
        <v>970.00000043772161</v>
      </c>
      <c r="D505" t="str">
        <f t="shared" si="75"/>
        <v/>
      </c>
      <c r="E505">
        <f t="shared" si="73"/>
        <v>39235.488310185188</v>
      </c>
      <c r="F505" s="4">
        <f t="shared" si="76"/>
        <v>0.20000000000000284</v>
      </c>
      <c r="G505" s="4">
        <f t="shared" si="77"/>
        <v>0.10000000000000142</v>
      </c>
      <c r="H505" s="5">
        <f t="shared" si="78"/>
        <v>0.10000002337619804</v>
      </c>
      <c r="I505" s="14">
        <f t="shared" si="79"/>
        <v>17.403366871910748</v>
      </c>
      <c r="J505" s="19">
        <f t="shared" si="80"/>
        <v>999631.75593535171</v>
      </c>
      <c r="K505" s="16">
        <f t="shared" si="81"/>
        <v>0.99564915929815911</v>
      </c>
    </row>
    <row r="506" spans="1:11" x14ac:dyDescent="0.15">
      <c r="A506" s="7">
        <v>39235.488333333335</v>
      </c>
      <c r="B506">
        <v>40.1</v>
      </c>
      <c r="C506" s="6">
        <f t="shared" si="74"/>
        <v>972.0000002766028</v>
      </c>
      <c r="D506" t="str">
        <f t="shared" si="75"/>
        <v/>
      </c>
      <c r="E506">
        <f t="shared" si="73"/>
        <v>39235.488333333335</v>
      </c>
      <c r="F506" s="4">
        <f t="shared" si="76"/>
        <v>0.20000000000000284</v>
      </c>
      <c r="G506" s="4">
        <f t="shared" si="77"/>
        <v>0.10000000000000142</v>
      </c>
      <c r="H506" s="5">
        <f t="shared" si="78"/>
        <v>0.19999998388812229</v>
      </c>
      <c r="I506" s="14">
        <f t="shared" si="79"/>
        <v>34.806722803323858</v>
      </c>
      <c r="J506" s="19">
        <f t="shared" si="80"/>
        <v>999666.56265815499</v>
      </c>
      <c r="K506" s="16">
        <f t="shared" si="81"/>
        <v>0.99568382734875993</v>
      </c>
    </row>
    <row r="507" spans="1:11" x14ac:dyDescent="0.15">
      <c r="A507" s="7">
        <v>39235.488356481481</v>
      </c>
      <c r="B507">
        <v>39.9</v>
      </c>
      <c r="C507" s="6">
        <f t="shared" si="74"/>
        <v>974.000000115484</v>
      </c>
      <c r="D507" t="str">
        <f t="shared" si="75"/>
        <v/>
      </c>
      <c r="E507" t="str">
        <f t="shared" si="73"/>
        <v xml:space="preserve"> </v>
      </c>
      <c r="F507" s="4">
        <f t="shared" si="76"/>
        <v>0</v>
      </c>
      <c r="G507" s="4">
        <f t="shared" si="77"/>
        <v>0</v>
      </c>
      <c r="H507" s="5">
        <f t="shared" si="78"/>
        <v>9.9999991944061145E-2</v>
      </c>
      <c r="I507" s="14">
        <f t="shared" si="79"/>
        <v>17.403361401661929</v>
      </c>
      <c r="J507" s="19">
        <f t="shared" si="80"/>
        <v>999683.96601955662</v>
      </c>
      <c r="K507" s="16">
        <f t="shared" si="81"/>
        <v>0.9957011613740604</v>
      </c>
    </row>
    <row r="508" spans="1:11" x14ac:dyDescent="0.15">
      <c r="A508" s="7">
        <v>39235.488379629627</v>
      </c>
      <c r="B508">
        <v>40</v>
      </c>
      <c r="C508" s="6">
        <f t="shared" si="74"/>
        <v>975.99999995436519</v>
      </c>
      <c r="D508" t="str">
        <f t="shared" si="75"/>
        <v/>
      </c>
      <c r="E508">
        <f t="shared" si="73"/>
        <v>39235.488379629627</v>
      </c>
      <c r="F508" s="4">
        <f t="shared" si="76"/>
        <v>0.10000000000000142</v>
      </c>
      <c r="G508" s="4">
        <f t="shared" si="77"/>
        <v>5.0000000000000711E-2</v>
      </c>
      <c r="H508" s="5">
        <f t="shared" si="78"/>
        <v>4.9999995972030573E-2</v>
      </c>
      <c r="I508" s="14">
        <f t="shared" si="79"/>
        <v>8.7016807008309645</v>
      </c>
      <c r="J508" s="19">
        <f t="shared" si="80"/>
        <v>999692.6677002575</v>
      </c>
      <c r="K508" s="16">
        <f t="shared" si="81"/>
        <v>0.99570982838671063</v>
      </c>
    </row>
    <row r="509" spans="1:11" x14ac:dyDescent="0.15">
      <c r="A509" s="7">
        <v>39235.488402777781</v>
      </c>
      <c r="B509">
        <v>40.1</v>
      </c>
      <c r="C509" s="6">
        <f t="shared" si="74"/>
        <v>978.00000042188913</v>
      </c>
      <c r="D509" t="str">
        <f t="shared" si="75"/>
        <v/>
      </c>
      <c r="E509">
        <f t="shared" si="73"/>
        <v>39235.488402777781</v>
      </c>
      <c r="F509" s="4">
        <f t="shared" si="76"/>
        <v>0.20000000000000284</v>
      </c>
      <c r="G509" s="4">
        <f t="shared" si="77"/>
        <v>0.10000000000000142</v>
      </c>
      <c r="H509" s="5">
        <f t="shared" si="78"/>
        <v>0.15000003506429707</v>
      </c>
      <c r="I509" s="14">
        <f t="shared" si="79"/>
        <v>26.105050307866126</v>
      </c>
      <c r="J509" s="19">
        <f t="shared" si="80"/>
        <v>999718.77275056532</v>
      </c>
      <c r="K509" s="16">
        <f t="shared" si="81"/>
        <v>0.99573582943283401</v>
      </c>
    </row>
    <row r="510" spans="1:11" x14ac:dyDescent="0.15">
      <c r="A510" s="7">
        <v>39235.488425925927</v>
      </c>
      <c r="B510">
        <v>40.1</v>
      </c>
      <c r="C510" s="6">
        <f t="shared" si="74"/>
        <v>980.00000026077032</v>
      </c>
      <c r="D510" t="str">
        <f t="shared" si="75"/>
        <v/>
      </c>
      <c r="E510">
        <f t="shared" si="73"/>
        <v>39235.488425925927</v>
      </c>
      <c r="F510" s="4">
        <f t="shared" si="76"/>
        <v>0.20000000000000284</v>
      </c>
      <c r="G510" s="4">
        <f t="shared" si="77"/>
        <v>0.10000000000000142</v>
      </c>
      <c r="H510" s="5">
        <f t="shared" si="78"/>
        <v>0.19999998388812229</v>
      </c>
      <c r="I510" s="14">
        <f t="shared" si="79"/>
        <v>34.806722803323858</v>
      </c>
      <c r="J510" s="19">
        <f t="shared" si="80"/>
        <v>999753.57947336859</v>
      </c>
      <c r="K510" s="16">
        <f t="shared" si="81"/>
        <v>0.99577049748343482</v>
      </c>
    </row>
    <row r="511" spans="1:11" x14ac:dyDescent="0.15">
      <c r="A511" s="7">
        <v>39235.488449074073</v>
      </c>
      <c r="B511">
        <v>40.1</v>
      </c>
      <c r="C511" s="6">
        <f t="shared" si="74"/>
        <v>982.00000009965152</v>
      </c>
      <c r="D511" t="str">
        <f t="shared" si="75"/>
        <v/>
      </c>
      <c r="E511">
        <f t="shared" si="73"/>
        <v>39235.488449074073</v>
      </c>
      <c r="F511" s="4">
        <f t="shared" si="76"/>
        <v>0.20000000000000284</v>
      </c>
      <c r="G511" s="4">
        <f t="shared" si="77"/>
        <v>0.10000000000000142</v>
      </c>
      <c r="H511" s="5">
        <f t="shared" si="78"/>
        <v>0.19999998388812229</v>
      </c>
      <c r="I511" s="14">
        <f t="shared" si="79"/>
        <v>34.806722803323858</v>
      </c>
      <c r="J511" s="19">
        <f t="shared" si="80"/>
        <v>999788.38619617186</v>
      </c>
      <c r="K511" s="16">
        <f t="shared" si="81"/>
        <v>0.99580516553403575</v>
      </c>
    </row>
    <row r="512" spans="1:11" x14ac:dyDescent="0.15">
      <c r="A512" s="7">
        <v>39235.48847222222</v>
      </c>
      <c r="B512">
        <v>39.9</v>
      </c>
      <c r="C512" s="6">
        <f t="shared" si="74"/>
        <v>983.99999993853271</v>
      </c>
      <c r="D512" t="str">
        <f t="shared" si="75"/>
        <v/>
      </c>
      <c r="E512" t="str">
        <f t="shared" si="73"/>
        <v xml:space="preserve"> </v>
      </c>
      <c r="F512" s="4">
        <f t="shared" si="76"/>
        <v>0</v>
      </c>
      <c r="G512" s="4">
        <f t="shared" si="77"/>
        <v>0</v>
      </c>
      <c r="H512" s="5">
        <f t="shared" si="78"/>
        <v>9.9999991944061145E-2</v>
      </c>
      <c r="I512" s="14">
        <f t="shared" si="79"/>
        <v>17.403361401661929</v>
      </c>
      <c r="J512" s="19">
        <f t="shared" si="80"/>
        <v>999805.7895575735</v>
      </c>
      <c r="K512" s="16">
        <f t="shared" si="81"/>
        <v>0.99582249955933611</v>
      </c>
    </row>
    <row r="513" spans="1:11" x14ac:dyDescent="0.15">
      <c r="A513" s="7">
        <v>39235.488495370373</v>
      </c>
      <c r="B513">
        <v>40.1</v>
      </c>
      <c r="C513" s="6">
        <f t="shared" si="74"/>
        <v>986.00000040605664</v>
      </c>
      <c r="D513" t="str">
        <f t="shared" si="75"/>
        <v/>
      </c>
      <c r="E513">
        <f t="shared" si="73"/>
        <v>39235.488495370373</v>
      </c>
      <c r="F513" s="4">
        <f t="shared" si="76"/>
        <v>0.20000000000000284</v>
      </c>
      <c r="G513" s="4">
        <f t="shared" si="77"/>
        <v>0.10000000000000142</v>
      </c>
      <c r="H513" s="5">
        <f t="shared" si="78"/>
        <v>0.10000002337619804</v>
      </c>
      <c r="I513" s="14">
        <f t="shared" si="79"/>
        <v>17.403366871910748</v>
      </c>
      <c r="J513" s="19">
        <f t="shared" si="80"/>
        <v>999823.19292444538</v>
      </c>
      <c r="K513" s="16">
        <f t="shared" si="81"/>
        <v>0.99583983359008499</v>
      </c>
    </row>
    <row r="514" spans="1:11" x14ac:dyDescent="0.15">
      <c r="A514" s="7">
        <v>39235.488518518519</v>
      </c>
      <c r="B514">
        <v>40.1</v>
      </c>
      <c r="C514" s="6">
        <f t="shared" si="74"/>
        <v>988.00000024493784</v>
      </c>
      <c r="D514" t="str">
        <f t="shared" si="75"/>
        <v/>
      </c>
      <c r="E514">
        <f t="shared" si="73"/>
        <v>39235.488518518519</v>
      </c>
      <c r="F514" s="4">
        <f t="shared" si="76"/>
        <v>0.20000000000000284</v>
      </c>
      <c r="G514" s="4">
        <f t="shared" si="77"/>
        <v>0.10000000000000142</v>
      </c>
      <c r="H514" s="5">
        <f t="shared" si="78"/>
        <v>0.19999998388812229</v>
      </c>
      <c r="I514" s="14">
        <f t="shared" si="79"/>
        <v>34.806722803323858</v>
      </c>
      <c r="J514" s="19">
        <f t="shared" si="80"/>
        <v>999857.99964724865</v>
      </c>
      <c r="K514" s="16">
        <f t="shared" si="81"/>
        <v>0.99587450164068592</v>
      </c>
    </row>
    <row r="515" spans="1:11" x14ac:dyDescent="0.15">
      <c r="A515" s="7">
        <v>39235.488541666666</v>
      </c>
      <c r="B515">
        <v>40.1</v>
      </c>
      <c r="C515" s="6">
        <f t="shared" si="74"/>
        <v>990.00000008381903</v>
      </c>
      <c r="D515" t="str">
        <f t="shared" si="75"/>
        <v/>
      </c>
      <c r="E515">
        <f t="shared" si="73"/>
        <v>39235.488541666666</v>
      </c>
      <c r="F515" s="4">
        <f t="shared" si="76"/>
        <v>0.20000000000000284</v>
      </c>
      <c r="G515" s="4">
        <f t="shared" si="77"/>
        <v>0.10000000000000142</v>
      </c>
      <c r="H515" s="5">
        <f t="shared" si="78"/>
        <v>0.19999998388812229</v>
      </c>
      <c r="I515" s="14">
        <f t="shared" si="79"/>
        <v>34.806722803323858</v>
      </c>
      <c r="J515" s="19">
        <f t="shared" si="80"/>
        <v>999892.80637005193</v>
      </c>
      <c r="K515" s="16">
        <f t="shared" si="81"/>
        <v>0.99590916969128673</v>
      </c>
    </row>
    <row r="516" spans="1:11" x14ac:dyDescent="0.15">
      <c r="A516" s="7">
        <v>39235.488564814812</v>
      </c>
      <c r="B516">
        <v>40.1</v>
      </c>
      <c r="C516" s="6">
        <f t="shared" si="74"/>
        <v>991.99999992270023</v>
      </c>
      <c r="D516" t="str">
        <f t="shared" si="75"/>
        <v/>
      </c>
      <c r="E516">
        <f t="shared" si="73"/>
        <v>39235.488564814812</v>
      </c>
      <c r="F516" s="4">
        <f t="shared" si="76"/>
        <v>0.20000000000000284</v>
      </c>
      <c r="G516" s="4">
        <f t="shared" si="77"/>
        <v>0.10000000000000142</v>
      </c>
      <c r="H516" s="5">
        <f t="shared" si="78"/>
        <v>0.19999998388812229</v>
      </c>
      <c r="I516" s="14">
        <f t="shared" si="79"/>
        <v>34.806722803323858</v>
      </c>
      <c r="J516" s="19">
        <f t="shared" si="80"/>
        <v>999927.6130928552</v>
      </c>
      <c r="K516" s="16">
        <f t="shared" si="81"/>
        <v>0.99594383774188766</v>
      </c>
    </row>
    <row r="517" spans="1:11" x14ac:dyDescent="0.15">
      <c r="A517" s="7">
        <v>39235.488587962966</v>
      </c>
      <c r="B517">
        <v>40.1</v>
      </c>
      <c r="C517" s="6">
        <f t="shared" si="74"/>
        <v>994.00000039022416</v>
      </c>
      <c r="D517" t="str">
        <f t="shared" si="75"/>
        <v/>
      </c>
      <c r="E517">
        <f t="shared" si="73"/>
        <v>39235.488587962966</v>
      </c>
      <c r="F517" s="4">
        <f t="shared" si="76"/>
        <v>0.20000000000000284</v>
      </c>
      <c r="G517" s="4">
        <f t="shared" si="77"/>
        <v>0.10000000000000142</v>
      </c>
      <c r="H517" s="5">
        <f t="shared" si="78"/>
        <v>0.20000004675239608</v>
      </c>
      <c r="I517" s="14">
        <f t="shared" si="79"/>
        <v>34.806733743821496</v>
      </c>
      <c r="J517" s="19">
        <f t="shared" si="80"/>
        <v>999962.41982659907</v>
      </c>
      <c r="K517" s="16">
        <f t="shared" si="81"/>
        <v>0.99597850580338554</v>
      </c>
    </row>
    <row r="518" spans="1:11" x14ac:dyDescent="0.15">
      <c r="A518" s="7">
        <v>39235.488611111112</v>
      </c>
      <c r="B518">
        <v>39.9</v>
      </c>
      <c r="C518" s="6">
        <f t="shared" si="74"/>
        <v>996.00000022910535</v>
      </c>
      <c r="D518" t="str">
        <f t="shared" si="75"/>
        <v/>
      </c>
      <c r="E518" t="str">
        <f t="shared" si="73"/>
        <v xml:space="preserve"> </v>
      </c>
      <c r="F518" s="4">
        <f t="shared" si="76"/>
        <v>0</v>
      </c>
      <c r="G518" s="4">
        <f t="shared" si="77"/>
        <v>0</v>
      </c>
      <c r="H518" s="5">
        <f t="shared" si="78"/>
        <v>9.9999991944061145E-2</v>
      </c>
      <c r="I518" s="14">
        <f t="shared" si="79"/>
        <v>17.403361401661929</v>
      </c>
      <c r="J518" s="19">
        <f t="shared" si="80"/>
        <v>999979.82318800071</v>
      </c>
      <c r="K518" s="16">
        <f t="shared" si="81"/>
        <v>0.995995839828686</v>
      </c>
    </row>
    <row r="519" spans="1:11" x14ac:dyDescent="0.15">
      <c r="A519" s="7">
        <v>39235.488634259258</v>
      </c>
      <c r="B519">
        <v>39.9</v>
      </c>
      <c r="C519" s="6">
        <f t="shared" si="74"/>
        <v>998.00000006798655</v>
      </c>
      <c r="D519" t="str">
        <f t="shared" si="75"/>
        <v/>
      </c>
      <c r="E519" t="str">
        <f t="shared" si="73"/>
        <v xml:space="preserve"> </v>
      </c>
      <c r="F519" s="4">
        <f t="shared" si="76"/>
        <v>0</v>
      </c>
      <c r="G519" s="4">
        <f t="shared" si="77"/>
        <v>0</v>
      </c>
      <c r="H519" s="5">
        <f t="shared" si="78"/>
        <v>0</v>
      </c>
      <c r="I519" s="14">
        <f t="shared" si="79"/>
        <v>0</v>
      </c>
      <c r="J519" s="19">
        <f t="shared" si="80"/>
        <v>999979.82318800071</v>
      </c>
      <c r="K519" s="16">
        <f t="shared" si="81"/>
        <v>0.995995839828686</v>
      </c>
    </row>
    <row r="520" spans="1:11" x14ac:dyDescent="0.15">
      <c r="A520" s="7">
        <v>39235.488657407404</v>
      </c>
      <c r="B520">
        <v>39.9</v>
      </c>
      <c r="C520" s="6">
        <f t="shared" si="74"/>
        <v>999.99999990686774</v>
      </c>
      <c r="D520" t="str">
        <f t="shared" si="75"/>
        <v/>
      </c>
      <c r="E520" t="str">
        <f t="shared" si="73"/>
        <v xml:space="preserve"> </v>
      </c>
      <c r="F520" s="4">
        <f t="shared" si="76"/>
        <v>0</v>
      </c>
      <c r="G520" s="4">
        <f t="shared" si="77"/>
        <v>0</v>
      </c>
      <c r="H520" s="5">
        <f t="shared" si="78"/>
        <v>0</v>
      </c>
      <c r="I520" s="14">
        <f t="shared" si="79"/>
        <v>0</v>
      </c>
      <c r="J520" s="19">
        <f t="shared" si="80"/>
        <v>999979.82318800071</v>
      </c>
      <c r="K520" s="16">
        <f t="shared" si="81"/>
        <v>0.995995839828686</v>
      </c>
    </row>
    <row r="521" spans="1:11" x14ac:dyDescent="0.15">
      <c r="A521" s="7">
        <v>39235.488680555558</v>
      </c>
      <c r="B521">
        <v>39.9</v>
      </c>
      <c r="C521" s="6">
        <f t="shared" si="74"/>
        <v>1002.0000003743917</v>
      </c>
      <c r="D521" t="str">
        <f t="shared" si="75"/>
        <v/>
      </c>
      <c r="E521" t="str">
        <f t="shared" si="73"/>
        <v xml:space="preserve"> </v>
      </c>
      <c r="F521" s="4">
        <f t="shared" si="76"/>
        <v>0</v>
      </c>
      <c r="G521" s="4">
        <f t="shared" si="77"/>
        <v>0</v>
      </c>
      <c r="H521" s="5">
        <f t="shared" si="78"/>
        <v>0</v>
      </c>
      <c r="I521" s="14">
        <f t="shared" si="79"/>
        <v>0</v>
      </c>
      <c r="J521" s="19">
        <f t="shared" si="80"/>
        <v>999979.82318800071</v>
      </c>
      <c r="K521" s="16">
        <f t="shared" si="81"/>
        <v>0.995995839828686</v>
      </c>
    </row>
    <row r="522" spans="1:11" x14ac:dyDescent="0.15">
      <c r="A522" s="7">
        <v>39235.488703703704</v>
      </c>
      <c r="B522">
        <v>40.1</v>
      </c>
      <c r="C522" s="6">
        <f t="shared" si="74"/>
        <v>1004.0000002132729</v>
      </c>
      <c r="D522" t="str">
        <f t="shared" si="75"/>
        <v/>
      </c>
      <c r="E522">
        <f t="shared" si="73"/>
        <v>39235.488703703704</v>
      </c>
      <c r="F522" s="4">
        <f t="shared" si="76"/>
        <v>0.20000000000000284</v>
      </c>
      <c r="G522" s="4">
        <f t="shared" si="77"/>
        <v>0.10000000000000142</v>
      </c>
      <c r="H522" s="5">
        <f t="shared" si="78"/>
        <v>9.9999991944061145E-2</v>
      </c>
      <c r="I522" s="14">
        <f t="shared" si="79"/>
        <v>17.403361401661929</v>
      </c>
      <c r="J522" s="19">
        <f t="shared" si="80"/>
        <v>999997.22654940234</v>
      </c>
      <c r="K522" s="16">
        <f t="shared" si="81"/>
        <v>0.99601317385398636</v>
      </c>
    </row>
    <row r="523" spans="1:11" x14ac:dyDescent="0.15">
      <c r="A523" s="7">
        <v>39235.488726851851</v>
      </c>
      <c r="B523">
        <v>40.1</v>
      </c>
      <c r="C523" s="6">
        <f t="shared" si="74"/>
        <v>1006.0000000521541</v>
      </c>
      <c r="D523" t="str">
        <f t="shared" si="75"/>
        <v/>
      </c>
      <c r="E523">
        <f t="shared" si="73"/>
        <v>39235.488726851851</v>
      </c>
      <c r="F523" s="4">
        <f t="shared" si="76"/>
        <v>0.20000000000000284</v>
      </c>
      <c r="G523" s="4">
        <f t="shared" si="77"/>
        <v>0.10000000000000142</v>
      </c>
      <c r="H523" s="5">
        <f t="shared" si="78"/>
        <v>0.19999998388812229</v>
      </c>
      <c r="I523" s="14">
        <f t="shared" si="79"/>
        <v>34.806722803323858</v>
      </c>
      <c r="J523" s="19">
        <f t="shared" si="80"/>
        <v>1000032.0332722056</v>
      </c>
      <c r="K523" s="16">
        <f t="shared" si="81"/>
        <v>0.99604784190458728</v>
      </c>
    </row>
    <row r="524" spans="1:11" x14ac:dyDescent="0.15">
      <c r="A524" s="7">
        <v>39235.488749999997</v>
      </c>
      <c r="B524">
        <v>39.9</v>
      </c>
      <c r="C524" s="6">
        <f t="shared" si="74"/>
        <v>1007.9999998910353</v>
      </c>
      <c r="D524" t="str">
        <f t="shared" si="75"/>
        <v/>
      </c>
      <c r="E524" t="str">
        <f t="shared" si="73"/>
        <v xml:space="preserve"> </v>
      </c>
      <c r="F524" s="4">
        <f t="shared" si="76"/>
        <v>0</v>
      </c>
      <c r="G524" s="4">
        <f t="shared" si="77"/>
        <v>0</v>
      </c>
      <c r="H524" s="5">
        <f t="shared" si="78"/>
        <v>9.9999991944061145E-2</v>
      </c>
      <c r="I524" s="14">
        <f t="shared" si="79"/>
        <v>17.403361401661929</v>
      </c>
      <c r="J524" s="19">
        <f t="shared" si="80"/>
        <v>1000049.4366336073</v>
      </c>
      <c r="K524" s="16">
        <f t="shared" si="81"/>
        <v>0.99606517592988775</v>
      </c>
    </row>
    <row r="525" spans="1:11" x14ac:dyDescent="0.15">
      <c r="A525" s="7">
        <v>39235.48877314815</v>
      </c>
      <c r="B525">
        <v>40.1</v>
      </c>
      <c r="C525" s="6">
        <f t="shared" si="74"/>
        <v>1010.0000003585592</v>
      </c>
      <c r="D525" t="str">
        <f t="shared" si="75"/>
        <v/>
      </c>
      <c r="E525">
        <f t="shared" si="73"/>
        <v>39235.48877314815</v>
      </c>
      <c r="F525" s="4">
        <f t="shared" si="76"/>
        <v>0.20000000000000284</v>
      </c>
      <c r="G525" s="4">
        <f t="shared" si="77"/>
        <v>0.10000000000000142</v>
      </c>
      <c r="H525" s="5">
        <f t="shared" si="78"/>
        <v>0.10000002337619804</v>
      </c>
      <c r="I525" s="14">
        <f t="shared" si="79"/>
        <v>17.403366871910748</v>
      </c>
      <c r="J525" s="19">
        <f t="shared" si="80"/>
        <v>1000066.8400004791</v>
      </c>
      <c r="K525" s="16">
        <f t="shared" si="81"/>
        <v>0.99608250996063663</v>
      </c>
    </row>
    <row r="526" spans="1:11" x14ac:dyDescent="0.15">
      <c r="A526" s="7">
        <v>39235.488796296297</v>
      </c>
      <c r="B526">
        <v>40.1</v>
      </c>
      <c r="C526" s="6">
        <f t="shared" si="74"/>
        <v>1012.0000001974404</v>
      </c>
      <c r="D526" t="str">
        <f t="shared" si="75"/>
        <v/>
      </c>
      <c r="E526">
        <f t="shared" si="73"/>
        <v>39235.488796296297</v>
      </c>
      <c r="F526" s="4">
        <f t="shared" si="76"/>
        <v>0.20000000000000284</v>
      </c>
      <c r="G526" s="4">
        <f t="shared" si="77"/>
        <v>0.10000000000000142</v>
      </c>
      <c r="H526" s="5">
        <f t="shared" si="78"/>
        <v>0.19999998388812229</v>
      </c>
      <c r="I526" s="14">
        <f t="shared" si="79"/>
        <v>34.806722803323858</v>
      </c>
      <c r="J526" s="19">
        <f t="shared" si="80"/>
        <v>1000101.6467232824</v>
      </c>
      <c r="K526" s="16">
        <f t="shared" si="81"/>
        <v>0.99611717801123745</v>
      </c>
    </row>
    <row r="527" spans="1:11" x14ac:dyDescent="0.15">
      <c r="A527" s="7">
        <v>39235.488819444443</v>
      </c>
      <c r="B527">
        <v>40.1</v>
      </c>
      <c r="C527" s="6">
        <f t="shared" si="74"/>
        <v>1014.0000000363216</v>
      </c>
      <c r="D527" t="str">
        <f t="shared" si="75"/>
        <v/>
      </c>
      <c r="E527">
        <f t="shared" si="73"/>
        <v>39235.488819444443</v>
      </c>
      <c r="F527" s="4">
        <f t="shared" si="76"/>
        <v>0.20000000000000284</v>
      </c>
      <c r="G527" s="4">
        <f t="shared" si="77"/>
        <v>0.10000000000000142</v>
      </c>
      <c r="H527" s="5">
        <f t="shared" si="78"/>
        <v>0.19999998388812229</v>
      </c>
      <c r="I527" s="14">
        <f t="shared" si="79"/>
        <v>34.806722803323858</v>
      </c>
      <c r="J527" s="19">
        <f t="shared" si="80"/>
        <v>1000136.4534460857</v>
      </c>
      <c r="K527" s="16">
        <f t="shared" si="81"/>
        <v>0.99615184606183838</v>
      </c>
    </row>
    <row r="528" spans="1:11" x14ac:dyDescent="0.15">
      <c r="A528" s="7">
        <v>39235.488842592589</v>
      </c>
      <c r="B528">
        <v>40.1</v>
      </c>
      <c r="C528" s="6">
        <f t="shared" si="74"/>
        <v>1015.9999998752028</v>
      </c>
      <c r="D528" t="str">
        <f t="shared" si="75"/>
        <v/>
      </c>
      <c r="E528">
        <f t="shared" si="73"/>
        <v>39235.488842592589</v>
      </c>
      <c r="F528" s="4">
        <f t="shared" si="76"/>
        <v>0.20000000000000284</v>
      </c>
      <c r="G528" s="4">
        <f t="shared" si="77"/>
        <v>0.10000000000000142</v>
      </c>
      <c r="H528" s="5">
        <f t="shared" si="78"/>
        <v>0.19999998388812229</v>
      </c>
      <c r="I528" s="14">
        <f t="shared" si="79"/>
        <v>34.806722803323858</v>
      </c>
      <c r="J528" s="19">
        <f t="shared" si="80"/>
        <v>1000171.260168889</v>
      </c>
      <c r="K528" s="16">
        <f t="shared" si="81"/>
        <v>0.99618651411243919</v>
      </c>
    </row>
    <row r="529" spans="1:11" x14ac:dyDescent="0.15">
      <c r="A529" s="7">
        <v>39235.488865740743</v>
      </c>
      <c r="B529">
        <v>39.9</v>
      </c>
      <c r="C529" s="6">
        <f t="shared" si="74"/>
        <v>1018.0000003427267</v>
      </c>
      <c r="D529" t="str">
        <f t="shared" si="75"/>
        <v/>
      </c>
      <c r="E529" t="str">
        <f t="shared" si="73"/>
        <v xml:space="preserve"> </v>
      </c>
      <c r="F529" s="4">
        <f t="shared" si="76"/>
        <v>0</v>
      </c>
      <c r="G529" s="4">
        <f t="shared" si="77"/>
        <v>0</v>
      </c>
      <c r="H529" s="5">
        <f t="shared" si="78"/>
        <v>0.10000002337619804</v>
      </c>
      <c r="I529" s="14">
        <f t="shared" si="79"/>
        <v>17.403366871910748</v>
      </c>
      <c r="J529" s="19">
        <f t="shared" si="80"/>
        <v>1000188.6635357608</v>
      </c>
      <c r="K529" s="16">
        <f t="shared" si="81"/>
        <v>0.99620384814318808</v>
      </c>
    </row>
    <row r="530" spans="1:11" x14ac:dyDescent="0.15">
      <c r="A530" s="7">
        <v>39235.488888888889</v>
      </c>
      <c r="B530">
        <v>40.1</v>
      </c>
      <c r="C530" s="6">
        <f t="shared" ref="C530:C593" si="82">(A530-$B$4)*24*60*60</f>
        <v>1020.0000001816079</v>
      </c>
      <c r="D530" t="str">
        <f t="shared" ref="D530:D593" si="83">IF(F530=$B$8,A530,"")</f>
        <v/>
      </c>
      <c r="E530">
        <f t="shared" ref="E530:E593" si="84">IF(B530-$B$6&gt;0,A530," ")</f>
        <v>39235.488888888889</v>
      </c>
      <c r="F530" s="4">
        <f t="shared" ref="F530:F593" si="85">IF((B530-$B$6)&gt;0,B530-$B$6,0)</f>
        <v>0.20000000000000284</v>
      </c>
      <c r="G530" s="4">
        <f t="shared" ref="G530:G593" si="86">F530/2</f>
        <v>0.10000000000000142</v>
      </c>
      <c r="H530" s="5">
        <f t="shared" ref="H530:H593" si="87">AVERAGE(G529:G530)*(C530-C529)</f>
        <v>9.9999991944061145E-2</v>
      </c>
      <c r="I530" s="14">
        <f t="shared" ref="I530:I593" si="88">H530*$B$14</f>
        <v>17.403361401661929</v>
      </c>
      <c r="J530" s="19">
        <f t="shared" ref="J530:J593" si="89">J529+I530</f>
        <v>1000206.0668971625</v>
      </c>
      <c r="K530" s="16">
        <f t="shared" ref="K530:K593" si="90">IF(J530=" ","-",J530/($B$12*1000))</f>
        <v>0.99622118216848854</v>
      </c>
    </row>
    <row r="531" spans="1:11" x14ac:dyDescent="0.15">
      <c r="A531" s="7">
        <v>39235.488912037035</v>
      </c>
      <c r="B531">
        <v>39.9</v>
      </c>
      <c r="C531" s="6">
        <f t="shared" si="82"/>
        <v>1022.0000000204891</v>
      </c>
      <c r="D531" t="str">
        <f t="shared" si="83"/>
        <v/>
      </c>
      <c r="E531" t="str">
        <f t="shared" si="84"/>
        <v xml:space="preserve"> </v>
      </c>
      <c r="F531" s="4">
        <f t="shared" si="85"/>
        <v>0</v>
      </c>
      <c r="G531" s="4">
        <f t="shared" si="86"/>
        <v>0</v>
      </c>
      <c r="H531" s="5">
        <f t="shared" si="87"/>
        <v>9.9999991944061145E-2</v>
      </c>
      <c r="I531" s="14">
        <f t="shared" si="88"/>
        <v>17.403361401661929</v>
      </c>
      <c r="J531" s="19">
        <f t="shared" si="89"/>
        <v>1000223.4702585641</v>
      </c>
      <c r="K531" s="16">
        <f t="shared" si="90"/>
        <v>0.996238516193789</v>
      </c>
    </row>
    <row r="532" spans="1:11" x14ac:dyDescent="0.15">
      <c r="A532" s="7">
        <v>39235.488935185182</v>
      </c>
      <c r="B532">
        <v>40.1</v>
      </c>
      <c r="C532" s="6">
        <f t="shared" si="82"/>
        <v>1023.9999998593703</v>
      </c>
      <c r="D532" t="str">
        <f t="shared" si="83"/>
        <v/>
      </c>
      <c r="E532">
        <f t="shared" si="84"/>
        <v>39235.488935185182</v>
      </c>
      <c r="F532" s="4">
        <f t="shared" si="85"/>
        <v>0.20000000000000284</v>
      </c>
      <c r="G532" s="4">
        <f t="shared" si="86"/>
        <v>0.10000000000000142</v>
      </c>
      <c r="H532" s="5">
        <f t="shared" si="87"/>
        <v>9.9999991944061145E-2</v>
      </c>
      <c r="I532" s="14">
        <f t="shared" si="88"/>
        <v>17.403361401661929</v>
      </c>
      <c r="J532" s="19">
        <f t="shared" si="89"/>
        <v>1000240.8736199657</v>
      </c>
      <c r="K532" s="16">
        <f t="shared" si="90"/>
        <v>0.99625585021908936</v>
      </c>
    </row>
    <row r="533" spans="1:11" x14ac:dyDescent="0.15">
      <c r="A533" s="7">
        <v>39235.488958333335</v>
      </c>
      <c r="B533">
        <v>40.1</v>
      </c>
      <c r="C533" s="6">
        <f t="shared" si="82"/>
        <v>1026.0000003268942</v>
      </c>
      <c r="D533" t="str">
        <f t="shared" si="83"/>
        <v/>
      </c>
      <c r="E533">
        <f t="shared" si="84"/>
        <v>39235.488958333335</v>
      </c>
      <c r="F533" s="4">
        <f t="shared" si="85"/>
        <v>0.20000000000000284</v>
      </c>
      <c r="G533" s="4">
        <f t="shared" si="86"/>
        <v>0.10000000000000142</v>
      </c>
      <c r="H533" s="5">
        <f t="shared" si="87"/>
        <v>0.20000004675239608</v>
      </c>
      <c r="I533" s="14">
        <f t="shared" si="88"/>
        <v>34.806733743821496</v>
      </c>
      <c r="J533" s="19">
        <f t="shared" si="89"/>
        <v>1000275.6803537096</v>
      </c>
      <c r="K533" s="16">
        <f t="shared" si="90"/>
        <v>0.99629051828058723</v>
      </c>
    </row>
    <row r="534" spans="1:11" x14ac:dyDescent="0.15">
      <c r="A534" s="7">
        <v>39235.488981481481</v>
      </c>
      <c r="B534">
        <v>40.1</v>
      </c>
      <c r="C534" s="6">
        <f t="shared" si="82"/>
        <v>1028.0000001657754</v>
      </c>
      <c r="D534" t="str">
        <f t="shared" si="83"/>
        <v/>
      </c>
      <c r="E534">
        <f t="shared" si="84"/>
        <v>39235.488981481481</v>
      </c>
      <c r="F534" s="4">
        <f t="shared" si="85"/>
        <v>0.20000000000000284</v>
      </c>
      <c r="G534" s="4">
        <f t="shared" si="86"/>
        <v>0.10000000000000142</v>
      </c>
      <c r="H534" s="5">
        <f t="shared" si="87"/>
        <v>0.19999998388812229</v>
      </c>
      <c r="I534" s="14">
        <f t="shared" si="88"/>
        <v>34.806722803323858</v>
      </c>
      <c r="J534" s="19">
        <f t="shared" si="89"/>
        <v>1000310.4870765129</v>
      </c>
      <c r="K534" s="16">
        <f t="shared" si="90"/>
        <v>0.99632518633118816</v>
      </c>
    </row>
    <row r="535" spans="1:11" x14ac:dyDescent="0.15">
      <c r="A535" s="7">
        <v>39235.489004629628</v>
      </c>
      <c r="B535">
        <v>40.1</v>
      </c>
      <c r="C535" s="6">
        <f t="shared" si="82"/>
        <v>1030.0000000046566</v>
      </c>
      <c r="D535" t="str">
        <f t="shared" si="83"/>
        <v/>
      </c>
      <c r="E535">
        <f t="shared" si="84"/>
        <v>39235.489004629628</v>
      </c>
      <c r="F535" s="4">
        <f t="shared" si="85"/>
        <v>0.20000000000000284</v>
      </c>
      <c r="G535" s="4">
        <f t="shared" si="86"/>
        <v>0.10000000000000142</v>
      </c>
      <c r="H535" s="5">
        <f t="shared" si="87"/>
        <v>0.19999998388812229</v>
      </c>
      <c r="I535" s="14">
        <f t="shared" si="88"/>
        <v>34.806722803323858</v>
      </c>
      <c r="J535" s="19">
        <f t="shared" si="89"/>
        <v>1000345.2937993162</v>
      </c>
      <c r="K535" s="16">
        <f t="shared" si="90"/>
        <v>0.99635985438178898</v>
      </c>
    </row>
    <row r="536" spans="1:11" x14ac:dyDescent="0.15">
      <c r="A536" s="7">
        <v>39235.489027777781</v>
      </c>
      <c r="B536">
        <v>39.9</v>
      </c>
      <c r="C536" s="6">
        <f t="shared" si="82"/>
        <v>1032.0000004721805</v>
      </c>
      <c r="D536" t="str">
        <f t="shared" si="83"/>
        <v/>
      </c>
      <c r="E536" t="str">
        <f t="shared" si="84"/>
        <v xml:space="preserve"> </v>
      </c>
      <c r="F536" s="4">
        <f t="shared" si="85"/>
        <v>0</v>
      </c>
      <c r="G536" s="4">
        <f t="shared" si="86"/>
        <v>0</v>
      </c>
      <c r="H536" s="5">
        <f t="shared" si="87"/>
        <v>0.10000002337619804</v>
      </c>
      <c r="I536" s="14">
        <f t="shared" si="88"/>
        <v>17.403366871910748</v>
      </c>
      <c r="J536" s="19">
        <f t="shared" si="89"/>
        <v>1000362.697166188</v>
      </c>
      <c r="K536" s="16">
        <f t="shared" si="90"/>
        <v>0.99637718841253786</v>
      </c>
    </row>
    <row r="537" spans="1:11" x14ac:dyDescent="0.15">
      <c r="A537" s="7">
        <v>39235.489050925928</v>
      </c>
      <c r="B537">
        <v>39.9</v>
      </c>
      <c r="C537" s="6">
        <f t="shared" si="82"/>
        <v>1034.0000003110617</v>
      </c>
      <c r="D537" t="str">
        <f t="shared" si="83"/>
        <v/>
      </c>
      <c r="E537" t="str">
        <f t="shared" si="84"/>
        <v xml:space="preserve"> </v>
      </c>
      <c r="F537" s="4">
        <f t="shared" si="85"/>
        <v>0</v>
      </c>
      <c r="G537" s="4">
        <f t="shared" si="86"/>
        <v>0</v>
      </c>
      <c r="H537" s="5">
        <f t="shared" si="87"/>
        <v>0</v>
      </c>
      <c r="I537" s="14">
        <f t="shared" si="88"/>
        <v>0</v>
      </c>
      <c r="J537" s="19">
        <f t="shared" si="89"/>
        <v>1000362.697166188</v>
      </c>
      <c r="K537" s="16">
        <f t="shared" si="90"/>
        <v>0.99637718841253786</v>
      </c>
    </row>
    <row r="538" spans="1:11" x14ac:dyDescent="0.15">
      <c r="A538" s="7">
        <v>39235.489074074074</v>
      </c>
      <c r="B538">
        <v>40.1</v>
      </c>
      <c r="C538" s="6">
        <f t="shared" si="82"/>
        <v>1036.0000001499429</v>
      </c>
      <c r="D538" t="str">
        <f t="shared" si="83"/>
        <v/>
      </c>
      <c r="E538">
        <f t="shared" si="84"/>
        <v>39235.489074074074</v>
      </c>
      <c r="F538" s="4">
        <f t="shared" si="85"/>
        <v>0.20000000000000284</v>
      </c>
      <c r="G538" s="4">
        <f t="shared" si="86"/>
        <v>0.10000000000000142</v>
      </c>
      <c r="H538" s="5">
        <f t="shared" si="87"/>
        <v>9.9999991944061145E-2</v>
      </c>
      <c r="I538" s="14">
        <f t="shared" si="88"/>
        <v>17.403361401661929</v>
      </c>
      <c r="J538" s="19">
        <f t="shared" si="89"/>
        <v>1000380.1005275897</v>
      </c>
      <c r="K538" s="16">
        <f t="shared" si="90"/>
        <v>0.99639452243783833</v>
      </c>
    </row>
    <row r="539" spans="1:11" x14ac:dyDescent="0.15">
      <c r="A539" s="7">
        <v>39235.48909722222</v>
      </c>
      <c r="B539">
        <v>40.1</v>
      </c>
      <c r="C539" s="6">
        <f t="shared" si="82"/>
        <v>1037.9999999888241</v>
      </c>
      <c r="D539" t="str">
        <f t="shared" si="83"/>
        <v/>
      </c>
      <c r="E539">
        <f t="shared" si="84"/>
        <v>39235.48909722222</v>
      </c>
      <c r="F539" s="4">
        <f t="shared" si="85"/>
        <v>0.20000000000000284</v>
      </c>
      <c r="G539" s="4">
        <f t="shared" si="86"/>
        <v>0.10000000000000142</v>
      </c>
      <c r="H539" s="5">
        <f t="shared" si="87"/>
        <v>0.19999998388812229</v>
      </c>
      <c r="I539" s="14">
        <f t="shared" si="88"/>
        <v>34.806722803323858</v>
      </c>
      <c r="J539" s="19">
        <f t="shared" si="89"/>
        <v>1000414.9072503929</v>
      </c>
      <c r="K539" s="16">
        <f t="shared" si="90"/>
        <v>0.99642919048843914</v>
      </c>
    </row>
    <row r="540" spans="1:11" x14ac:dyDescent="0.15">
      <c r="A540" s="7">
        <v>39235.489120370374</v>
      </c>
      <c r="B540">
        <v>39.9</v>
      </c>
      <c r="C540" s="6">
        <f t="shared" si="82"/>
        <v>1040.0000004563481</v>
      </c>
      <c r="D540" t="str">
        <f t="shared" si="83"/>
        <v/>
      </c>
      <c r="E540" t="str">
        <f t="shared" si="84"/>
        <v xml:space="preserve"> </v>
      </c>
      <c r="F540" s="4">
        <f t="shared" si="85"/>
        <v>0</v>
      </c>
      <c r="G540" s="4">
        <f t="shared" si="86"/>
        <v>0</v>
      </c>
      <c r="H540" s="5">
        <f t="shared" si="87"/>
        <v>0.10000002337619804</v>
      </c>
      <c r="I540" s="14">
        <f t="shared" si="88"/>
        <v>17.403366871910748</v>
      </c>
      <c r="J540" s="19">
        <f t="shared" si="89"/>
        <v>1000432.3106172648</v>
      </c>
      <c r="K540" s="16">
        <f t="shared" si="90"/>
        <v>0.99644652451918803</v>
      </c>
    </row>
    <row r="541" spans="1:11" x14ac:dyDescent="0.15">
      <c r="A541" s="7">
        <v>39235.48914351852</v>
      </c>
      <c r="B541">
        <v>40.1</v>
      </c>
      <c r="C541" s="6">
        <f t="shared" si="82"/>
        <v>1042.0000002952293</v>
      </c>
      <c r="D541" t="str">
        <f t="shared" si="83"/>
        <v/>
      </c>
      <c r="E541">
        <f t="shared" si="84"/>
        <v>39235.48914351852</v>
      </c>
      <c r="F541" s="4">
        <f t="shared" si="85"/>
        <v>0.20000000000000284</v>
      </c>
      <c r="G541" s="4">
        <f t="shared" si="86"/>
        <v>0.10000000000000142</v>
      </c>
      <c r="H541" s="5">
        <f t="shared" si="87"/>
        <v>9.9999991944061145E-2</v>
      </c>
      <c r="I541" s="14">
        <f t="shared" si="88"/>
        <v>17.403361401661929</v>
      </c>
      <c r="J541" s="19">
        <f t="shared" si="89"/>
        <v>1000449.7139786665</v>
      </c>
      <c r="K541" s="16">
        <f t="shared" si="90"/>
        <v>0.99646385854448849</v>
      </c>
    </row>
    <row r="542" spans="1:11" x14ac:dyDescent="0.15">
      <c r="A542" s="7">
        <v>39235.489166666666</v>
      </c>
      <c r="B542">
        <v>40.1</v>
      </c>
      <c r="C542" s="6">
        <f t="shared" si="82"/>
        <v>1044.0000001341105</v>
      </c>
      <c r="D542" t="str">
        <f t="shared" si="83"/>
        <v/>
      </c>
      <c r="E542">
        <f t="shared" si="84"/>
        <v>39235.489166666666</v>
      </c>
      <c r="F542" s="4">
        <f t="shared" si="85"/>
        <v>0.20000000000000284</v>
      </c>
      <c r="G542" s="4">
        <f t="shared" si="86"/>
        <v>0.10000000000000142</v>
      </c>
      <c r="H542" s="5">
        <f t="shared" si="87"/>
        <v>0.19999998388812229</v>
      </c>
      <c r="I542" s="14">
        <f t="shared" si="88"/>
        <v>34.806722803323858</v>
      </c>
      <c r="J542" s="19">
        <f t="shared" si="89"/>
        <v>1000484.5207014697</v>
      </c>
      <c r="K542" s="16">
        <f t="shared" si="90"/>
        <v>0.99649852659508942</v>
      </c>
    </row>
    <row r="543" spans="1:11" x14ac:dyDescent="0.15">
      <c r="A543" s="7">
        <v>39235.489189814813</v>
      </c>
      <c r="B543">
        <v>40.1</v>
      </c>
      <c r="C543" s="6">
        <f t="shared" si="82"/>
        <v>1045.9999999729916</v>
      </c>
      <c r="D543" t="str">
        <f t="shared" si="83"/>
        <v/>
      </c>
      <c r="E543">
        <f t="shared" si="84"/>
        <v>39235.489189814813</v>
      </c>
      <c r="F543" s="4">
        <f t="shared" si="85"/>
        <v>0.20000000000000284</v>
      </c>
      <c r="G543" s="4">
        <f t="shared" si="86"/>
        <v>0.10000000000000142</v>
      </c>
      <c r="H543" s="5">
        <f t="shared" si="87"/>
        <v>0.19999998388812229</v>
      </c>
      <c r="I543" s="14">
        <f t="shared" si="88"/>
        <v>34.806722803323858</v>
      </c>
      <c r="J543" s="19">
        <f t="shared" si="89"/>
        <v>1000519.327424273</v>
      </c>
      <c r="K543" s="16">
        <f t="shared" si="90"/>
        <v>0.99653319464569023</v>
      </c>
    </row>
    <row r="544" spans="1:11" x14ac:dyDescent="0.15">
      <c r="A544" s="7">
        <v>39235.489212962966</v>
      </c>
      <c r="B544">
        <v>39.9</v>
      </c>
      <c r="C544" s="6">
        <f t="shared" si="82"/>
        <v>1048.0000004405156</v>
      </c>
      <c r="D544" t="str">
        <f t="shared" si="83"/>
        <v/>
      </c>
      <c r="E544" t="str">
        <f t="shared" si="84"/>
        <v xml:space="preserve"> </v>
      </c>
      <c r="F544" s="4">
        <f t="shared" si="85"/>
        <v>0</v>
      </c>
      <c r="G544" s="4">
        <f t="shared" si="86"/>
        <v>0</v>
      </c>
      <c r="H544" s="5">
        <f t="shared" si="87"/>
        <v>0.10000002337619804</v>
      </c>
      <c r="I544" s="14">
        <f t="shared" si="88"/>
        <v>17.403366871910748</v>
      </c>
      <c r="J544" s="19">
        <f t="shared" si="89"/>
        <v>1000536.7307911449</v>
      </c>
      <c r="K544" s="16">
        <f t="shared" si="90"/>
        <v>0.99655052867643912</v>
      </c>
    </row>
    <row r="545" spans="1:11" x14ac:dyDescent="0.15">
      <c r="A545" s="7">
        <v>39235.489236111112</v>
      </c>
      <c r="B545">
        <v>40.1</v>
      </c>
      <c r="C545" s="6">
        <f t="shared" si="82"/>
        <v>1050.0000002793968</v>
      </c>
      <c r="D545" t="str">
        <f t="shared" si="83"/>
        <v/>
      </c>
      <c r="E545">
        <f t="shared" si="84"/>
        <v>39235.489236111112</v>
      </c>
      <c r="F545" s="4">
        <f t="shared" si="85"/>
        <v>0.20000000000000284</v>
      </c>
      <c r="G545" s="4">
        <f t="shared" si="86"/>
        <v>0.10000000000000142</v>
      </c>
      <c r="H545" s="5">
        <f t="shared" si="87"/>
        <v>9.9999991944061145E-2</v>
      </c>
      <c r="I545" s="14">
        <f t="shared" si="88"/>
        <v>17.403361401661929</v>
      </c>
      <c r="J545" s="19">
        <f t="shared" si="89"/>
        <v>1000554.1341525465</v>
      </c>
      <c r="K545" s="16">
        <f t="shared" si="90"/>
        <v>0.99656786270173958</v>
      </c>
    </row>
    <row r="546" spans="1:11" x14ac:dyDescent="0.15">
      <c r="A546" s="7">
        <v>39235.489259259259</v>
      </c>
      <c r="B546">
        <v>40.1</v>
      </c>
      <c r="C546" s="6">
        <f t="shared" si="82"/>
        <v>1052.000000118278</v>
      </c>
      <c r="D546" t="str">
        <f t="shared" si="83"/>
        <v/>
      </c>
      <c r="E546">
        <f t="shared" si="84"/>
        <v>39235.489259259259</v>
      </c>
      <c r="F546" s="4">
        <f t="shared" si="85"/>
        <v>0.20000000000000284</v>
      </c>
      <c r="G546" s="4">
        <f t="shared" si="86"/>
        <v>0.10000000000000142</v>
      </c>
      <c r="H546" s="5">
        <f t="shared" si="87"/>
        <v>0.19999998388812229</v>
      </c>
      <c r="I546" s="14">
        <f t="shared" si="88"/>
        <v>34.806722803323858</v>
      </c>
      <c r="J546" s="19">
        <f t="shared" si="89"/>
        <v>1000588.9408753498</v>
      </c>
      <c r="K546" s="16">
        <f t="shared" si="90"/>
        <v>0.9966025307523404</v>
      </c>
    </row>
    <row r="547" spans="1:11" x14ac:dyDescent="0.15">
      <c r="A547" s="7">
        <v>39235.489282407405</v>
      </c>
      <c r="B547">
        <v>40.1</v>
      </c>
      <c r="C547" s="6">
        <f t="shared" si="82"/>
        <v>1053.9999999571592</v>
      </c>
      <c r="D547" t="str">
        <f t="shared" si="83"/>
        <v/>
      </c>
      <c r="E547">
        <f t="shared" si="84"/>
        <v>39235.489282407405</v>
      </c>
      <c r="F547" s="4">
        <f t="shared" si="85"/>
        <v>0.20000000000000284</v>
      </c>
      <c r="G547" s="4">
        <f t="shared" si="86"/>
        <v>0.10000000000000142</v>
      </c>
      <c r="H547" s="5">
        <f t="shared" si="87"/>
        <v>0.19999998388812229</v>
      </c>
      <c r="I547" s="14">
        <f t="shared" si="88"/>
        <v>34.806722803323858</v>
      </c>
      <c r="J547" s="19">
        <f t="shared" si="89"/>
        <v>1000623.7475981531</v>
      </c>
      <c r="K547" s="16">
        <f t="shared" si="90"/>
        <v>0.99663719880294133</v>
      </c>
    </row>
    <row r="548" spans="1:11" x14ac:dyDescent="0.15">
      <c r="A548" s="7">
        <v>39235.489305555559</v>
      </c>
      <c r="B548">
        <v>39.9</v>
      </c>
      <c r="C548" s="6">
        <f t="shared" si="82"/>
        <v>1056.0000004246831</v>
      </c>
      <c r="D548" t="str">
        <f t="shared" si="83"/>
        <v/>
      </c>
      <c r="E548" t="str">
        <f t="shared" si="84"/>
        <v xml:space="preserve"> </v>
      </c>
      <c r="F548" s="4">
        <f t="shared" si="85"/>
        <v>0</v>
      </c>
      <c r="G548" s="4">
        <f t="shared" si="86"/>
        <v>0</v>
      </c>
      <c r="H548" s="5">
        <f t="shared" si="87"/>
        <v>0.10000002337619804</v>
      </c>
      <c r="I548" s="14">
        <f t="shared" si="88"/>
        <v>17.403366871910748</v>
      </c>
      <c r="J548" s="19">
        <f t="shared" si="89"/>
        <v>1000641.1509650249</v>
      </c>
      <c r="K548" s="16">
        <f t="shared" si="90"/>
        <v>0.99665453283369021</v>
      </c>
    </row>
    <row r="549" spans="1:11" x14ac:dyDescent="0.15">
      <c r="A549" s="7">
        <v>39235.489328703705</v>
      </c>
      <c r="B549">
        <v>39.9</v>
      </c>
      <c r="C549" s="6">
        <f t="shared" si="82"/>
        <v>1058.0000002635643</v>
      </c>
      <c r="D549" t="str">
        <f t="shared" si="83"/>
        <v/>
      </c>
      <c r="E549" t="str">
        <f t="shared" si="84"/>
        <v xml:space="preserve"> </v>
      </c>
      <c r="F549" s="4">
        <f t="shared" si="85"/>
        <v>0</v>
      </c>
      <c r="G549" s="4">
        <f t="shared" si="86"/>
        <v>0</v>
      </c>
      <c r="H549" s="5">
        <f t="shared" si="87"/>
        <v>0</v>
      </c>
      <c r="I549" s="14">
        <f t="shared" si="88"/>
        <v>0</v>
      </c>
      <c r="J549" s="19">
        <f t="shared" si="89"/>
        <v>1000641.1509650249</v>
      </c>
      <c r="K549" s="16">
        <f t="shared" si="90"/>
        <v>0.99665453283369021</v>
      </c>
    </row>
    <row r="550" spans="1:11" x14ac:dyDescent="0.15">
      <c r="A550" s="7">
        <v>39235.489351851851</v>
      </c>
      <c r="B550">
        <v>40.1</v>
      </c>
      <c r="C550" s="6">
        <f t="shared" si="82"/>
        <v>1060.0000001024455</v>
      </c>
      <c r="D550" t="str">
        <f t="shared" si="83"/>
        <v/>
      </c>
      <c r="E550">
        <f t="shared" si="84"/>
        <v>39235.489351851851</v>
      </c>
      <c r="F550" s="4">
        <f t="shared" si="85"/>
        <v>0.20000000000000284</v>
      </c>
      <c r="G550" s="4">
        <f t="shared" si="86"/>
        <v>0.10000000000000142</v>
      </c>
      <c r="H550" s="5">
        <f t="shared" si="87"/>
        <v>9.9999991944061145E-2</v>
      </c>
      <c r="I550" s="14">
        <f t="shared" si="88"/>
        <v>17.403361401661929</v>
      </c>
      <c r="J550" s="19">
        <f t="shared" si="89"/>
        <v>1000658.5543264266</v>
      </c>
      <c r="K550" s="16">
        <f t="shared" si="90"/>
        <v>0.99667186685899067</v>
      </c>
    </row>
    <row r="551" spans="1:11" x14ac:dyDescent="0.15">
      <c r="A551" s="7">
        <v>39235.489374999997</v>
      </c>
      <c r="B551">
        <v>40.1</v>
      </c>
      <c r="C551" s="6">
        <f t="shared" si="82"/>
        <v>1061.9999999413267</v>
      </c>
      <c r="D551" t="str">
        <f t="shared" si="83"/>
        <v/>
      </c>
      <c r="E551">
        <f t="shared" si="84"/>
        <v>39235.489374999997</v>
      </c>
      <c r="F551" s="4">
        <f t="shared" si="85"/>
        <v>0.20000000000000284</v>
      </c>
      <c r="G551" s="4">
        <f t="shared" si="86"/>
        <v>0.10000000000000142</v>
      </c>
      <c r="H551" s="5">
        <f t="shared" si="87"/>
        <v>0.19999998388812229</v>
      </c>
      <c r="I551" s="14">
        <f t="shared" si="88"/>
        <v>34.806722803323858</v>
      </c>
      <c r="J551" s="19">
        <f t="shared" si="89"/>
        <v>1000693.3610492299</v>
      </c>
      <c r="K551" s="16">
        <f t="shared" si="90"/>
        <v>0.99670653490959149</v>
      </c>
    </row>
    <row r="552" spans="1:11" x14ac:dyDescent="0.15">
      <c r="A552" s="7">
        <v>39235.489398148151</v>
      </c>
      <c r="B552">
        <v>40.1</v>
      </c>
      <c r="C552" s="6">
        <f t="shared" si="82"/>
        <v>1064.0000004088506</v>
      </c>
      <c r="D552" t="str">
        <f t="shared" si="83"/>
        <v/>
      </c>
      <c r="E552">
        <f t="shared" si="84"/>
        <v>39235.489398148151</v>
      </c>
      <c r="F552" s="4">
        <f t="shared" si="85"/>
        <v>0.20000000000000284</v>
      </c>
      <c r="G552" s="4">
        <f t="shared" si="86"/>
        <v>0.10000000000000142</v>
      </c>
      <c r="H552" s="5">
        <f t="shared" si="87"/>
        <v>0.20000004675239608</v>
      </c>
      <c r="I552" s="14">
        <f t="shared" si="88"/>
        <v>34.806733743821496</v>
      </c>
      <c r="J552" s="19">
        <f t="shared" si="89"/>
        <v>1000728.1677829737</v>
      </c>
      <c r="K552" s="16">
        <f t="shared" si="90"/>
        <v>0.99674120297108937</v>
      </c>
    </row>
    <row r="553" spans="1:11" x14ac:dyDescent="0.15">
      <c r="A553" s="7">
        <v>39235.489421296297</v>
      </c>
      <c r="B553">
        <v>39.9</v>
      </c>
      <c r="C553" s="6">
        <f t="shared" si="82"/>
        <v>1066.0000002477318</v>
      </c>
      <c r="D553" t="str">
        <f t="shared" si="83"/>
        <v/>
      </c>
      <c r="E553" t="str">
        <f t="shared" si="84"/>
        <v xml:space="preserve"> </v>
      </c>
      <c r="F553" s="4">
        <f t="shared" si="85"/>
        <v>0</v>
      </c>
      <c r="G553" s="4">
        <f t="shared" si="86"/>
        <v>0</v>
      </c>
      <c r="H553" s="5">
        <f t="shared" si="87"/>
        <v>9.9999991944061145E-2</v>
      </c>
      <c r="I553" s="14">
        <f t="shared" si="88"/>
        <v>17.403361401661929</v>
      </c>
      <c r="J553" s="19">
        <f t="shared" si="89"/>
        <v>1000745.5711443754</v>
      </c>
      <c r="K553" s="16">
        <f t="shared" si="90"/>
        <v>0.99675853699638983</v>
      </c>
    </row>
    <row r="554" spans="1:11" x14ac:dyDescent="0.15">
      <c r="A554" s="7">
        <v>39235.489444444444</v>
      </c>
      <c r="B554">
        <v>39.9</v>
      </c>
      <c r="C554" s="6">
        <f t="shared" si="82"/>
        <v>1068.000000086613</v>
      </c>
      <c r="D554" t="str">
        <f t="shared" si="83"/>
        <v/>
      </c>
      <c r="E554" t="str">
        <f t="shared" si="84"/>
        <v xml:space="preserve"> </v>
      </c>
      <c r="F554" s="4">
        <f t="shared" si="85"/>
        <v>0</v>
      </c>
      <c r="G554" s="4">
        <f t="shared" si="86"/>
        <v>0</v>
      </c>
      <c r="H554" s="5">
        <f t="shared" si="87"/>
        <v>0</v>
      </c>
      <c r="I554" s="14">
        <f t="shared" si="88"/>
        <v>0</v>
      </c>
      <c r="J554" s="19">
        <f t="shared" si="89"/>
        <v>1000745.5711443754</v>
      </c>
      <c r="K554" s="16">
        <f t="shared" si="90"/>
        <v>0.99675853699638983</v>
      </c>
    </row>
    <row r="555" spans="1:11" x14ac:dyDescent="0.15">
      <c r="A555" s="7">
        <v>39235.48946759259</v>
      </c>
      <c r="B555">
        <v>40.1</v>
      </c>
      <c r="C555" s="6">
        <f t="shared" si="82"/>
        <v>1069.9999999254942</v>
      </c>
      <c r="D555" t="str">
        <f t="shared" si="83"/>
        <v/>
      </c>
      <c r="E555">
        <f t="shared" si="84"/>
        <v>39235.48946759259</v>
      </c>
      <c r="F555" s="4">
        <f t="shared" si="85"/>
        <v>0.20000000000000284</v>
      </c>
      <c r="G555" s="4">
        <f t="shared" si="86"/>
        <v>0.10000000000000142</v>
      </c>
      <c r="H555" s="5">
        <f t="shared" si="87"/>
        <v>9.9999991944061145E-2</v>
      </c>
      <c r="I555" s="14">
        <f t="shared" si="88"/>
        <v>17.403361401661929</v>
      </c>
      <c r="J555" s="19">
        <f t="shared" si="89"/>
        <v>1000762.974505777</v>
      </c>
      <c r="K555" s="16">
        <f t="shared" si="90"/>
        <v>0.9967758710216903</v>
      </c>
    </row>
    <row r="556" spans="1:11" x14ac:dyDescent="0.15">
      <c r="A556" s="7">
        <v>39235.489490740743</v>
      </c>
      <c r="B556">
        <v>39.9</v>
      </c>
      <c r="C556" s="6">
        <f t="shared" si="82"/>
        <v>1072.0000003930181</v>
      </c>
      <c r="D556" t="str">
        <f t="shared" si="83"/>
        <v/>
      </c>
      <c r="E556" t="str">
        <f t="shared" si="84"/>
        <v xml:space="preserve"> </v>
      </c>
      <c r="F556" s="4">
        <f t="shared" si="85"/>
        <v>0</v>
      </c>
      <c r="G556" s="4">
        <f t="shared" si="86"/>
        <v>0</v>
      </c>
      <c r="H556" s="5">
        <f t="shared" si="87"/>
        <v>0.10000002337619804</v>
      </c>
      <c r="I556" s="14">
        <f t="shared" si="88"/>
        <v>17.403366871910748</v>
      </c>
      <c r="J556" s="19">
        <f t="shared" si="89"/>
        <v>1000780.3778726489</v>
      </c>
      <c r="K556" s="16">
        <f t="shared" si="90"/>
        <v>0.99679320505243918</v>
      </c>
    </row>
    <row r="557" spans="1:11" x14ac:dyDescent="0.15">
      <c r="A557" s="7">
        <v>39235.48951388889</v>
      </c>
      <c r="B557">
        <v>40.1</v>
      </c>
      <c r="C557" s="6">
        <f t="shared" si="82"/>
        <v>1074.0000002318993</v>
      </c>
      <c r="D557" t="str">
        <f t="shared" si="83"/>
        <v/>
      </c>
      <c r="E557">
        <f t="shared" si="84"/>
        <v>39235.48951388889</v>
      </c>
      <c r="F557" s="4">
        <f t="shared" si="85"/>
        <v>0.20000000000000284</v>
      </c>
      <c r="G557" s="4">
        <f t="shared" si="86"/>
        <v>0.10000000000000142</v>
      </c>
      <c r="H557" s="5">
        <f t="shared" si="87"/>
        <v>9.9999991944061145E-2</v>
      </c>
      <c r="I557" s="14">
        <f t="shared" si="88"/>
        <v>17.403361401661929</v>
      </c>
      <c r="J557" s="19">
        <f t="shared" si="89"/>
        <v>1000797.7812340505</v>
      </c>
      <c r="K557" s="16">
        <f t="shared" si="90"/>
        <v>0.99681053907773953</v>
      </c>
    </row>
    <row r="558" spans="1:11" x14ac:dyDescent="0.15">
      <c r="A558" s="7">
        <v>39235.489537037036</v>
      </c>
      <c r="B558">
        <v>39.9</v>
      </c>
      <c r="C558" s="6">
        <f t="shared" si="82"/>
        <v>1076.0000000707805</v>
      </c>
      <c r="D558" t="str">
        <f t="shared" si="83"/>
        <v/>
      </c>
      <c r="E558" t="str">
        <f t="shared" si="84"/>
        <v xml:space="preserve"> </v>
      </c>
      <c r="F558" s="4">
        <f t="shared" si="85"/>
        <v>0</v>
      </c>
      <c r="G558" s="4">
        <f t="shared" si="86"/>
        <v>0</v>
      </c>
      <c r="H558" s="5">
        <f t="shared" si="87"/>
        <v>9.9999991944061145E-2</v>
      </c>
      <c r="I558" s="14">
        <f t="shared" si="88"/>
        <v>17.403361401661929</v>
      </c>
      <c r="J558" s="19">
        <f t="shared" si="89"/>
        <v>1000815.1845954522</v>
      </c>
      <c r="K558" s="16">
        <f t="shared" si="90"/>
        <v>0.99682787310304</v>
      </c>
    </row>
    <row r="559" spans="1:11" x14ac:dyDescent="0.15">
      <c r="A559" s="7">
        <v>39235.489560185182</v>
      </c>
      <c r="B559">
        <v>40.1</v>
      </c>
      <c r="C559" s="6">
        <f t="shared" si="82"/>
        <v>1077.9999999096617</v>
      </c>
      <c r="D559" t="str">
        <f t="shared" si="83"/>
        <v/>
      </c>
      <c r="E559">
        <f t="shared" si="84"/>
        <v>39235.489560185182</v>
      </c>
      <c r="F559" s="4">
        <f t="shared" si="85"/>
        <v>0.20000000000000284</v>
      </c>
      <c r="G559" s="4">
        <f t="shared" si="86"/>
        <v>0.10000000000000142</v>
      </c>
      <c r="H559" s="5">
        <f t="shared" si="87"/>
        <v>9.9999991944061145E-2</v>
      </c>
      <c r="I559" s="14">
        <f t="shared" si="88"/>
        <v>17.403361401661929</v>
      </c>
      <c r="J559" s="19">
        <f t="shared" si="89"/>
        <v>1000832.5879568538</v>
      </c>
      <c r="K559" s="16">
        <f t="shared" si="90"/>
        <v>0.99684520712834046</v>
      </c>
    </row>
    <row r="560" spans="1:11" x14ac:dyDescent="0.15">
      <c r="A560" s="7">
        <v>39235.489583333336</v>
      </c>
      <c r="B560">
        <v>40.1</v>
      </c>
      <c r="C560" s="6">
        <f t="shared" si="82"/>
        <v>1080.0000003771856</v>
      </c>
      <c r="D560" t="str">
        <f t="shared" si="83"/>
        <v/>
      </c>
      <c r="E560">
        <f t="shared" si="84"/>
        <v>39235.489583333336</v>
      </c>
      <c r="F560" s="4">
        <f t="shared" si="85"/>
        <v>0.20000000000000284</v>
      </c>
      <c r="G560" s="4">
        <f t="shared" si="86"/>
        <v>0.10000000000000142</v>
      </c>
      <c r="H560" s="5">
        <f t="shared" si="87"/>
        <v>0.20000004675239608</v>
      </c>
      <c r="I560" s="14">
        <f t="shared" si="88"/>
        <v>34.806733743821496</v>
      </c>
      <c r="J560" s="19">
        <f t="shared" si="89"/>
        <v>1000867.3946905977</v>
      </c>
      <c r="K560" s="16">
        <f t="shared" si="90"/>
        <v>0.99687987518983834</v>
      </c>
    </row>
    <row r="561" spans="1:11" x14ac:dyDescent="0.15">
      <c r="A561" s="7">
        <v>39235.489606481482</v>
      </c>
      <c r="B561">
        <v>40.1</v>
      </c>
      <c r="C561" s="6">
        <f t="shared" si="82"/>
        <v>1082.0000002160668</v>
      </c>
      <c r="D561" t="str">
        <f t="shared" si="83"/>
        <v/>
      </c>
      <c r="E561">
        <f t="shared" si="84"/>
        <v>39235.489606481482</v>
      </c>
      <c r="F561" s="4">
        <f t="shared" si="85"/>
        <v>0.20000000000000284</v>
      </c>
      <c r="G561" s="4">
        <f t="shared" si="86"/>
        <v>0.10000000000000142</v>
      </c>
      <c r="H561" s="5">
        <f t="shared" si="87"/>
        <v>0.19999998388812229</v>
      </c>
      <c r="I561" s="14">
        <f t="shared" si="88"/>
        <v>34.806722803323858</v>
      </c>
      <c r="J561" s="19">
        <f t="shared" si="89"/>
        <v>1000902.2014134009</v>
      </c>
      <c r="K561" s="16">
        <f t="shared" si="90"/>
        <v>0.99691454324043915</v>
      </c>
    </row>
    <row r="562" spans="1:11" x14ac:dyDescent="0.15">
      <c r="A562" s="7">
        <v>39235.489629629628</v>
      </c>
      <c r="B562">
        <v>40.1</v>
      </c>
      <c r="C562" s="6">
        <f t="shared" si="82"/>
        <v>1084.000000054948</v>
      </c>
      <c r="D562" t="str">
        <f t="shared" si="83"/>
        <v/>
      </c>
      <c r="E562">
        <f t="shared" si="84"/>
        <v>39235.489629629628</v>
      </c>
      <c r="F562" s="4">
        <f t="shared" si="85"/>
        <v>0.20000000000000284</v>
      </c>
      <c r="G562" s="4">
        <f t="shared" si="86"/>
        <v>0.10000000000000142</v>
      </c>
      <c r="H562" s="5">
        <f t="shared" si="87"/>
        <v>0.19999998388812229</v>
      </c>
      <c r="I562" s="14">
        <f t="shared" si="88"/>
        <v>34.806722803323858</v>
      </c>
      <c r="J562" s="19">
        <f t="shared" si="89"/>
        <v>1000937.0081362042</v>
      </c>
      <c r="K562" s="16">
        <f t="shared" si="90"/>
        <v>0.99694921129104008</v>
      </c>
    </row>
    <row r="563" spans="1:11" x14ac:dyDescent="0.15">
      <c r="A563" s="7">
        <v>39235.489652777775</v>
      </c>
      <c r="B563">
        <v>39.9</v>
      </c>
      <c r="C563" s="6">
        <f t="shared" si="82"/>
        <v>1085.9999998938292</v>
      </c>
      <c r="D563" t="str">
        <f t="shared" si="83"/>
        <v/>
      </c>
      <c r="E563" t="str">
        <f t="shared" si="84"/>
        <v xml:space="preserve"> </v>
      </c>
      <c r="F563" s="4">
        <f t="shared" si="85"/>
        <v>0</v>
      </c>
      <c r="G563" s="4">
        <f t="shared" si="86"/>
        <v>0</v>
      </c>
      <c r="H563" s="5">
        <f t="shared" si="87"/>
        <v>9.9999991944061145E-2</v>
      </c>
      <c r="I563" s="14">
        <f t="shared" si="88"/>
        <v>17.403361401661929</v>
      </c>
      <c r="J563" s="19">
        <f t="shared" si="89"/>
        <v>1000954.4114976058</v>
      </c>
      <c r="K563" s="16">
        <f t="shared" si="90"/>
        <v>0.99696654531634044</v>
      </c>
    </row>
    <row r="564" spans="1:11" x14ac:dyDescent="0.15">
      <c r="A564" s="7">
        <v>39235.489675925928</v>
      </c>
      <c r="B564">
        <v>39.9</v>
      </c>
      <c r="C564" s="6">
        <f t="shared" si="82"/>
        <v>1088.0000003613532</v>
      </c>
      <c r="D564" t="str">
        <f t="shared" si="83"/>
        <v/>
      </c>
      <c r="E564" t="str">
        <f t="shared" si="84"/>
        <v xml:space="preserve"> </v>
      </c>
      <c r="F564" s="4">
        <f t="shared" si="85"/>
        <v>0</v>
      </c>
      <c r="G564" s="4">
        <f t="shared" si="86"/>
        <v>0</v>
      </c>
      <c r="H564" s="5">
        <f t="shared" si="87"/>
        <v>0</v>
      </c>
      <c r="I564" s="14">
        <f t="shared" si="88"/>
        <v>0</v>
      </c>
      <c r="J564" s="19">
        <f t="shared" si="89"/>
        <v>1000954.4114976058</v>
      </c>
      <c r="K564" s="16">
        <f t="shared" si="90"/>
        <v>0.99696654531634044</v>
      </c>
    </row>
    <row r="565" spans="1:11" x14ac:dyDescent="0.15">
      <c r="A565" s="7">
        <v>39235.489699074074</v>
      </c>
      <c r="B565">
        <v>39.9</v>
      </c>
      <c r="C565" s="6">
        <f t="shared" si="82"/>
        <v>1090.0000002002344</v>
      </c>
      <c r="D565" t="str">
        <f t="shared" si="83"/>
        <v/>
      </c>
      <c r="E565" t="str">
        <f t="shared" si="84"/>
        <v xml:space="preserve"> </v>
      </c>
      <c r="F565" s="4">
        <f t="shared" si="85"/>
        <v>0</v>
      </c>
      <c r="G565" s="4">
        <f t="shared" si="86"/>
        <v>0</v>
      </c>
      <c r="H565" s="5">
        <f t="shared" si="87"/>
        <v>0</v>
      </c>
      <c r="I565" s="14">
        <f t="shared" si="88"/>
        <v>0</v>
      </c>
      <c r="J565" s="19">
        <f t="shared" si="89"/>
        <v>1000954.4114976058</v>
      </c>
      <c r="K565" s="16">
        <f t="shared" si="90"/>
        <v>0.99696654531634044</v>
      </c>
    </row>
    <row r="566" spans="1:11" x14ac:dyDescent="0.15">
      <c r="A566" s="7">
        <v>39235.489722222221</v>
      </c>
      <c r="B566">
        <v>40.1</v>
      </c>
      <c r="C566" s="6">
        <f t="shared" si="82"/>
        <v>1092.0000000391155</v>
      </c>
      <c r="D566" t="str">
        <f t="shared" si="83"/>
        <v/>
      </c>
      <c r="E566">
        <f t="shared" si="84"/>
        <v>39235.489722222221</v>
      </c>
      <c r="F566" s="4">
        <f t="shared" si="85"/>
        <v>0.20000000000000284</v>
      </c>
      <c r="G566" s="4">
        <f t="shared" si="86"/>
        <v>0.10000000000000142</v>
      </c>
      <c r="H566" s="5">
        <f t="shared" si="87"/>
        <v>9.9999991944061145E-2</v>
      </c>
      <c r="I566" s="14">
        <f t="shared" si="88"/>
        <v>17.403361401661929</v>
      </c>
      <c r="J566" s="19">
        <f t="shared" si="89"/>
        <v>1000971.8148590075</v>
      </c>
      <c r="K566" s="16">
        <f t="shared" si="90"/>
        <v>0.9969838793416409</v>
      </c>
    </row>
    <row r="567" spans="1:11" x14ac:dyDescent="0.15">
      <c r="A567" s="7">
        <v>39235.489745370367</v>
      </c>
      <c r="B567">
        <v>40.1</v>
      </c>
      <c r="C567" s="6">
        <f t="shared" si="82"/>
        <v>1093.9999998779967</v>
      </c>
      <c r="D567" t="str">
        <f t="shared" si="83"/>
        <v/>
      </c>
      <c r="E567">
        <f t="shared" si="84"/>
        <v>39235.489745370367</v>
      </c>
      <c r="F567" s="4">
        <f t="shared" si="85"/>
        <v>0.20000000000000284</v>
      </c>
      <c r="G567" s="4">
        <f t="shared" si="86"/>
        <v>0.10000000000000142</v>
      </c>
      <c r="H567" s="5">
        <f t="shared" si="87"/>
        <v>0.19999998388812229</v>
      </c>
      <c r="I567" s="14">
        <f t="shared" si="88"/>
        <v>34.806722803323858</v>
      </c>
      <c r="J567" s="19">
        <f t="shared" si="89"/>
        <v>1001006.6215818108</v>
      </c>
      <c r="K567" s="16">
        <f t="shared" si="90"/>
        <v>0.99701854739224183</v>
      </c>
    </row>
    <row r="568" spans="1:11" x14ac:dyDescent="0.15">
      <c r="A568" s="7">
        <v>39235.489768518521</v>
      </c>
      <c r="B568">
        <v>39.9</v>
      </c>
      <c r="C568" s="6">
        <f t="shared" si="82"/>
        <v>1096.0000003455207</v>
      </c>
      <c r="D568" t="str">
        <f t="shared" si="83"/>
        <v/>
      </c>
      <c r="E568" t="str">
        <f t="shared" si="84"/>
        <v xml:space="preserve"> </v>
      </c>
      <c r="F568" s="4">
        <f t="shared" si="85"/>
        <v>0</v>
      </c>
      <c r="G568" s="4">
        <f t="shared" si="86"/>
        <v>0</v>
      </c>
      <c r="H568" s="5">
        <f t="shared" si="87"/>
        <v>0.10000002337619804</v>
      </c>
      <c r="I568" s="14">
        <f t="shared" si="88"/>
        <v>17.403366871910748</v>
      </c>
      <c r="J568" s="19">
        <f t="shared" si="89"/>
        <v>1001024.0249486826</v>
      </c>
      <c r="K568" s="16">
        <f t="shared" si="90"/>
        <v>0.99703588142299071</v>
      </c>
    </row>
    <row r="569" spans="1:11" x14ac:dyDescent="0.15">
      <c r="A569" s="7">
        <v>39235.489791666667</v>
      </c>
      <c r="B569">
        <v>39.9</v>
      </c>
      <c r="C569" s="6">
        <f t="shared" si="82"/>
        <v>1098.0000001844019</v>
      </c>
      <c r="D569" t="str">
        <f t="shared" si="83"/>
        <v/>
      </c>
      <c r="E569" t="str">
        <f t="shared" si="84"/>
        <v xml:space="preserve"> </v>
      </c>
      <c r="F569" s="4">
        <f t="shared" si="85"/>
        <v>0</v>
      </c>
      <c r="G569" s="4">
        <f t="shared" si="86"/>
        <v>0</v>
      </c>
      <c r="H569" s="5">
        <f t="shared" si="87"/>
        <v>0</v>
      </c>
      <c r="I569" s="14">
        <f t="shared" si="88"/>
        <v>0</v>
      </c>
      <c r="J569" s="19">
        <f t="shared" si="89"/>
        <v>1001024.0249486826</v>
      </c>
      <c r="K569" s="16">
        <f t="shared" si="90"/>
        <v>0.99703588142299071</v>
      </c>
    </row>
    <row r="570" spans="1:11" x14ac:dyDescent="0.15">
      <c r="A570" s="7">
        <v>39235.489814814813</v>
      </c>
      <c r="B570">
        <v>39.9</v>
      </c>
      <c r="C570" s="6">
        <f t="shared" si="82"/>
        <v>1100.0000000232831</v>
      </c>
      <c r="D570" t="str">
        <f t="shared" si="83"/>
        <v/>
      </c>
      <c r="E570" t="str">
        <f t="shared" si="84"/>
        <v xml:space="preserve"> </v>
      </c>
      <c r="F570" s="4">
        <f t="shared" si="85"/>
        <v>0</v>
      </c>
      <c r="G570" s="4">
        <f t="shared" si="86"/>
        <v>0</v>
      </c>
      <c r="H570" s="5">
        <f t="shared" si="87"/>
        <v>0</v>
      </c>
      <c r="I570" s="14">
        <f t="shared" si="88"/>
        <v>0</v>
      </c>
      <c r="J570" s="19">
        <f t="shared" si="89"/>
        <v>1001024.0249486826</v>
      </c>
      <c r="K570" s="16">
        <f t="shared" si="90"/>
        <v>0.99703588142299071</v>
      </c>
    </row>
    <row r="571" spans="1:11" x14ac:dyDescent="0.15">
      <c r="A571" s="7">
        <v>39235.489837962959</v>
      </c>
      <c r="B571">
        <v>40.1</v>
      </c>
      <c r="C571" s="6">
        <f t="shared" si="82"/>
        <v>1101.9999998621643</v>
      </c>
      <c r="D571" t="str">
        <f t="shared" si="83"/>
        <v/>
      </c>
      <c r="E571">
        <f t="shared" si="84"/>
        <v>39235.489837962959</v>
      </c>
      <c r="F571" s="4">
        <f t="shared" si="85"/>
        <v>0.20000000000000284</v>
      </c>
      <c r="G571" s="4">
        <f t="shared" si="86"/>
        <v>0.10000000000000142</v>
      </c>
      <c r="H571" s="5">
        <f t="shared" si="87"/>
        <v>9.9999991944061145E-2</v>
      </c>
      <c r="I571" s="14">
        <f t="shared" si="88"/>
        <v>17.403361401661929</v>
      </c>
      <c r="J571" s="19">
        <f t="shared" si="89"/>
        <v>1001041.4283100843</v>
      </c>
      <c r="K571" s="16">
        <f t="shared" si="90"/>
        <v>0.99705321544829106</v>
      </c>
    </row>
    <row r="572" spans="1:11" x14ac:dyDescent="0.15">
      <c r="A572" s="7">
        <v>39235.489861111113</v>
      </c>
      <c r="B572">
        <v>40.1</v>
      </c>
      <c r="C572" s="6">
        <f t="shared" si="82"/>
        <v>1104.0000003296882</v>
      </c>
      <c r="D572" t="str">
        <f t="shared" si="83"/>
        <v/>
      </c>
      <c r="E572">
        <f t="shared" si="84"/>
        <v>39235.489861111113</v>
      </c>
      <c r="F572" s="4">
        <f t="shared" si="85"/>
        <v>0.20000000000000284</v>
      </c>
      <c r="G572" s="4">
        <f t="shared" si="86"/>
        <v>0.10000000000000142</v>
      </c>
      <c r="H572" s="5">
        <f t="shared" si="87"/>
        <v>0.20000004675239608</v>
      </c>
      <c r="I572" s="14">
        <f t="shared" si="88"/>
        <v>34.806733743821496</v>
      </c>
      <c r="J572" s="19">
        <f t="shared" si="89"/>
        <v>1001076.2350438281</v>
      </c>
      <c r="K572" s="16">
        <f t="shared" si="90"/>
        <v>0.99708788350978894</v>
      </c>
    </row>
    <row r="573" spans="1:11" x14ac:dyDescent="0.15">
      <c r="A573" s="7">
        <v>39235.489884259259</v>
      </c>
      <c r="B573">
        <v>40.1</v>
      </c>
      <c r="C573" s="6">
        <f t="shared" si="82"/>
        <v>1106.0000001685694</v>
      </c>
      <c r="D573" t="str">
        <f t="shared" si="83"/>
        <v/>
      </c>
      <c r="E573">
        <f t="shared" si="84"/>
        <v>39235.489884259259</v>
      </c>
      <c r="F573" s="4">
        <f t="shared" si="85"/>
        <v>0.20000000000000284</v>
      </c>
      <c r="G573" s="4">
        <f t="shared" si="86"/>
        <v>0.10000000000000142</v>
      </c>
      <c r="H573" s="5">
        <f t="shared" si="87"/>
        <v>0.19999998388812229</v>
      </c>
      <c r="I573" s="14">
        <f t="shared" si="88"/>
        <v>34.806722803323858</v>
      </c>
      <c r="J573" s="19">
        <f t="shared" si="89"/>
        <v>1001111.0417666314</v>
      </c>
      <c r="K573" s="16">
        <f t="shared" si="90"/>
        <v>0.99712255156038987</v>
      </c>
    </row>
    <row r="574" spans="1:11" x14ac:dyDescent="0.15">
      <c r="A574" s="7">
        <v>39235.489907407406</v>
      </c>
      <c r="B574">
        <v>40.1</v>
      </c>
      <c r="C574" s="6">
        <f t="shared" si="82"/>
        <v>1108.0000000074506</v>
      </c>
      <c r="D574" t="str">
        <f t="shared" si="83"/>
        <v/>
      </c>
      <c r="E574">
        <f t="shared" si="84"/>
        <v>39235.489907407406</v>
      </c>
      <c r="F574" s="4">
        <f t="shared" si="85"/>
        <v>0.20000000000000284</v>
      </c>
      <c r="G574" s="4">
        <f t="shared" si="86"/>
        <v>0.10000000000000142</v>
      </c>
      <c r="H574" s="5">
        <f t="shared" si="87"/>
        <v>0.19999998388812229</v>
      </c>
      <c r="I574" s="14">
        <f t="shared" si="88"/>
        <v>34.806722803323858</v>
      </c>
      <c r="J574" s="19">
        <f t="shared" si="89"/>
        <v>1001145.8484894347</v>
      </c>
      <c r="K574" s="16">
        <f t="shared" si="90"/>
        <v>0.99715721961099069</v>
      </c>
    </row>
    <row r="575" spans="1:11" x14ac:dyDescent="0.15">
      <c r="A575" s="7">
        <v>39235.489930555559</v>
      </c>
      <c r="B575">
        <v>40.1</v>
      </c>
      <c r="C575" s="6">
        <f t="shared" si="82"/>
        <v>1110.0000004749745</v>
      </c>
      <c r="D575" t="str">
        <f t="shared" si="83"/>
        <v/>
      </c>
      <c r="E575">
        <f t="shared" si="84"/>
        <v>39235.489930555559</v>
      </c>
      <c r="F575" s="4">
        <f t="shared" si="85"/>
        <v>0.20000000000000284</v>
      </c>
      <c r="G575" s="4">
        <f t="shared" si="86"/>
        <v>0.10000000000000142</v>
      </c>
      <c r="H575" s="5">
        <f t="shared" si="87"/>
        <v>0.20000004675239608</v>
      </c>
      <c r="I575" s="14">
        <f t="shared" si="88"/>
        <v>34.806733743821496</v>
      </c>
      <c r="J575" s="19">
        <f t="shared" si="89"/>
        <v>1001180.6552231786</v>
      </c>
      <c r="K575" s="16">
        <f t="shared" si="90"/>
        <v>0.99719188767248856</v>
      </c>
    </row>
    <row r="576" spans="1:11" x14ac:dyDescent="0.15">
      <c r="A576" s="7">
        <v>39235.489953703705</v>
      </c>
      <c r="B576">
        <v>40.1</v>
      </c>
      <c r="C576" s="6">
        <f t="shared" si="82"/>
        <v>1112.0000003138557</v>
      </c>
      <c r="D576" t="str">
        <f t="shared" si="83"/>
        <v/>
      </c>
      <c r="E576">
        <f t="shared" si="84"/>
        <v>39235.489953703705</v>
      </c>
      <c r="F576" s="4">
        <f t="shared" si="85"/>
        <v>0.20000000000000284</v>
      </c>
      <c r="G576" s="4">
        <f t="shared" si="86"/>
        <v>0.10000000000000142</v>
      </c>
      <c r="H576" s="5">
        <f t="shared" si="87"/>
        <v>0.19999998388812229</v>
      </c>
      <c r="I576" s="14">
        <f t="shared" si="88"/>
        <v>34.806722803323858</v>
      </c>
      <c r="J576" s="19">
        <f t="shared" si="89"/>
        <v>1001215.4619459818</v>
      </c>
      <c r="K576" s="16">
        <f t="shared" si="90"/>
        <v>0.99722655572308949</v>
      </c>
    </row>
    <row r="577" spans="1:11" x14ac:dyDescent="0.15">
      <c r="A577" s="7">
        <v>39235.489976851852</v>
      </c>
      <c r="B577">
        <v>39.9</v>
      </c>
      <c r="C577" s="6">
        <f t="shared" si="82"/>
        <v>1114.0000001527369</v>
      </c>
      <c r="D577" t="str">
        <f t="shared" si="83"/>
        <v/>
      </c>
      <c r="E577" t="str">
        <f t="shared" si="84"/>
        <v xml:space="preserve"> </v>
      </c>
      <c r="F577" s="4">
        <f t="shared" si="85"/>
        <v>0</v>
      </c>
      <c r="G577" s="4">
        <f t="shared" si="86"/>
        <v>0</v>
      </c>
      <c r="H577" s="5">
        <f t="shared" si="87"/>
        <v>9.9999991944061145E-2</v>
      </c>
      <c r="I577" s="14">
        <f t="shared" si="88"/>
        <v>17.403361401661929</v>
      </c>
      <c r="J577" s="19">
        <f t="shared" si="89"/>
        <v>1001232.8653073835</v>
      </c>
      <c r="K577" s="16">
        <f t="shared" si="90"/>
        <v>0.99724388974838996</v>
      </c>
    </row>
    <row r="578" spans="1:11" x14ac:dyDescent="0.15">
      <c r="A578" s="7">
        <v>39235.49</v>
      </c>
      <c r="B578">
        <v>40.1</v>
      </c>
      <c r="C578" s="6">
        <f t="shared" si="82"/>
        <v>1115.9999999916181</v>
      </c>
      <c r="D578" t="str">
        <f t="shared" si="83"/>
        <v/>
      </c>
      <c r="E578">
        <f t="shared" si="84"/>
        <v>39235.49</v>
      </c>
      <c r="F578" s="4">
        <f t="shared" si="85"/>
        <v>0.20000000000000284</v>
      </c>
      <c r="G578" s="4">
        <f t="shared" si="86"/>
        <v>0.10000000000000142</v>
      </c>
      <c r="H578" s="5">
        <f t="shared" si="87"/>
        <v>9.9999991944061145E-2</v>
      </c>
      <c r="I578" s="14">
        <f t="shared" si="88"/>
        <v>17.403361401661929</v>
      </c>
      <c r="J578" s="19">
        <f t="shared" si="89"/>
        <v>1001250.2686687851</v>
      </c>
      <c r="K578" s="16">
        <f t="shared" si="90"/>
        <v>0.99726122377369031</v>
      </c>
    </row>
    <row r="579" spans="1:11" x14ac:dyDescent="0.15">
      <c r="A579" s="7">
        <v>39235.490023148152</v>
      </c>
      <c r="B579">
        <v>39.9</v>
      </c>
      <c r="C579" s="6">
        <f t="shared" si="82"/>
        <v>1118.000000459142</v>
      </c>
      <c r="D579" t="str">
        <f t="shared" si="83"/>
        <v/>
      </c>
      <c r="E579" t="str">
        <f t="shared" si="84"/>
        <v xml:space="preserve"> </v>
      </c>
      <c r="F579" s="4">
        <f t="shared" si="85"/>
        <v>0</v>
      </c>
      <c r="G579" s="4">
        <f t="shared" si="86"/>
        <v>0</v>
      </c>
      <c r="H579" s="5">
        <f t="shared" si="87"/>
        <v>0.10000002337619804</v>
      </c>
      <c r="I579" s="14">
        <f t="shared" si="88"/>
        <v>17.403366871910748</v>
      </c>
      <c r="J579" s="19">
        <f t="shared" si="89"/>
        <v>1001267.672035657</v>
      </c>
      <c r="K579" s="16">
        <f t="shared" si="90"/>
        <v>0.99727855780443919</v>
      </c>
    </row>
    <row r="580" spans="1:11" x14ac:dyDescent="0.15">
      <c r="A580" s="7">
        <v>39235.490046296298</v>
      </c>
      <c r="B580">
        <v>40.1</v>
      </c>
      <c r="C580" s="6">
        <f t="shared" si="82"/>
        <v>1120.0000002980232</v>
      </c>
      <c r="D580" t="str">
        <f t="shared" si="83"/>
        <v/>
      </c>
      <c r="E580">
        <f t="shared" si="84"/>
        <v>39235.490046296298</v>
      </c>
      <c r="F580" s="4">
        <f t="shared" si="85"/>
        <v>0.20000000000000284</v>
      </c>
      <c r="G580" s="4">
        <f t="shared" si="86"/>
        <v>0.10000000000000142</v>
      </c>
      <c r="H580" s="5">
        <f t="shared" si="87"/>
        <v>9.9999991944061145E-2</v>
      </c>
      <c r="I580" s="14">
        <f t="shared" si="88"/>
        <v>17.403361401661929</v>
      </c>
      <c r="J580" s="19">
        <f t="shared" si="89"/>
        <v>1001285.0753970586</v>
      </c>
      <c r="K580" s="16">
        <f t="shared" si="90"/>
        <v>0.99729589182973966</v>
      </c>
    </row>
    <row r="581" spans="1:11" x14ac:dyDescent="0.15">
      <c r="A581" s="7">
        <v>39235.490069444444</v>
      </c>
      <c r="B581">
        <v>40.1</v>
      </c>
      <c r="C581" s="6">
        <f t="shared" si="82"/>
        <v>1122.0000001369044</v>
      </c>
      <c r="D581" t="str">
        <f t="shared" si="83"/>
        <v/>
      </c>
      <c r="E581">
        <f t="shared" si="84"/>
        <v>39235.490069444444</v>
      </c>
      <c r="F581" s="4">
        <f t="shared" si="85"/>
        <v>0.20000000000000284</v>
      </c>
      <c r="G581" s="4">
        <f t="shared" si="86"/>
        <v>0.10000000000000142</v>
      </c>
      <c r="H581" s="5">
        <f t="shared" si="87"/>
        <v>0.19999998388812229</v>
      </c>
      <c r="I581" s="14">
        <f t="shared" si="88"/>
        <v>34.806722803323858</v>
      </c>
      <c r="J581" s="19">
        <f t="shared" si="89"/>
        <v>1001319.8821198619</v>
      </c>
      <c r="K581" s="16">
        <f t="shared" si="90"/>
        <v>0.99733055988034058</v>
      </c>
    </row>
    <row r="582" spans="1:11" x14ac:dyDescent="0.15">
      <c r="A582" s="7">
        <v>39235.49009259259</v>
      </c>
      <c r="B582">
        <v>40.1</v>
      </c>
      <c r="C582" s="6">
        <f t="shared" si="82"/>
        <v>1123.9999999757856</v>
      </c>
      <c r="D582" t="str">
        <f t="shared" si="83"/>
        <v/>
      </c>
      <c r="E582">
        <f t="shared" si="84"/>
        <v>39235.49009259259</v>
      </c>
      <c r="F582" s="4">
        <f t="shared" si="85"/>
        <v>0.20000000000000284</v>
      </c>
      <c r="G582" s="4">
        <f t="shared" si="86"/>
        <v>0.10000000000000142</v>
      </c>
      <c r="H582" s="5">
        <f t="shared" si="87"/>
        <v>0.19999998388812229</v>
      </c>
      <c r="I582" s="14">
        <f t="shared" si="88"/>
        <v>34.806722803323858</v>
      </c>
      <c r="J582" s="19">
        <f t="shared" si="89"/>
        <v>1001354.6888426652</v>
      </c>
      <c r="K582" s="16">
        <f t="shared" si="90"/>
        <v>0.9973652279309414</v>
      </c>
    </row>
    <row r="583" spans="1:11" x14ac:dyDescent="0.15">
      <c r="A583" s="7">
        <v>39235.490115740744</v>
      </c>
      <c r="B583">
        <v>39.9</v>
      </c>
      <c r="C583" s="6">
        <f t="shared" si="82"/>
        <v>1126.0000004433095</v>
      </c>
      <c r="D583" t="str">
        <f t="shared" si="83"/>
        <v/>
      </c>
      <c r="E583" t="str">
        <f t="shared" si="84"/>
        <v xml:space="preserve"> </v>
      </c>
      <c r="F583" s="4">
        <f t="shared" si="85"/>
        <v>0</v>
      </c>
      <c r="G583" s="4">
        <f t="shared" si="86"/>
        <v>0</v>
      </c>
      <c r="H583" s="5">
        <f t="shared" si="87"/>
        <v>0.10000002337619804</v>
      </c>
      <c r="I583" s="14">
        <f t="shared" si="88"/>
        <v>17.403366871910748</v>
      </c>
      <c r="J583" s="19">
        <f t="shared" si="89"/>
        <v>1001372.092209537</v>
      </c>
      <c r="K583" s="16">
        <f t="shared" si="90"/>
        <v>0.99738256196169028</v>
      </c>
    </row>
    <row r="584" spans="1:11" x14ac:dyDescent="0.15">
      <c r="A584" s="7">
        <v>39235.49013888889</v>
      </c>
      <c r="B584">
        <v>39.9</v>
      </c>
      <c r="C584" s="6">
        <f t="shared" si="82"/>
        <v>1128.0000002821907</v>
      </c>
      <c r="D584" t="str">
        <f t="shared" si="83"/>
        <v/>
      </c>
      <c r="E584" t="str">
        <f t="shared" si="84"/>
        <v xml:space="preserve"> </v>
      </c>
      <c r="F584" s="4">
        <f t="shared" si="85"/>
        <v>0</v>
      </c>
      <c r="G584" s="4">
        <f t="shared" si="86"/>
        <v>0</v>
      </c>
      <c r="H584" s="5">
        <f t="shared" si="87"/>
        <v>0</v>
      </c>
      <c r="I584" s="14">
        <f t="shared" si="88"/>
        <v>0</v>
      </c>
      <c r="J584" s="19">
        <f t="shared" si="89"/>
        <v>1001372.092209537</v>
      </c>
      <c r="K584" s="16">
        <f t="shared" si="90"/>
        <v>0.99738256196169028</v>
      </c>
    </row>
    <row r="585" spans="1:11" x14ac:dyDescent="0.15">
      <c r="A585" s="7">
        <v>39235.490162037036</v>
      </c>
      <c r="B585">
        <v>40.1</v>
      </c>
      <c r="C585" s="6">
        <f t="shared" si="82"/>
        <v>1130.0000001210719</v>
      </c>
      <c r="D585" t="str">
        <f t="shared" si="83"/>
        <v/>
      </c>
      <c r="E585">
        <f t="shared" si="84"/>
        <v>39235.490162037036</v>
      </c>
      <c r="F585" s="4">
        <f t="shared" si="85"/>
        <v>0.20000000000000284</v>
      </c>
      <c r="G585" s="4">
        <f t="shared" si="86"/>
        <v>0.10000000000000142</v>
      </c>
      <c r="H585" s="5">
        <f t="shared" si="87"/>
        <v>9.9999991944061145E-2</v>
      </c>
      <c r="I585" s="14">
        <f t="shared" si="88"/>
        <v>17.403361401661929</v>
      </c>
      <c r="J585" s="19">
        <f t="shared" si="89"/>
        <v>1001389.4955709387</v>
      </c>
      <c r="K585" s="16">
        <f t="shared" si="90"/>
        <v>0.99739989598699075</v>
      </c>
    </row>
    <row r="586" spans="1:11" x14ac:dyDescent="0.15">
      <c r="A586" s="7">
        <v>39235.490185185183</v>
      </c>
      <c r="B586">
        <v>39.9</v>
      </c>
      <c r="C586" s="6">
        <f t="shared" si="82"/>
        <v>1131.9999999599531</v>
      </c>
      <c r="D586" t="str">
        <f t="shared" si="83"/>
        <v/>
      </c>
      <c r="E586" t="str">
        <f t="shared" si="84"/>
        <v xml:space="preserve"> </v>
      </c>
      <c r="F586" s="4">
        <f t="shared" si="85"/>
        <v>0</v>
      </c>
      <c r="G586" s="4">
        <f t="shared" si="86"/>
        <v>0</v>
      </c>
      <c r="H586" s="5">
        <f t="shared" si="87"/>
        <v>9.9999991944061145E-2</v>
      </c>
      <c r="I586" s="14">
        <f t="shared" si="88"/>
        <v>17.403361401661929</v>
      </c>
      <c r="J586" s="19">
        <f t="shared" si="89"/>
        <v>1001406.8989323403</v>
      </c>
      <c r="K586" s="16">
        <f t="shared" si="90"/>
        <v>0.99741723001229121</v>
      </c>
    </row>
    <row r="587" spans="1:11" x14ac:dyDescent="0.15">
      <c r="A587" s="7">
        <v>39235.490208333336</v>
      </c>
      <c r="B587">
        <v>40.1</v>
      </c>
      <c r="C587" s="6">
        <f t="shared" si="82"/>
        <v>1134.0000004274771</v>
      </c>
      <c r="D587" t="str">
        <f t="shared" si="83"/>
        <v/>
      </c>
      <c r="E587">
        <f t="shared" si="84"/>
        <v>39235.490208333336</v>
      </c>
      <c r="F587" s="4">
        <f t="shared" si="85"/>
        <v>0.20000000000000284</v>
      </c>
      <c r="G587" s="4">
        <f t="shared" si="86"/>
        <v>0.10000000000000142</v>
      </c>
      <c r="H587" s="5">
        <f t="shared" si="87"/>
        <v>0.10000002337619804</v>
      </c>
      <c r="I587" s="14">
        <f t="shared" si="88"/>
        <v>17.403366871910748</v>
      </c>
      <c r="J587" s="19">
        <f t="shared" si="89"/>
        <v>1001424.3022992122</v>
      </c>
      <c r="K587" s="16">
        <f t="shared" si="90"/>
        <v>0.99743456404303998</v>
      </c>
    </row>
    <row r="588" spans="1:11" x14ac:dyDescent="0.15">
      <c r="A588" s="7">
        <v>39235.490231481483</v>
      </c>
      <c r="B588">
        <v>40.1</v>
      </c>
      <c r="C588" s="6">
        <f t="shared" si="82"/>
        <v>1136.0000002663583</v>
      </c>
      <c r="D588" t="str">
        <f t="shared" si="83"/>
        <v/>
      </c>
      <c r="E588">
        <f t="shared" si="84"/>
        <v>39235.490231481483</v>
      </c>
      <c r="F588" s="4">
        <f t="shared" si="85"/>
        <v>0.20000000000000284</v>
      </c>
      <c r="G588" s="4">
        <f t="shared" si="86"/>
        <v>0.10000000000000142</v>
      </c>
      <c r="H588" s="5">
        <f t="shared" si="87"/>
        <v>0.19999998388812229</v>
      </c>
      <c r="I588" s="14">
        <f t="shared" si="88"/>
        <v>34.806722803323858</v>
      </c>
      <c r="J588" s="19">
        <f t="shared" si="89"/>
        <v>1001459.1090220155</v>
      </c>
      <c r="K588" s="16">
        <f t="shared" si="90"/>
        <v>0.99746923209364091</v>
      </c>
    </row>
    <row r="589" spans="1:11" x14ac:dyDescent="0.15">
      <c r="A589" s="7">
        <v>39235.490254629629</v>
      </c>
      <c r="B589">
        <v>39.9</v>
      </c>
      <c r="C589" s="6">
        <f t="shared" si="82"/>
        <v>1138.0000001052395</v>
      </c>
      <c r="D589" t="str">
        <f t="shared" si="83"/>
        <v/>
      </c>
      <c r="E589" t="str">
        <f t="shared" si="84"/>
        <v xml:space="preserve"> </v>
      </c>
      <c r="F589" s="4">
        <f t="shared" si="85"/>
        <v>0</v>
      </c>
      <c r="G589" s="4">
        <f t="shared" si="86"/>
        <v>0</v>
      </c>
      <c r="H589" s="5">
        <f t="shared" si="87"/>
        <v>9.9999991944061145E-2</v>
      </c>
      <c r="I589" s="14">
        <f t="shared" si="88"/>
        <v>17.403361401661929</v>
      </c>
      <c r="J589" s="19">
        <f t="shared" si="89"/>
        <v>1001476.5123834171</v>
      </c>
      <c r="K589" s="16">
        <f t="shared" si="90"/>
        <v>0.99748656611894138</v>
      </c>
    </row>
    <row r="590" spans="1:11" x14ac:dyDescent="0.15">
      <c r="A590" s="7">
        <v>39235.490277777775</v>
      </c>
      <c r="B590">
        <v>40.1</v>
      </c>
      <c r="C590" s="6">
        <f t="shared" si="82"/>
        <v>1139.9999999441206</v>
      </c>
      <c r="D590" t="str">
        <f t="shared" si="83"/>
        <v/>
      </c>
      <c r="E590">
        <f t="shared" si="84"/>
        <v>39235.490277777775</v>
      </c>
      <c r="F590" s="4">
        <f t="shared" si="85"/>
        <v>0.20000000000000284</v>
      </c>
      <c r="G590" s="4">
        <f t="shared" si="86"/>
        <v>0.10000000000000142</v>
      </c>
      <c r="H590" s="5">
        <f t="shared" si="87"/>
        <v>9.9999991944061145E-2</v>
      </c>
      <c r="I590" s="14">
        <f t="shared" si="88"/>
        <v>17.403361401661929</v>
      </c>
      <c r="J590" s="19">
        <f t="shared" si="89"/>
        <v>1001493.9157448187</v>
      </c>
      <c r="K590" s="16">
        <f t="shared" si="90"/>
        <v>0.99750390014424173</v>
      </c>
    </row>
    <row r="591" spans="1:11" x14ac:dyDescent="0.15">
      <c r="A591" s="7">
        <v>39235.490300925929</v>
      </c>
      <c r="B591">
        <v>40.1</v>
      </c>
      <c r="C591" s="6">
        <f t="shared" si="82"/>
        <v>1142.0000004116446</v>
      </c>
      <c r="D591" t="str">
        <f t="shared" si="83"/>
        <v/>
      </c>
      <c r="E591">
        <f t="shared" si="84"/>
        <v>39235.490300925929</v>
      </c>
      <c r="F591" s="4">
        <f t="shared" si="85"/>
        <v>0.20000000000000284</v>
      </c>
      <c r="G591" s="4">
        <f t="shared" si="86"/>
        <v>0.10000000000000142</v>
      </c>
      <c r="H591" s="5">
        <f t="shared" si="87"/>
        <v>0.20000004675239608</v>
      </c>
      <c r="I591" s="14">
        <f t="shared" si="88"/>
        <v>34.806733743821496</v>
      </c>
      <c r="J591" s="19">
        <f t="shared" si="89"/>
        <v>1001528.7224785626</v>
      </c>
      <c r="K591" s="16">
        <f t="shared" si="90"/>
        <v>0.99753856820573961</v>
      </c>
    </row>
    <row r="592" spans="1:11" x14ac:dyDescent="0.15">
      <c r="A592" s="7">
        <v>39235.490324074075</v>
      </c>
      <c r="B592">
        <v>39.9</v>
      </c>
      <c r="C592" s="6">
        <f t="shared" si="82"/>
        <v>1144.0000002505258</v>
      </c>
      <c r="D592" t="str">
        <f t="shared" si="83"/>
        <v/>
      </c>
      <c r="E592" t="str">
        <f t="shared" si="84"/>
        <v xml:space="preserve"> </v>
      </c>
      <c r="F592" s="4">
        <f t="shared" si="85"/>
        <v>0</v>
      </c>
      <c r="G592" s="4">
        <f t="shared" si="86"/>
        <v>0</v>
      </c>
      <c r="H592" s="5">
        <f t="shared" si="87"/>
        <v>9.9999991944061145E-2</v>
      </c>
      <c r="I592" s="14">
        <f t="shared" si="88"/>
        <v>17.403361401661929</v>
      </c>
      <c r="J592" s="19">
        <f t="shared" si="89"/>
        <v>1001546.1258399643</v>
      </c>
      <c r="K592" s="16">
        <f t="shared" si="90"/>
        <v>0.99755590223104007</v>
      </c>
    </row>
    <row r="593" spans="1:11" x14ac:dyDescent="0.15">
      <c r="A593" s="7">
        <v>39235.490347222221</v>
      </c>
      <c r="B593">
        <v>40.1</v>
      </c>
      <c r="C593" s="6">
        <f t="shared" si="82"/>
        <v>1146.000000089407</v>
      </c>
      <c r="D593" t="str">
        <f t="shared" si="83"/>
        <v/>
      </c>
      <c r="E593">
        <f t="shared" si="84"/>
        <v>39235.490347222221</v>
      </c>
      <c r="F593" s="4">
        <f t="shared" si="85"/>
        <v>0.20000000000000284</v>
      </c>
      <c r="G593" s="4">
        <f t="shared" si="86"/>
        <v>0.10000000000000142</v>
      </c>
      <c r="H593" s="5">
        <f t="shared" si="87"/>
        <v>9.9999991944061145E-2</v>
      </c>
      <c r="I593" s="14">
        <f t="shared" si="88"/>
        <v>17.403361401661929</v>
      </c>
      <c r="J593" s="19">
        <f t="shared" si="89"/>
        <v>1001563.5292013659</v>
      </c>
      <c r="K593" s="16">
        <f t="shared" si="90"/>
        <v>0.99757323625634053</v>
      </c>
    </row>
    <row r="594" spans="1:11" x14ac:dyDescent="0.15">
      <c r="A594" s="7">
        <v>39235.490370370368</v>
      </c>
      <c r="B594">
        <v>40.1</v>
      </c>
      <c r="C594" s="6">
        <f t="shared" ref="C594:C657" si="91">(A594-$B$4)*24*60*60</f>
        <v>1147.9999999282882</v>
      </c>
      <c r="D594" t="str">
        <f t="shared" ref="D594:D657" si="92">IF(F594=$B$8,A594,"")</f>
        <v/>
      </c>
      <c r="E594">
        <f t="shared" ref="E594:E657" si="93">IF(B594-$B$6&gt;0,A594," ")</f>
        <v>39235.490370370368</v>
      </c>
      <c r="F594" s="4">
        <f t="shared" ref="F594:F657" si="94">IF((B594-$B$6)&gt;0,B594-$B$6,0)</f>
        <v>0.20000000000000284</v>
      </c>
      <c r="G594" s="4">
        <f t="shared" ref="G594:G657" si="95">F594/2</f>
        <v>0.10000000000000142</v>
      </c>
      <c r="H594" s="5">
        <f t="shared" ref="H594:H657" si="96">AVERAGE(G593:G594)*(C594-C593)</f>
        <v>0.19999998388812229</v>
      </c>
      <c r="I594" s="14">
        <f t="shared" ref="I594:I657" si="97">H594*$B$14</f>
        <v>34.806722803323858</v>
      </c>
      <c r="J594" s="19">
        <f t="shared" ref="J594:J657" si="98">J593+I594</f>
        <v>1001598.3359241692</v>
      </c>
      <c r="K594" s="16">
        <f t="shared" ref="K594:K657" si="99">IF(J594=" ","-",J594/($B$12*1000))</f>
        <v>0.99760790430694135</v>
      </c>
    </row>
    <row r="595" spans="1:11" x14ac:dyDescent="0.15">
      <c r="A595" s="7">
        <v>39235.490393518521</v>
      </c>
      <c r="B595">
        <v>40.1</v>
      </c>
      <c r="C595" s="6">
        <f t="shared" si="91"/>
        <v>1150.0000003958121</v>
      </c>
      <c r="D595" t="str">
        <f t="shared" si="92"/>
        <v/>
      </c>
      <c r="E595">
        <f t="shared" si="93"/>
        <v>39235.490393518521</v>
      </c>
      <c r="F595" s="4">
        <f t="shared" si="94"/>
        <v>0.20000000000000284</v>
      </c>
      <c r="G595" s="4">
        <f t="shared" si="95"/>
        <v>0.10000000000000142</v>
      </c>
      <c r="H595" s="5">
        <f t="shared" si="96"/>
        <v>0.20000004675239608</v>
      </c>
      <c r="I595" s="14">
        <f t="shared" si="97"/>
        <v>34.806733743821496</v>
      </c>
      <c r="J595" s="19">
        <f t="shared" si="98"/>
        <v>1001633.142657913</v>
      </c>
      <c r="K595" s="16">
        <f t="shared" si="99"/>
        <v>0.99764257236843923</v>
      </c>
    </row>
    <row r="596" spans="1:11" x14ac:dyDescent="0.15">
      <c r="A596" s="7">
        <v>39235.490416666667</v>
      </c>
      <c r="B596">
        <v>39.9</v>
      </c>
      <c r="C596" s="6">
        <f t="shared" si="91"/>
        <v>1152.0000002346933</v>
      </c>
      <c r="D596" t="str">
        <f t="shared" si="92"/>
        <v/>
      </c>
      <c r="E596" t="str">
        <f t="shared" si="93"/>
        <v xml:space="preserve"> </v>
      </c>
      <c r="F596" s="4">
        <f t="shared" si="94"/>
        <v>0</v>
      </c>
      <c r="G596" s="4">
        <f t="shared" si="95"/>
        <v>0</v>
      </c>
      <c r="H596" s="5">
        <f t="shared" si="96"/>
        <v>9.9999991944061145E-2</v>
      </c>
      <c r="I596" s="14">
        <f t="shared" si="97"/>
        <v>17.403361401661929</v>
      </c>
      <c r="J596" s="19">
        <f t="shared" si="98"/>
        <v>1001650.5460193147</v>
      </c>
      <c r="K596" s="16">
        <f t="shared" si="99"/>
        <v>0.99765990639373969</v>
      </c>
    </row>
    <row r="597" spans="1:11" x14ac:dyDescent="0.15">
      <c r="A597" s="7">
        <v>39235.490439814814</v>
      </c>
      <c r="B597">
        <v>40.1</v>
      </c>
      <c r="C597" s="6">
        <f t="shared" si="91"/>
        <v>1154.0000000735745</v>
      </c>
      <c r="D597" t="str">
        <f t="shared" si="92"/>
        <v/>
      </c>
      <c r="E597">
        <f t="shared" si="93"/>
        <v>39235.490439814814</v>
      </c>
      <c r="F597" s="4">
        <f t="shared" si="94"/>
        <v>0.20000000000000284</v>
      </c>
      <c r="G597" s="4">
        <f t="shared" si="95"/>
        <v>0.10000000000000142</v>
      </c>
      <c r="H597" s="5">
        <f t="shared" si="96"/>
        <v>9.9999991944061145E-2</v>
      </c>
      <c r="I597" s="14">
        <f t="shared" si="97"/>
        <v>17.403361401661929</v>
      </c>
      <c r="J597" s="19">
        <f t="shared" si="98"/>
        <v>1001667.9493807163</v>
      </c>
      <c r="K597" s="16">
        <f t="shared" si="99"/>
        <v>0.99767724041904016</v>
      </c>
    </row>
    <row r="598" spans="1:11" x14ac:dyDescent="0.15">
      <c r="A598" s="7">
        <v>39235.49046296296</v>
      </c>
      <c r="B598">
        <v>39.9</v>
      </c>
      <c r="C598" s="6">
        <f t="shared" si="91"/>
        <v>1155.9999999124557</v>
      </c>
      <c r="D598" t="str">
        <f t="shared" si="92"/>
        <v/>
      </c>
      <c r="E598" t="str">
        <f t="shared" si="93"/>
        <v xml:space="preserve"> </v>
      </c>
      <c r="F598" s="4">
        <f t="shared" si="94"/>
        <v>0</v>
      </c>
      <c r="G598" s="4">
        <f t="shared" si="95"/>
        <v>0</v>
      </c>
      <c r="H598" s="5">
        <f t="shared" si="96"/>
        <v>9.9999991944061145E-2</v>
      </c>
      <c r="I598" s="14">
        <f t="shared" si="97"/>
        <v>17.403361401661929</v>
      </c>
      <c r="J598" s="19">
        <f t="shared" si="98"/>
        <v>1001685.3527421179</v>
      </c>
      <c r="K598" s="16">
        <f t="shared" si="99"/>
        <v>0.99769457444434062</v>
      </c>
    </row>
    <row r="599" spans="1:11" x14ac:dyDescent="0.15">
      <c r="A599" s="7">
        <v>39235.490486111114</v>
      </c>
      <c r="B599">
        <v>39.9</v>
      </c>
      <c r="C599" s="6">
        <f t="shared" si="91"/>
        <v>1158.0000003799796</v>
      </c>
      <c r="D599" t="str">
        <f t="shared" si="92"/>
        <v/>
      </c>
      <c r="E599" t="str">
        <f t="shared" si="93"/>
        <v xml:space="preserve"> </v>
      </c>
      <c r="F599" s="4">
        <f t="shared" si="94"/>
        <v>0</v>
      </c>
      <c r="G599" s="4">
        <f t="shared" si="95"/>
        <v>0</v>
      </c>
      <c r="H599" s="5">
        <f t="shared" si="96"/>
        <v>0</v>
      </c>
      <c r="I599" s="14">
        <f t="shared" si="97"/>
        <v>0</v>
      </c>
      <c r="J599" s="19">
        <f t="shared" si="98"/>
        <v>1001685.3527421179</v>
      </c>
      <c r="K599" s="16">
        <f t="shared" si="99"/>
        <v>0.99769457444434062</v>
      </c>
    </row>
    <row r="600" spans="1:11" x14ac:dyDescent="0.15">
      <c r="A600" s="7">
        <v>39235.49050925926</v>
      </c>
      <c r="B600">
        <v>39.9</v>
      </c>
      <c r="C600" s="6">
        <f t="shared" si="91"/>
        <v>1160.0000002188608</v>
      </c>
      <c r="D600" t="str">
        <f t="shared" si="92"/>
        <v/>
      </c>
      <c r="E600" t="str">
        <f t="shared" si="93"/>
        <v xml:space="preserve"> </v>
      </c>
      <c r="F600" s="4">
        <f t="shared" si="94"/>
        <v>0</v>
      </c>
      <c r="G600" s="4">
        <f t="shared" si="95"/>
        <v>0</v>
      </c>
      <c r="H600" s="5">
        <f t="shared" si="96"/>
        <v>0</v>
      </c>
      <c r="I600" s="14">
        <f t="shared" si="97"/>
        <v>0</v>
      </c>
      <c r="J600" s="19">
        <f t="shared" si="98"/>
        <v>1001685.3527421179</v>
      </c>
      <c r="K600" s="16">
        <f t="shared" si="99"/>
        <v>0.99769457444434062</v>
      </c>
    </row>
    <row r="601" spans="1:11" x14ac:dyDescent="0.15">
      <c r="A601" s="7">
        <v>39235.490532407406</v>
      </c>
      <c r="B601">
        <v>40.1</v>
      </c>
      <c r="C601" s="6">
        <f t="shared" si="91"/>
        <v>1162.000000057742</v>
      </c>
      <c r="D601" t="str">
        <f t="shared" si="92"/>
        <v/>
      </c>
      <c r="E601">
        <f t="shared" si="93"/>
        <v>39235.490532407406</v>
      </c>
      <c r="F601" s="4">
        <f t="shared" si="94"/>
        <v>0.20000000000000284</v>
      </c>
      <c r="G601" s="4">
        <f t="shared" si="95"/>
        <v>0.10000000000000142</v>
      </c>
      <c r="H601" s="5">
        <f t="shared" si="96"/>
        <v>9.9999991944061145E-2</v>
      </c>
      <c r="I601" s="14">
        <f t="shared" si="97"/>
        <v>17.403361401661929</v>
      </c>
      <c r="J601" s="19">
        <f t="shared" si="98"/>
        <v>1001702.7561035196</v>
      </c>
      <c r="K601" s="16">
        <f t="shared" si="99"/>
        <v>0.99771190846964097</v>
      </c>
    </row>
    <row r="602" spans="1:11" x14ac:dyDescent="0.15">
      <c r="A602" s="7">
        <v>39235.490555555552</v>
      </c>
      <c r="B602">
        <v>39.9</v>
      </c>
      <c r="C602" s="6">
        <f t="shared" si="91"/>
        <v>1163.9999998966232</v>
      </c>
      <c r="D602" t="str">
        <f t="shared" si="92"/>
        <v/>
      </c>
      <c r="E602" t="str">
        <f t="shared" si="93"/>
        <v xml:space="preserve"> </v>
      </c>
      <c r="F602" s="4">
        <f t="shared" si="94"/>
        <v>0</v>
      </c>
      <c r="G602" s="4">
        <f t="shared" si="95"/>
        <v>0</v>
      </c>
      <c r="H602" s="5">
        <f t="shared" si="96"/>
        <v>9.9999991944061145E-2</v>
      </c>
      <c r="I602" s="14">
        <f t="shared" si="97"/>
        <v>17.403361401661929</v>
      </c>
      <c r="J602" s="19">
        <f t="shared" si="98"/>
        <v>1001720.1594649212</v>
      </c>
      <c r="K602" s="16">
        <f t="shared" si="99"/>
        <v>0.99772924249494144</v>
      </c>
    </row>
    <row r="603" spans="1:11" x14ac:dyDescent="0.15">
      <c r="A603" s="7">
        <v>39235.490578703706</v>
      </c>
      <c r="B603">
        <v>39.9</v>
      </c>
      <c r="C603" s="6">
        <f t="shared" si="91"/>
        <v>1166.0000003641471</v>
      </c>
      <c r="D603" t="str">
        <f t="shared" si="92"/>
        <v/>
      </c>
      <c r="E603" t="str">
        <f t="shared" si="93"/>
        <v xml:space="preserve"> </v>
      </c>
      <c r="F603" s="4">
        <f t="shared" si="94"/>
        <v>0</v>
      </c>
      <c r="G603" s="4">
        <f t="shared" si="95"/>
        <v>0</v>
      </c>
      <c r="H603" s="5">
        <f t="shared" si="96"/>
        <v>0</v>
      </c>
      <c r="I603" s="14">
        <f t="shared" si="97"/>
        <v>0</v>
      </c>
      <c r="J603" s="19">
        <f t="shared" si="98"/>
        <v>1001720.1594649212</v>
      </c>
      <c r="K603" s="16">
        <f t="shared" si="99"/>
        <v>0.99772924249494144</v>
      </c>
    </row>
    <row r="604" spans="1:11" x14ac:dyDescent="0.15">
      <c r="A604" s="7">
        <v>39235.490601851852</v>
      </c>
      <c r="B604">
        <v>40.1</v>
      </c>
      <c r="C604" s="6">
        <f t="shared" si="91"/>
        <v>1168.0000002030283</v>
      </c>
      <c r="D604" t="str">
        <f t="shared" si="92"/>
        <v/>
      </c>
      <c r="E604">
        <f t="shared" si="93"/>
        <v>39235.490601851852</v>
      </c>
      <c r="F604" s="4">
        <f t="shared" si="94"/>
        <v>0.20000000000000284</v>
      </c>
      <c r="G604" s="4">
        <f t="shared" si="95"/>
        <v>0.10000000000000142</v>
      </c>
      <c r="H604" s="5">
        <f t="shared" si="96"/>
        <v>9.9999991944061145E-2</v>
      </c>
      <c r="I604" s="14">
        <f t="shared" si="97"/>
        <v>17.403361401661929</v>
      </c>
      <c r="J604" s="19">
        <f t="shared" si="98"/>
        <v>1001737.5628263229</v>
      </c>
      <c r="K604" s="16">
        <f t="shared" si="99"/>
        <v>0.9977465765202419</v>
      </c>
    </row>
    <row r="605" spans="1:11" x14ac:dyDescent="0.15">
      <c r="A605" s="7">
        <v>39235.490624999999</v>
      </c>
      <c r="B605">
        <v>40.1</v>
      </c>
      <c r="C605" s="6">
        <f t="shared" si="91"/>
        <v>1170.0000000419095</v>
      </c>
      <c r="D605" t="str">
        <f t="shared" si="92"/>
        <v/>
      </c>
      <c r="E605">
        <f t="shared" si="93"/>
        <v>39235.490624999999</v>
      </c>
      <c r="F605" s="4">
        <f t="shared" si="94"/>
        <v>0.20000000000000284</v>
      </c>
      <c r="G605" s="4">
        <f t="shared" si="95"/>
        <v>0.10000000000000142</v>
      </c>
      <c r="H605" s="5">
        <f t="shared" si="96"/>
        <v>0.19999998388812229</v>
      </c>
      <c r="I605" s="14">
        <f t="shared" si="97"/>
        <v>34.806722803323858</v>
      </c>
      <c r="J605" s="19">
        <f t="shared" si="98"/>
        <v>1001772.3695491261</v>
      </c>
      <c r="K605" s="16">
        <f t="shared" si="99"/>
        <v>0.99778124457084272</v>
      </c>
    </row>
    <row r="606" spans="1:11" x14ac:dyDescent="0.15">
      <c r="A606" s="7">
        <v>39235.490648148145</v>
      </c>
      <c r="B606">
        <v>39.9</v>
      </c>
      <c r="C606" s="6">
        <f t="shared" si="91"/>
        <v>1171.9999998807907</v>
      </c>
      <c r="D606" t="str">
        <f t="shared" si="92"/>
        <v/>
      </c>
      <c r="E606" t="str">
        <f t="shared" si="93"/>
        <v xml:space="preserve"> </v>
      </c>
      <c r="F606" s="4">
        <f t="shared" si="94"/>
        <v>0</v>
      </c>
      <c r="G606" s="4">
        <f t="shared" si="95"/>
        <v>0</v>
      </c>
      <c r="H606" s="5">
        <f t="shared" si="96"/>
        <v>9.9999991944061145E-2</v>
      </c>
      <c r="I606" s="14">
        <f t="shared" si="97"/>
        <v>17.403361401661929</v>
      </c>
      <c r="J606" s="19">
        <f t="shared" si="98"/>
        <v>1001789.7729105278</v>
      </c>
      <c r="K606" s="16">
        <f t="shared" si="99"/>
        <v>0.99779857859614318</v>
      </c>
    </row>
    <row r="607" spans="1:11" x14ac:dyDescent="0.15">
      <c r="A607" s="7">
        <v>39235.490671296298</v>
      </c>
      <c r="B607">
        <v>39.9</v>
      </c>
      <c r="C607" s="6">
        <f t="shared" si="91"/>
        <v>1174.0000003483146</v>
      </c>
      <c r="D607" t="str">
        <f t="shared" si="92"/>
        <v/>
      </c>
      <c r="E607" t="str">
        <f t="shared" si="93"/>
        <v xml:space="preserve"> </v>
      </c>
      <c r="F607" s="4">
        <f t="shared" si="94"/>
        <v>0</v>
      </c>
      <c r="G607" s="4">
        <f t="shared" si="95"/>
        <v>0</v>
      </c>
      <c r="H607" s="5">
        <f t="shared" si="96"/>
        <v>0</v>
      </c>
      <c r="I607" s="14">
        <f t="shared" si="97"/>
        <v>0</v>
      </c>
      <c r="J607" s="19">
        <f t="shared" si="98"/>
        <v>1001789.7729105278</v>
      </c>
      <c r="K607" s="16">
        <f t="shared" si="99"/>
        <v>0.99779857859614318</v>
      </c>
    </row>
    <row r="608" spans="1:11" x14ac:dyDescent="0.15">
      <c r="A608" s="7">
        <v>39235.490694444445</v>
      </c>
      <c r="B608">
        <v>40.1</v>
      </c>
      <c r="C608" s="6">
        <f t="shared" si="91"/>
        <v>1176.0000001871958</v>
      </c>
      <c r="D608" t="str">
        <f t="shared" si="92"/>
        <v/>
      </c>
      <c r="E608">
        <f t="shared" si="93"/>
        <v>39235.490694444445</v>
      </c>
      <c r="F608" s="4">
        <f t="shared" si="94"/>
        <v>0.20000000000000284</v>
      </c>
      <c r="G608" s="4">
        <f t="shared" si="95"/>
        <v>0.10000000000000142</v>
      </c>
      <c r="H608" s="5">
        <f t="shared" si="96"/>
        <v>9.9999991944061145E-2</v>
      </c>
      <c r="I608" s="14">
        <f t="shared" si="97"/>
        <v>17.403361401661929</v>
      </c>
      <c r="J608" s="19">
        <f t="shared" si="98"/>
        <v>1001807.1762719294</v>
      </c>
      <c r="K608" s="16">
        <f t="shared" si="99"/>
        <v>0.99781591262144365</v>
      </c>
    </row>
    <row r="609" spans="1:11" x14ac:dyDescent="0.15">
      <c r="A609" s="7">
        <v>39235.490717592591</v>
      </c>
      <c r="B609">
        <v>39.9</v>
      </c>
      <c r="C609" s="6">
        <f t="shared" si="91"/>
        <v>1178.000000026077</v>
      </c>
      <c r="D609" t="str">
        <f t="shared" si="92"/>
        <v/>
      </c>
      <c r="E609" t="str">
        <f t="shared" si="93"/>
        <v xml:space="preserve"> </v>
      </c>
      <c r="F609" s="4">
        <f t="shared" si="94"/>
        <v>0</v>
      </c>
      <c r="G609" s="4">
        <f t="shared" si="95"/>
        <v>0</v>
      </c>
      <c r="H609" s="5">
        <f t="shared" si="96"/>
        <v>9.9999991944061145E-2</v>
      </c>
      <c r="I609" s="14">
        <f t="shared" si="97"/>
        <v>17.403361401661929</v>
      </c>
      <c r="J609" s="19">
        <f t="shared" si="98"/>
        <v>1001824.579633331</v>
      </c>
      <c r="K609" s="16">
        <f t="shared" si="99"/>
        <v>0.99783324664674411</v>
      </c>
    </row>
    <row r="610" spans="1:11" x14ac:dyDescent="0.15">
      <c r="A610" s="7">
        <v>39235.490740740737</v>
      </c>
      <c r="B610">
        <v>40.200000000000003</v>
      </c>
      <c r="C610" s="6">
        <f t="shared" si="91"/>
        <v>1179.9999998649582</v>
      </c>
      <c r="D610" t="str">
        <f t="shared" si="92"/>
        <v/>
      </c>
      <c r="E610">
        <f t="shared" si="93"/>
        <v>39235.490740740737</v>
      </c>
      <c r="F610" s="4">
        <f t="shared" si="94"/>
        <v>0.30000000000000426</v>
      </c>
      <c r="G610" s="4">
        <f t="shared" si="95"/>
        <v>0.15000000000000213</v>
      </c>
      <c r="H610" s="5">
        <f t="shared" si="96"/>
        <v>0.14999998791609173</v>
      </c>
      <c r="I610" s="14">
        <f t="shared" si="97"/>
        <v>26.105042102492895</v>
      </c>
      <c r="J610" s="19">
        <f t="shared" si="98"/>
        <v>1001850.6846754336</v>
      </c>
      <c r="K610" s="16">
        <f t="shared" si="99"/>
        <v>0.99785924768469481</v>
      </c>
    </row>
    <row r="611" spans="1:11" x14ac:dyDescent="0.15">
      <c r="A611" s="7">
        <v>39235.490763888891</v>
      </c>
      <c r="B611">
        <v>39.9</v>
      </c>
      <c r="C611" s="6">
        <f t="shared" si="91"/>
        <v>1182.0000003324822</v>
      </c>
      <c r="D611" t="str">
        <f t="shared" si="92"/>
        <v/>
      </c>
      <c r="E611" t="str">
        <f t="shared" si="93"/>
        <v xml:space="preserve"> </v>
      </c>
      <c r="F611" s="4">
        <f t="shared" si="94"/>
        <v>0</v>
      </c>
      <c r="G611" s="4">
        <f t="shared" si="95"/>
        <v>0</v>
      </c>
      <c r="H611" s="5">
        <f t="shared" si="96"/>
        <v>0.15000003506429707</v>
      </c>
      <c r="I611" s="14">
        <f t="shared" si="97"/>
        <v>26.105050307866126</v>
      </c>
      <c r="J611" s="19">
        <f t="shared" si="98"/>
        <v>1001876.7897257414</v>
      </c>
      <c r="K611" s="16">
        <f t="shared" si="99"/>
        <v>0.99788524873081808</v>
      </c>
    </row>
    <row r="612" spans="1:11" x14ac:dyDescent="0.15">
      <c r="A612" s="7">
        <v>39235.490787037037</v>
      </c>
      <c r="B612">
        <v>39.9</v>
      </c>
      <c r="C612" s="6">
        <f t="shared" si="91"/>
        <v>1184.0000001713634</v>
      </c>
      <c r="D612" t="str">
        <f t="shared" si="92"/>
        <v/>
      </c>
      <c r="E612" t="str">
        <f t="shared" si="93"/>
        <v xml:space="preserve"> </v>
      </c>
      <c r="F612" s="4">
        <f t="shared" si="94"/>
        <v>0</v>
      </c>
      <c r="G612" s="4">
        <f t="shared" si="95"/>
        <v>0</v>
      </c>
      <c r="H612" s="5">
        <f t="shared" si="96"/>
        <v>0</v>
      </c>
      <c r="I612" s="14">
        <f t="shared" si="97"/>
        <v>0</v>
      </c>
      <c r="J612" s="19">
        <f t="shared" si="98"/>
        <v>1001876.7897257414</v>
      </c>
      <c r="K612" s="16">
        <f t="shared" si="99"/>
        <v>0.99788524873081808</v>
      </c>
    </row>
    <row r="613" spans="1:11" x14ac:dyDescent="0.15">
      <c r="A613" s="7">
        <v>39235.490810185183</v>
      </c>
      <c r="B613">
        <v>39.9</v>
      </c>
      <c r="C613" s="6">
        <f t="shared" si="91"/>
        <v>1186.0000000102445</v>
      </c>
      <c r="D613" t="str">
        <f t="shared" si="92"/>
        <v/>
      </c>
      <c r="E613" t="str">
        <f t="shared" si="93"/>
        <v xml:space="preserve"> </v>
      </c>
      <c r="F613" s="4">
        <f t="shared" si="94"/>
        <v>0</v>
      </c>
      <c r="G613" s="4">
        <f t="shared" si="95"/>
        <v>0</v>
      </c>
      <c r="H613" s="5">
        <f t="shared" si="96"/>
        <v>0</v>
      </c>
      <c r="I613" s="14">
        <f t="shared" si="97"/>
        <v>0</v>
      </c>
      <c r="J613" s="19">
        <f t="shared" si="98"/>
        <v>1001876.7897257414</v>
      </c>
      <c r="K613" s="16">
        <f t="shared" si="99"/>
        <v>0.99788524873081808</v>
      </c>
    </row>
    <row r="614" spans="1:11" x14ac:dyDescent="0.15">
      <c r="A614" s="7">
        <v>39235.490833333337</v>
      </c>
      <c r="B614">
        <v>39.9</v>
      </c>
      <c r="C614" s="6">
        <f t="shared" si="91"/>
        <v>1188.0000004777685</v>
      </c>
      <c r="D614" t="str">
        <f t="shared" si="92"/>
        <v/>
      </c>
      <c r="E614" t="str">
        <f t="shared" si="93"/>
        <v xml:space="preserve"> </v>
      </c>
      <c r="F614" s="4">
        <f t="shared" si="94"/>
        <v>0</v>
      </c>
      <c r="G614" s="4">
        <f t="shared" si="95"/>
        <v>0</v>
      </c>
      <c r="H614" s="5">
        <f t="shared" si="96"/>
        <v>0</v>
      </c>
      <c r="I614" s="14">
        <f t="shared" si="97"/>
        <v>0</v>
      </c>
      <c r="J614" s="19">
        <f t="shared" si="98"/>
        <v>1001876.7897257414</v>
      </c>
      <c r="K614" s="16">
        <f t="shared" si="99"/>
        <v>0.99788524873081808</v>
      </c>
    </row>
    <row r="615" spans="1:11" x14ac:dyDescent="0.15">
      <c r="A615" s="7">
        <v>39235.490856481483</v>
      </c>
      <c r="B615">
        <v>39.9</v>
      </c>
      <c r="C615" s="6">
        <f t="shared" si="91"/>
        <v>1190.0000003166497</v>
      </c>
      <c r="D615" t="str">
        <f t="shared" si="92"/>
        <v/>
      </c>
      <c r="E615" t="str">
        <f t="shared" si="93"/>
        <v xml:space="preserve"> </v>
      </c>
      <c r="F615" s="4">
        <f t="shared" si="94"/>
        <v>0</v>
      </c>
      <c r="G615" s="4">
        <f t="shared" si="95"/>
        <v>0</v>
      </c>
      <c r="H615" s="5">
        <f t="shared" si="96"/>
        <v>0</v>
      </c>
      <c r="I615" s="14">
        <f t="shared" si="97"/>
        <v>0</v>
      </c>
      <c r="J615" s="19">
        <f t="shared" si="98"/>
        <v>1001876.7897257414</v>
      </c>
      <c r="K615" s="16">
        <f t="shared" si="99"/>
        <v>0.99788524873081808</v>
      </c>
    </row>
    <row r="616" spans="1:11" x14ac:dyDescent="0.15">
      <c r="A616" s="7">
        <v>39235.490879629629</v>
      </c>
      <c r="B616">
        <v>39.9</v>
      </c>
      <c r="C616" s="6">
        <f t="shared" si="91"/>
        <v>1192.0000001555309</v>
      </c>
      <c r="D616" t="str">
        <f t="shared" si="92"/>
        <v/>
      </c>
      <c r="E616" t="str">
        <f t="shared" si="93"/>
        <v xml:space="preserve"> </v>
      </c>
      <c r="F616" s="4">
        <f t="shared" si="94"/>
        <v>0</v>
      </c>
      <c r="G616" s="4">
        <f t="shared" si="95"/>
        <v>0</v>
      </c>
      <c r="H616" s="5">
        <f t="shared" si="96"/>
        <v>0</v>
      </c>
      <c r="I616" s="14">
        <f t="shared" si="97"/>
        <v>0</v>
      </c>
      <c r="J616" s="19">
        <f t="shared" si="98"/>
        <v>1001876.7897257414</v>
      </c>
      <c r="K616" s="16">
        <f t="shared" si="99"/>
        <v>0.99788524873081808</v>
      </c>
    </row>
    <row r="617" spans="1:11" x14ac:dyDescent="0.15">
      <c r="A617" s="7">
        <v>39235.490902777776</v>
      </c>
      <c r="B617">
        <v>39.9</v>
      </c>
      <c r="C617" s="6">
        <f t="shared" si="91"/>
        <v>1193.9999999944121</v>
      </c>
      <c r="D617" t="str">
        <f t="shared" si="92"/>
        <v/>
      </c>
      <c r="E617" t="str">
        <f t="shared" si="93"/>
        <v xml:space="preserve"> </v>
      </c>
      <c r="F617" s="4">
        <f t="shared" si="94"/>
        <v>0</v>
      </c>
      <c r="G617" s="4">
        <f t="shared" si="95"/>
        <v>0</v>
      </c>
      <c r="H617" s="5">
        <f t="shared" si="96"/>
        <v>0</v>
      </c>
      <c r="I617" s="14">
        <f t="shared" si="97"/>
        <v>0</v>
      </c>
      <c r="J617" s="19">
        <f t="shared" si="98"/>
        <v>1001876.7897257414</v>
      </c>
      <c r="K617" s="16">
        <f t="shared" si="99"/>
        <v>0.99788524873081808</v>
      </c>
    </row>
    <row r="618" spans="1:11" x14ac:dyDescent="0.15">
      <c r="A618" s="7">
        <v>39235.490925925929</v>
      </c>
      <c r="B618">
        <v>40.1</v>
      </c>
      <c r="C618" s="6">
        <f t="shared" si="91"/>
        <v>1196.000000461936</v>
      </c>
      <c r="D618" t="str">
        <f t="shared" si="92"/>
        <v/>
      </c>
      <c r="E618">
        <f t="shared" si="93"/>
        <v>39235.490925925929</v>
      </c>
      <c r="F618" s="4">
        <f t="shared" si="94"/>
        <v>0.20000000000000284</v>
      </c>
      <c r="G618" s="4">
        <f t="shared" si="95"/>
        <v>0.10000000000000142</v>
      </c>
      <c r="H618" s="5">
        <f t="shared" si="96"/>
        <v>0.10000002337619804</v>
      </c>
      <c r="I618" s="14">
        <f t="shared" si="97"/>
        <v>17.403366871910748</v>
      </c>
      <c r="J618" s="19">
        <f t="shared" si="98"/>
        <v>1001894.1930926132</v>
      </c>
      <c r="K618" s="16">
        <f t="shared" si="99"/>
        <v>0.99790258276156696</v>
      </c>
    </row>
    <row r="619" spans="1:11" x14ac:dyDescent="0.15">
      <c r="A619" s="7">
        <v>39235.490949074076</v>
      </c>
      <c r="B619">
        <v>39.9</v>
      </c>
      <c r="C619" s="6">
        <f t="shared" si="91"/>
        <v>1198.0000003008172</v>
      </c>
      <c r="D619" t="str">
        <f t="shared" si="92"/>
        <v/>
      </c>
      <c r="E619" t="str">
        <f t="shared" si="93"/>
        <v xml:space="preserve"> </v>
      </c>
      <c r="F619" s="4">
        <f t="shared" si="94"/>
        <v>0</v>
      </c>
      <c r="G619" s="4">
        <f t="shared" si="95"/>
        <v>0</v>
      </c>
      <c r="H619" s="5">
        <f t="shared" si="96"/>
        <v>9.9999991944061145E-2</v>
      </c>
      <c r="I619" s="14">
        <f t="shared" si="97"/>
        <v>17.403361401661929</v>
      </c>
      <c r="J619" s="19">
        <f t="shared" si="98"/>
        <v>1001911.5964540149</v>
      </c>
      <c r="K619" s="16">
        <f t="shared" si="99"/>
        <v>0.99791991678686742</v>
      </c>
    </row>
    <row r="620" spans="1:11" x14ac:dyDescent="0.15">
      <c r="A620" s="7">
        <v>39235.490972222222</v>
      </c>
      <c r="B620">
        <v>39.9</v>
      </c>
      <c r="C620" s="6">
        <f t="shared" si="91"/>
        <v>1200.0000001396984</v>
      </c>
      <c r="D620" t="str">
        <f t="shared" si="92"/>
        <v/>
      </c>
      <c r="E620" t="str">
        <f t="shared" si="93"/>
        <v xml:space="preserve"> </v>
      </c>
      <c r="F620" s="4">
        <f t="shared" si="94"/>
        <v>0</v>
      </c>
      <c r="G620" s="4">
        <f t="shared" si="95"/>
        <v>0</v>
      </c>
      <c r="H620" s="5">
        <f t="shared" si="96"/>
        <v>0</v>
      </c>
      <c r="I620" s="14">
        <f t="shared" si="97"/>
        <v>0</v>
      </c>
      <c r="J620" s="19">
        <f t="shared" si="98"/>
        <v>1001911.5964540149</v>
      </c>
      <c r="K620" s="16">
        <f t="shared" si="99"/>
        <v>0.99791991678686742</v>
      </c>
    </row>
    <row r="621" spans="1:11" x14ac:dyDescent="0.15">
      <c r="A621" s="7">
        <v>39235.490995370368</v>
      </c>
      <c r="B621">
        <v>40.1</v>
      </c>
      <c r="C621" s="6">
        <f t="shared" si="91"/>
        <v>1201.9999999785796</v>
      </c>
      <c r="D621" t="str">
        <f t="shared" si="92"/>
        <v/>
      </c>
      <c r="E621">
        <f t="shared" si="93"/>
        <v>39235.490995370368</v>
      </c>
      <c r="F621" s="4">
        <f t="shared" si="94"/>
        <v>0.20000000000000284</v>
      </c>
      <c r="G621" s="4">
        <f t="shared" si="95"/>
        <v>0.10000000000000142</v>
      </c>
      <c r="H621" s="5">
        <f t="shared" si="96"/>
        <v>9.9999991944061145E-2</v>
      </c>
      <c r="I621" s="14">
        <f t="shared" si="97"/>
        <v>17.403361401661929</v>
      </c>
      <c r="J621" s="19">
        <f t="shared" si="98"/>
        <v>1001928.9998154165</v>
      </c>
      <c r="K621" s="16">
        <f t="shared" si="99"/>
        <v>0.99793725081216789</v>
      </c>
    </row>
    <row r="622" spans="1:11" x14ac:dyDescent="0.15">
      <c r="A622" s="7">
        <v>39235.491018518522</v>
      </c>
      <c r="B622">
        <v>40.1</v>
      </c>
      <c r="C622" s="6">
        <f t="shared" si="91"/>
        <v>1204.0000004461035</v>
      </c>
      <c r="D622" t="str">
        <f t="shared" si="92"/>
        <v/>
      </c>
      <c r="E622">
        <f t="shared" si="93"/>
        <v>39235.491018518522</v>
      </c>
      <c r="F622" s="4">
        <f t="shared" si="94"/>
        <v>0.20000000000000284</v>
      </c>
      <c r="G622" s="4">
        <f t="shared" si="95"/>
        <v>0.10000000000000142</v>
      </c>
      <c r="H622" s="5">
        <f t="shared" si="96"/>
        <v>0.20000004675239608</v>
      </c>
      <c r="I622" s="14">
        <f t="shared" si="97"/>
        <v>34.806733743821496</v>
      </c>
      <c r="J622" s="19">
        <f t="shared" si="98"/>
        <v>1001963.8065491604</v>
      </c>
      <c r="K622" s="16">
        <f t="shared" si="99"/>
        <v>0.99797191887366576</v>
      </c>
    </row>
    <row r="623" spans="1:11" x14ac:dyDescent="0.15">
      <c r="A623" s="7">
        <v>39235.491041666668</v>
      </c>
      <c r="B623">
        <v>39.9</v>
      </c>
      <c r="C623" s="6">
        <f t="shared" si="91"/>
        <v>1206.0000002849847</v>
      </c>
      <c r="D623" t="str">
        <f t="shared" si="92"/>
        <v/>
      </c>
      <c r="E623" t="str">
        <f t="shared" si="93"/>
        <v xml:space="preserve"> </v>
      </c>
      <c r="F623" s="4">
        <f t="shared" si="94"/>
        <v>0</v>
      </c>
      <c r="G623" s="4">
        <f t="shared" si="95"/>
        <v>0</v>
      </c>
      <c r="H623" s="5">
        <f t="shared" si="96"/>
        <v>9.9999991944061145E-2</v>
      </c>
      <c r="I623" s="14">
        <f t="shared" si="97"/>
        <v>17.403361401661929</v>
      </c>
      <c r="J623" s="19">
        <f t="shared" si="98"/>
        <v>1001981.209910562</v>
      </c>
      <c r="K623" s="16">
        <f t="shared" si="99"/>
        <v>0.99798925289896612</v>
      </c>
    </row>
    <row r="624" spans="1:11" x14ac:dyDescent="0.15">
      <c r="A624" s="7">
        <v>39235.491064814814</v>
      </c>
      <c r="B624">
        <v>39.9</v>
      </c>
      <c r="C624" s="6">
        <f t="shared" si="91"/>
        <v>1208.0000001238659</v>
      </c>
      <c r="D624" t="str">
        <f t="shared" si="92"/>
        <v/>
      </c>
      <c r="E624" t="str">
        <f t="shared" si="93"/>
        <v xml:space="preserve"> </v>
      </c>
      <c r="F624" s="4">
        <f t="shared" si="94"/>
        <v>0</v>
      </c>
      <c r="G624" s="4">
        <f t="shared" si="95"/>
        <v>0</v>
      </c>
      <c r="H624" s="5">
        <f t="shared" si="96"/>
        <v>0</v>
      </c>
      <c r="I624" s="14">
        <f t="shared" si="97"/>
        <v>0</v>
      </c>
      <c r="J624" s="19">
        <f t="shared" si="98"/>
        <v>1001981.209910562</v>
      </c>
      <c r="K624" s="16">
        <f t="shared" si="99"/>
        <v>0.99798925289896612</v>
      </c>
    </row>
    <row r="625" spans="1:11" x14ac:dyDescent="0.15">
      <c r="A625" s="7">
        <v>39235.491087962961</v>
      </c>
      <c r="B625">
        <v>39.9</v>
      </c>
      <c r="C625" s="6">
        <f t="shared" si="91"/>
        <v>1209.9999999627471</v>
      </c>
      <c r="D625" t="str">
        <f t="shared" si="92"/>
        <v/>
      </c>
      <c r="E625" t="str">
        <f t="shared" si="93"/>
        <v xml:space="preserve"> </v>
      </c>
      <c r="F625" s="4">
        <f t="shared" si="94"/>
        <v>0</v>
      </c>
      <c r="G625" s="4">
        <f t="shared" si="95"/>
        <v>0</v>
      </c>
      <c r="H625" s="5">
        <f t="shared" si="96"/>
        <v>0</v>
      </c>
      <c r="I625" s="14">
        <f t="shared" si="97"/>
        <v>0</v>
      </c>
      <c r="J625" s="19">
        <f t="shared" si="98"/>
        <v>1001981.209910562</v>
      </c>
      <c r="K625" s="16">
        <f t="shared" si="99"/>
        <v>0.99798925289896612</v>
      </c>
    </row>
    <row r="626" spans="1:11" x14ac:dyDescent="0.15">
      <c r="A626" s="7">
        <v>39235.491111111114</v>
      </c>
      <c r="B626">
        <v>40.1</v>
      </c>
      <c r="C626" s="6">
        <f t="shared" si="91"/>
        <v>1212.000000430271</v>
      </c>
      <c r="D626" t="str">
        <f t="shared" si="92"/>
        <v/>
      </c>
      <c r="E626">
        <f t="shared" si="93"/>
        <v>39235.491111111114</v>
      </c>
      <c r="F626" s="4">
        <f t="shared" si="94"/>
        <v>0.20000000000000284</v>
      </c>
      <c r="G626" s="4">
        <f t="shared" si="95"/>
        <v>0.10000000000000142</v>
      </c>
      <c r="H626" s="5">
        <f t="shared" si="96"/>
        <v>0.10000002337619804</v>
      </c>
      <c r="I626" s="14">
        <f t="shared" si="97"/>
        <v>17.403366871910748</v>
      </c>
      <c r="J626" s="19">
        <f t="shared" si="98"/>
        <v>1001998.6132774339</v>
      </c>
      <c r="K626" s="16">
        <f t="shared" si="99"/>
        <v>0.998006586929715</v>
      </c>
    </row>
    <row r="627" spans="1:11" x14ac:dyDescent="0.15">
      <c r="A627" s="7">
        <v>39235.49113425926</v>
      </c>
      <c r="B627">
        <v>39.9</v>
      </c>
      <c r="C627" s="6">
        <f t="shared" si="91"/>
        <v>1214.0000002691522</v>
      </c>
      <c r="D627" t="str">
        <f t="shared" si="92"/>
        <v/>
      </c>
      <c r="E627" t="str">
        <f t="shared" si="93"/>
        <v xml:space="preserve"> </v>
      </c>
      <c r="F627" s="4">
        <f t="shared" si="94"/>
        <v>0</v>
      </c>
      <c r="G627" s="4">
        <f t="shared" si="95"/>
        <v>0</v>
      </c>
      <c r="H627" s="5">
        <f t="shared" si="96"/>
        <v>9.9999991944061145E-2</v>
      </c>
      <c r="I627" s="14">
        <f t="shared" si="97"/>
        <v>17.403361401661929</v>
      </c>
      <c r="J627" s="19">
        <f t="shared" si="98"/>
        <v>1002016.0166388355</v>
      </c>
      <c r="K627" s="16">
        <f t="shared" si="99"/>
        <v>0.99802392095501546</v>
      </c>
    </row>
    <row r="628" spans="1:11" x14ac:dyDescent="0.15">
      <c r="A628" s="7">
        <v>39235.491157407407</v>
      </c>
      <c r="B628">
        <v>40.1</v>
      </c>
      <c r="C628" s="6">
        <f t="shared" si="91"/>
        <v>1216.0000001080334</v>
      </c>
      <c r="D628" t="str">
        <f t="shared" si="92"/>
        <v/>
      </c>
      <c r="E628">
        <f t="shared" si="93"/>
        <v>39235.491157407407</v>
      </c>
      <c r="F628" s="4">
        <f t="shared" si="94"/>
        <v>0.20000000000000284</v>
      </c>
      <c r="G628" s="4">
        <f t="shared" si="95"/>
        <v>0.10000000000000142</v>
      </c>
      <c r="H628" s="5">
        <f t="shared" si="96"/>
        <v>9.9999991944061145E-2</v>
      </c>
      <c r="I628" s="14">
        <f t="shared" si="97"/>
        <v>17.403361401661929</v>
      </c>
      <c r="J628" s="19">
        <f t="shared" si="98"/>
        <v>1002033.4200002372</v>
      </c>
      <c r="K628" s="16">
        <f t="shared" si="99"/>
        <v>0.99804125498031593</v>
      </c>
    </row>
    <row r="629" spans="1:11" x14ac:dyDescent="0.15">
      <c r="A629" s="7">
        <v>39235.491180555553</v>
      </c>
      <c r="B629">
        <v>40.1</v>
      </c>
      <c r="C629" s="6">
        <f t="shared" si="91"/>
        <v>1217.9999999469146</v>
      </c>
      <c r="D629" t="str">
        <f t="shared" si="92"/>
        <v/>
      </c>
      <c r="E629">
        <f t="shared" si="93"/>
        <v>39235.491180555553</v>
      </c>
      <c r="F629" s="4">
        <f t="shared" si="94"/>
        <v>0.20000000000000284</v>
      </c>
      <c r="G629" s="4">
        <f t="shared" si="95"/>
        <v>0.10000000000000142</v>
      </c>
      <c r="H629" s="5">
        <f t="shared" si="96"/>
        <v>0.19999998388812229</v>
      </c>
      <c r="I629" s="14">
        <f t="shared" si="97"/>
        <v>34.806722803323858</v>
      </c>
      <c r="J629" s="19">
        <f t="shared" si="98"/>
        <v>1002068.2267230405</v>
      </c>
      <c r="K629" s="16">
        <f t="shared" si="99"/>
        <v>0.99807592303091675</v>
      </c>
    </row>
    <row r="630" spans="1:11" x14ac:dyDescent="0.15">
      <c r="A630" s="7">
        <v>39235.491203703707</v>
      </c>
      <c r="B630">
        <v>40.1</v>
      </c>
      <c r="C630" s="6">
        <f t="shared" si="91"/>
        <v>1220.0000004144385</v>
      </c>
      <c r="D630" t="str">
        <f t="shared" si="92"/>
        <v/>
      </c>
      <c r="E630">
        <f t="shared" si="93"/>
        <v>39235.491203703707</v>
      </c>
      <c r="F630" s="4">
        <f t="shared" si="94"/>
        <v>0.20000000000000284</v>
      </c>
      <c r="G630" s="4">
        <f t="shared" si="95"/>
        <v>0.10000000000000142</v>
      </c>
      <c r="H630" s="5">
        <f t="shared" si="96"/>
        <v>0.20000004675239608</v>
      </c>
      <c r="I630" s="14">
        <f t="shared" si="97"/>
        <v>34.806733743821496</v>
      </c>
      <c r="J630" s="19">
        <f t="shared" si="98"/>
        <v>1002103.0334567843</v>
      </c>
      <c r="K630" s="16">
        <f t="shared" si="99"/>
        <v>0.99811059109241462</v>
      </c>
    </row>
    <row r="631" spans="1:11" x14ac:dyDescent="0.15">
      <c r="A631" s="7">
        <v>39235.491226851853</v>
      </c>
      <c r="B631">
        <v>40.1</v>
      </c>
      <c r="C631" s="6">
        <f t="shared" si="91"/>
        <v>1222.0000002533197</v>
      </c>
      <c r="D631" t="str">
        <f t="shared" si="92"/>
        <v/>
      </c>
      <c r="E631">
        <f t="shared" si="93"/>
        <v>39235.491226851853</v>
      </c>
      <c r="F631" s="4">
        <f t="shared" si="94"/>
        <v>0.20000000000000284</v>
      </c>
      <c r="G631" s="4">
        <f t="shared" si="95"/>
        <v>0.10000000000000142</v>
      </c>
      <c r="H631" s="5">
        <f t="shared" si="96"/>
        <v>0.19999998388812229</v>
      </c>
      <c r="I631" s="14">
        <f t="shared" si="97"/>
        <v>34.806722803323858</v>
      </c>
      <c r="J631" s="19">
        <f t="shared" si="98"/>
        <v>1002137.8401795876</v>
      </c>
      <c r="K631" s="16">
        <f t="shared" si="99"/>
        <v>0.99814525914301555</v>
      </c>
    </row>
    <row r="632" spans="1:11" x14ac:dyDescent="0.15">
      <c r="A632" s="7">
        <v>39235.491249999999</v>
      </c>
      <c r="B632">
        <v>39.9</v>
      </c>
      <c r="C632" s="6">
        <f t="shared" si="91"/>
        <v>1224.0000000922009</v>
      </c>
      <c r="D632" t="str">
        <f t="shared" si="92"/>
        <v/>
      </c>
      <c r="E632" t="str">
        <f t="shared" si="93"/>
        <v xml:space="preserve"> </v>
      </c>
      <c r="F632" s="4">
        <f t="shared" si="94"/>
        <v>0</v>
      </c>
      <c r="G632" s="4">
        <f t="shared" si="95"/>
        <v>0</v>
      </c>
      <c r="H632" s="5">
        <f t="shared" si="96"/>
        <v>9.9999991944061145E-2</v>
      </c>
      <c r="I632" s="14">
        <f t="shared" si="97"/>
        <v>17.403361401661929</v>
      </c>
      <c r="J632" s="19">
        <f t="shared" si="98"/>
        <v>1002155.2435409892</v>
      </c>
      <c r="K632" s="16">
        <f t="shared" si="99"/>
        <v>0.99816259316831601</v>
      </c>
    </row>
    <row r="633" spans="1:11" x14ac:dyDescent="0.15">
      <c r="A633" s="7">
        <v>39235.491273148145</v>
      </c>
      <c r="B633">
        <v>39.9</v>
      </c>
      <c r="C633" s="6">
        <f t="shared" si="91"/>
        <v>1225.9999999310821</v>
      </c>
      <c r="D633" t="str">
        <f t="shared" si="92"/>
        <v/>
      </c>
      <c r="E633" t="str">
        <f t="shared" si="93"/>
        <v xml:space="preserve"> </v>
      </c>
      <c r="F633" s="4">
        <f t="shared" si="94"/>
        <v>0</v>
      </c>
      <c r="G633" s="4">
        <f t="shared" si="95"/>
        <v>0</v>
      </c>
      <c r="H633" s="5">
        <f t="shared" si="96"/>
        <v>0</v>
      </c>
      <c r="I633" s="14">
        <f t="shared" si="97"/>
        <v>0</v>
      </c>
      <c r="J633" s="19">
        <f t="shared" si="98"/>
        <v>1002155.2435409892</v>
      </c>
      <c r="K633" s="16">
        <f t="shared" si="99"/>
        <v>0.99816259316831601</v>
      </c>
    </row>
    <row r="634" spans="1:11" x14ac:dyDescent="0.15">
      <c r="A634" s="7">
        <v>39235.491296296299</v>
      </c>
      <c r="B634">
        <v>40.1</v>
      </c>
      <c r="C634" s="6">
        <f t="shared" si="91"/>
        <v>1228.0000003986061</v>
      </c>
      <c r="D634" t="str">
        <f t="shared" si="92"/>
        <v/>
      </c>
      <c r="E634">
        <f t="shared" si="93"/>
        <v>39235.491296296299</v>
      </c>
      <c r="F634" s="4">
        <f t="shared" si="94"/>
        <v>0.20000000000000284</v>
      </c>
      <c r="G634" s="4">
        <f t="shared" si="95"/>
        <v>0.10000000000000142</v>
      </c>
      <c r="H634" s="5">
        <f t="shared" si="96"/>
        <v>0.10000002337619804</v>
      </c>
      <c r="I634" s="14">
        <f t="shared" si="97"/>
        <v>17.403366871910748</v>
      </c>
      <c r="J634" s="19">
        <f t="shared" si="98"/>
        <v>1002172.6469078611</v>
      </c>
      <c r="K634" s="16">
        <f t="shared" si="99"/>
        <v>0.9981799271990649</v>
      </c>
    </row>
    <row r="635" spans="1:11" x14ac:dyDescent="0.15">
      <c r="A635" s="7">
        <v>39235.491319444445</v>
      </c>
      <c r="B635">
        <v>40.1</v>
      </c>
      <c r="C635" s="6">
        <f t="shared" si="91"/>
        <v>1230.0000002374873</v>
      </c>
      <c r="D635" t="str">
        <f t="shared" si="92"/>
        <v/>
      </c>
      <c r="E635">
        <f t="shared" si="93"/>
        <v>39235.491319444445</v>
      </c>
      <c r="F635" s="4">
        <f t="shared" si="94"/>
        <v>0.20000000000000284</v>
      </c>
      <c r="G635" s="4">
        <f t="shared" si="95"/>
        <v>0.10000000000000142</v>
      </c>
      <c r="H635" s="5">
        <f t="shared" si="96"/>
        <v>0.19999998388812229</v>
      </c>
      <c r="I635" s="14">
        <f t="shared" si="97"/>
        <v>34.806722803323858</v>
      </c>
      <c r="J635" s="19">
        <f t="shared" si="98"/>
        <v>1002207.4536306644</v>
      </c>
      <c r="K635" s="16">
        <f t="shared" si="99"/>
        <v>0.99821459524966571</v>
      </c>
    </row>
    <row r="636" spans="1:11" x14ac:dyDescent="0.15">
      <c r="A636" s="7">
        <v>39235.491342592592</v>
      </c>
      <c r="B636">
        <v>40.1</v>
      </c>
      <c r="C636" s="6">
        <f t="shared" si="91"/>
        <v>1232.0000000763685</v>
      </c>
      <c r="D636" t="str">
        <f t="shared" si="92"/>
        <v/>
      </c>
      <c r="E636">
        <f t="shared" si="93"/>
        <v>39235.491342592592</v>
      </c>
      <c r="F636" s="4">
        <f t="shared" si="94"/>
        <v>0.20000000000000284</v>
      </c>
      <c r="G636" s="4">
        <f t="shared" si="95"/>
        <v>0.10000000000000142</v>
      </c>
      <c r="H636" s="5">
        <f t="shared" si="96"/>
        <v>0.19999998388812229</v>
      </c>
      <c r="I636" s="14">
        <f t="shared" si="97"/>
        <v>34.806722803323858</v>
      </c>
      <c r="J636" s="19">
        <f t="shared" si="98"/>
        <v>1002242.2603534677</v>
      </c>
      <c r="K636" s="16">
        <f t="shared" si="99"/>
        <v>0.99824926330026664</v>
      </c>
    </row>
    <row r="637" spans="1:11" x14ac:dyDescent="0.15">
      <c r="A637" s="7">
        <v>39235.491365740738</v>
      </c>
      <c r="B637">
        <v>40.1</v>
      </c>
      <c r="C637" s="6">
        <f t="shared" si="91"/>
        <v>1233.9999999152496</v>
      </c>
      <c r="D637" t="str">
        <f t="shared" si="92"/>
        <v/>
      </c>
      <c r="E637">
        <f t="shared" si="93"/>
        <v>39235.491365740738</v>
      </c>
      <c r="F637" s="4">
        <f t="shared" si="94"/>
        <v>0.20000000000000284</v>
      </c>
      <c r="G637" s="4">
        <f t="shared" si="95"/>
        <v>0.10000000000000142</v>
      </c>
      <c r="H637" s="5">
        <f t="shared" si="96"/>
        <v>0.19999998388812229</v>
      </c>
      <c r="I637" s="14">
        <f t="shared" si="97"/>
        <v>34.806722803323858</v>
      </c>
      <c r="J637" s="19">
        <f t="shared" si="98"/>
        <v>1002277.0670762709</v>
      </c>
      <c r="K637" s="16">
        <f t="shared" si="99"/>
        <v>0.99828393135086746</v>
      </c>
    </row>
    <row r="638" spans="1:11" x14ac:dyDescent="0.15">
      <c r="A638" s="7">
        <v>39235.491388888891</v>
      </c>
      <c r="B638">
        <v>40.1</v>
      </c>
      <c r="C638" s="6">
        <f t="shared" si="91"/>
        <v>1236.0000003827736</v>
      </c>
      <c r="D638" t="str">
        <f t="shared" si="92"/>
        <v/>
      </c>
      <c r="E638">
        <f t="shared" si="93"/>
        <v>39235.491388888891</v>
      </c>
      <c r="F638" s="4">
        <f t="shared" si="94"/>
        <v>0.20000000000000284</v>
      </c>
      <c r="G638" s="4">
        <f t="shared" si="95"/>
        <v>0.10000000000000142</v>
      </c>
      <c r="H638" s="5">
        <f t="shared" si="96"/>
        <v>0.20000004675239608</v>
      </c>
      <c r="I638" s="14">
        <f t="shared" si="97"/>
        <v>34.806733743821496</v>
      </c>
      <c r="J638" s="19">
        <f t="shared" si="98"/>
        <v>1002311.8738100148</v>
      </c>
      <c r="K638" s="16">
        <f t="shared" si="99"/>
        <v>0.99831859941236534</v>
      </c>
    </row>
    <row r="639" spans="1:11" x14ac:dyDescent="0.15">
      <c r="A639" s="7">
        <v>39235.491412037038</v>
      </c>
      <c r="B639">
        <v>39.9</v>
      </c>
      <c r="C639" s="6">
        <f t="shared" si="91"/>
        <v>1238.0000002216548</v>
      </c>
      <c r="D639" t="str">
        <f t="shared" si="92"/>
        <v/>
      </c>
      <c r="E639" t="str">
        <f t="shared" si="93"/>
        <v xml:space="preserve"> </v>
      </c>
      <c r="F639" s="4">
        <f t="shared" si="94"/>
        <v>0</v>
      </c>
      <c r="G639" s="4">
        <f t="shared" si="95"/>
        <v>0</v>
      </c>
      <c r="H639" s="5">
        <f t="shared" si="96"/>
        <v>9.9999991944061145E-2</v>
      </c>
      <c r="I639" s="14">
        <f t="shared" si="97"/>
        <v>17.403361401661929</v>
      </c>
      <c r="J639" s="19">
        <f t="shared" si="98"/>
        <v>1002329.2771714164</v>
      </c>
      <c r="K639" s="16">
        <f t="shared" si="99"/>
        <v>0.9983359334376658</v>
      </c>
    </row>
    <row r="640" spans="1:11" x14ac:dyDescent="0.15">
      <c r="A640" s="7">
        <v>39235.491435185184</v>
      </c>
      <c r="B640">
        <v>39.9</v>
      </c>
      <c r="C640" s="6">
        <f t="shared" si="91"/>
        <v>1240.000000060536</v>
      </c>
      <c r="D640" t="str">
        <f t="shared" si="92"/>
        <v/>
      </c>
      <c r="E640" t="str">
        <f t="shared" si="93"/>
        <v xml:space="preserve"> </v>
      </c>
      <c r="F640" s="4">
        <f t="shared" si="94"/>
        <v>0</v>
      </c>
      <c r="G640" s="4">
        <f t="shared" si="95"/>
        <v>0</v>
      </c>
      <c r="H640" s="5">
        <f t="shared" si="96"/>
        <v>0</v>
      </c>
      <c r="I640" s="14">
        <f t="shared" si="97"/>
        <v>0</v>
      </c>
      <c r="J640" s="19">
        <f t="shared" si="98"/>
        <v>1002329.2771714164</v>
      </c>
      <c r="K640" s="16">
        <f t="shared" si="99"/>
        <v>0.9983359334376658</v>
      </c>
    </row>
    <row r="641" spans="1:11" x14ac:dyDescent="0.15">
      <c r="A641" s="7">
        <v>39235.49145833333</v>
      </c>
      <c r="B641">
        <v>39.9</v>
      </c>
      <c r="C641" s="6">
        <f t="shared" si="91"/>
        <v>1241.9999998994172</v>
      </c>
      <c r="D641" t="str">
        <f t="shared" si="92"/>
        <v/>
      </c>
      <c r="E641" t="str">
        <f t="shared" si="93"/>
        <v xml:space="preserve"> </v>
      </c>
      <c r="F641" s="4">
        <f t="shared" si="94"/>
        <v>0</v>
      </c>
      <c r="G641" s="4">
        <f t="shared" si="95"/>
        <v>0</v>
      </c>
      <c r="H641" s="5">
        <f t="shared" si="96"/>
        <v>0</v>
      </c>
      <c r="I641" s="14">
        <f t="shared" si="97"/>
        <v>0</v>
      </c>
      <c r="J641" s="19">
        <f t="shared" si="98"/>
        <v>1002329.2771714164</v>
      </c>
      <c r="K641" s="16">
        <f t="shared" si="99"/>
        <v>0.9983359334376658</v>
      </c>
    </row>
    <row r="642" spans="1:11" x14ac:dyDescent="0.15">
      <c r="A642" s="7">
        <v>39235.491481481484</v>
      </c>
      <c r="B642">
        <v>40.1</v>
      </c>
      <c r="C642" s="6">
        <f t="shared" si="91"/>
        <v>1244.0000003669411</v>
      </c>
      <c r="D642" t="str">
        <f t="shared" si="92"/>
        <v/>
      </c>
      <c r="E642">
        <f t="shared" si="93"/>
        <v>39235.491481481484</v>
      </c>
      <c r="F642" s="4">
        <f t="shared" si="94"/>
        <v>0.20000000000000284</v>
      </c>
      <c r="G642" s="4">
        <f t="shared" si="95"/>
        <v>0.10000000000000142</v>
      </c>
      <c r="H642" s="5">
        <f t="shared" si="96"/>
        <v>0.10000002337619804</v>
      </c>
      <c r="I642" s="14">
        <f t="shared" si="97"/>
        <v>17.403366871910748</v>
      </c>
      <c r="J642" s="19">
        <f t="shared" si="98"/>
        <v>1002346.6805382883</v>
      </c>
      <c r="K642" s="16">
        <f t="shared" si="99"/>
        <v>0.99835326746841468</v>
      </c>
    </row>
    <row r="643" spans="1:11" x14ac:dyDescent="0.15">
      <c r="A643" s="7">
        <v>39235.49150462963</v>
      </c>
      <c r="B643">
        <v>40.1</v>
      </c>
      <c r="C643" s="6">
        <f t="shared" si="91"/>
        <v>1246.0000002058223</v>
      </c>
      <c r="D643" t="str">
        <f t="shared" si="92"/>
        <v/>
      </c>
      <c r="E643">
        <f t="shared" si="93"/>
        <v>39235.49150462963</v>
      </c>
      <c r="F643" s="4">
        <f t="shared" si="94"/>
        <v>0.20000000000000284</v>
      </c>
      <c r="G643" s="4">
        <f t="shared" si="95"/>
        <v>0.10000000000000142</v>
      </c>
      <c r="H643" s="5">
        <f t="shared" si="96"/>
        <v>0.19999998388812229</v>
      </c>
      <c r="I643" s="14">
        <f t="shared" si="97"/>
        <v>34.806722803323858</v>
      </c>
      <c r="J643" s="19">
        <f t="shared" si="98"/>
        <v>1002381.4872610916</v>
      </c>
      <c r="K643" s="16">
        <f t="shared" si="99"/>
        <v>0.9983879355190155</v>
      </c>
    </row>
    <row r="644" spans="1:11" x14ac:dyDescent="0.15">
      <c r="A644" s="7">
        <v>39235.491527777776</v>
      </c>
      <c r="B644">
        <v>40.1</v>
      </c>
      <c r="C644" s="6">
        <f t="shared" si="91"/>
        <v>1248.0000000447035</v>
      </c>
      <c r="D644" t="str">
        <f t="shared" si="92"/>
        <v/>
      </c>
      <c r="E644">
        <f t="shared" si="93"/>
        <v>39235.491527777776</v>
      </c>
      <c r="F644" s="4">
        <f t="shared" si="94"/>
        <v>0.20000000000000284</v>
      </c>
      <c r="G644" s="4">
        <f t="shared" si="95"/>
        <v>0.10000000000000142</v>
      </c>
      <c r="H644" s="5">
        <f t="shared" si="96"/>
        <v>0.19999998388812229</v>
      </c>
      <c r="I644" s="14">
        <f t="shared" si="97"/>
        <v>34.806722803323858</v>
      </c>
      <c r="J644" s="19">
        <f t="shared" si="98"/>
        <v>1002416.2939838949</v>
      </c>
      <c r="K644" s="16">
        <f t="shared" si="99"/>
        <v>0.99842260356961643</v>
      </c>
    </row>
    <row r="645" spans="1:11" x14ac:dyDescent="0.15">
      <c r="A645" s="7">
        <v>39235.491550925923</v>
      </c>
      <c r="B645">
        <v>39.9</v>
      </c>
      <c r="C645" s="6">
        <f t="shared" si="91"/>
        <v>1249.9999998835847</v>
      </c>
      <c r="D645" t="str">
        <f t="shared" si="92"/>
        <v/>
      </c>
      <c r="E645" t="str">
        <f t="shared" si="93"/>
        <v xml:space="preserve"> </v>
      </c>
      <c r="F645" s="4">
        <f t="shared" si="94"/>
        <v>0</v>
      </c>
      <c r="G645" s="4">
        <f t="shared" si="95"/>
        <v>0</v>
      </c>
      <c r="H645" s="5">
        <f t="shared" si="96"/>
        <v>9.9999991944061145E-2</v>
      </c>
      <c r="I645" s="14">
        <f t="shared" si="97"/>
        <v>17.403361401661929</v>
      </c>
      <c r="J645" s="19">
        <f t="shared" si="98"/>
        <v>1002433.6973452965</v>
      </c>
      <c r="K645" s="16">
        <f t="shared" si="99"/>
        <v>0.99843993759491678</v>
      </c>
    </row>
    <row r="646" spans="1:11" x14ac:dyDescent="0.15">
      <c r="A646" s="7">
        <v>39235.491574074076</v>
      </c>
      <c r="B646">
        <v>40.1</v>
      </c>
      <c r="C646" s="6">
        <f t="shared" si="91"/>
        <v>1252.0000003511086</v>
      </c>
      <c r="D646" t="str">
        <f t="shared" si="92"/>
        <v/>
      </c>
      <c r="E646">
        <f t="shared" si="93"/>
        <v>39235.491574074076</v>
      </c>
      <c r="F646" s="4">
        <f t="shared" si="94"/>
        <v>0.20000000000000284</v>
      </c>
      <c r="G646" s="4">
        <f t="shared" si="95"/>
        <v>0.10000000000000142</v>
      </c>
      <c r="H646" s="5">
        <f t="shared" si="96"/>
        <v>0.10000002337619804</v>
      </c>
      <c r="I646" s="14">
        <f t="shared" si="97"/>
        <v>17.403366871910748</v>
      </c>
      <c r="J646" s="19">
        <f t="shared" si="98"/>
        <v>1002451.1007121684</v>
      </c>
      <c r="K646" s="16">
        <f t="shared" si="99"/>
        <v>0.99845727162566567</v>
      </c>
    </row>
    <row r="647" spans="1:11" x14ac:dyDescent="0.15">
      <c r="A647" s="7">
        <v>39235.491597222222</v>
      </c>
      <c r="B647">
        <v>39.9</v>
      </c>
      <c r="C647" s="6">
        <f t="shared" si="91"/>
        <v>1254.0000001899898</v>
      </c>
      <c r="D647" t="str">
        <f t="shared" si="92"/>
        <v/>
      </c>
      <c r="E647" t="str">
        <f t="shared" si="93"/>
        <v xml:space="preserve"> </v>
      </c>
      <c r="F647" s="4">
        <f t="shared" si="94"/>
        <v>0</v>
      </c>
      <c r="G647" s="4">
        <f t="shared" si="95"/>
        <v>0</v>
      </c>
      <c r="H647" s="5">
        <f t="shared" si="96"/>
        <v>9.9999991944061145E-2</v>
      </c>
      <c r="I647" s="14">
        <f t="shared" si="97"/>
        <v>17.403361401661929</v>
      </c>
      <c r="J647" s="19">
        <f t="shared" si="98"/>
        <v>1002468.50407357</v>
      </c>
      <c r="K647" s="16">
        <f t="shared" si="99"/>
        <v>0.99847460565096613</v>
      </c>
    </row>
    <row r="648" spans="1:11" x14ac:dyDescent="0.15">
      <c r="A648" s="7">
        <v>39235.491620370369</v>
      </c>
      <c r="B648">
        <v>40.1</v>
      </c>
      <c r="C648" s="6">
        <f t="shared" si="91"/>
        <v>1256.000000028871</v>
      </c>
      <c r="D648" t="str">
        <f t="shared" si="92"/>
        <v/>
      </c>
      <c r="E648">
        <f t="shared" si="93"/>
        <v>39235.491620370369</v>
      </c>
      <c r="F648" s="4">
        <f t="shared" si="94"/>
        <v>0.20000000000000284</v>
      </c>
      <c r="G648" s="4">
        <f t="shared" si="95"/>
        <v>0.10000000000000142</v>
      </c>
      <c r="H648" s="5">
        <f t="shared" si="96"/>
        <v>9.9999991944061145E-2</v>
      </c>
      <c r="I648" s="14">
        <f t="shared" si="97"/>
        <v>17.403361401661929</v>
      </c>
      <c r="J648" s="19">
        <f t="shared" si="98"/>
        <v>1002485.9074349717</v>
      </c>
      <c r="K648" s="16">
        <f t="shared" si="99"/>
        <v>0.99849193967626659</v>
      </c>
    </row>
    <row r="649" spans="1:11" x14ac:dyDescent="0.15">
      <c r="A649" s="7">
        <v>39235.491643518515</v>
      </c>
      <c r="B649">
        <v>40.1</v>
      </c>
      <c r="C649" s="6">
        <f t="shared" si="91"/>
        <v>1257.9999998677522</v>
      </c>
      <c r="D649" t="str">
        <f t="shared" si="92"/>
        <v/>
      </c>
      <c r="E649">
        <f t="shared" si="93"/>
        <v>39235.491643518515</v>
      </c>
      <c r="F649" s="4">
        <f t="shared" si="94"/>
        <v>0.20000000000000284</v>
      </c>
      <c r="G649" s="4">
        <f t="shared" si="95"/>
        <v>0.10000000000000142</v>
      </c>
      <c r="H649" s="5">
        <f t="shared" si="96"/>
        <v>0.19999998388812229</v>
      </c>
      <c r="I649" s="14">
        <f t="shared" si="97"/>
        <v>34.806722803323858</v>
      </c>
      <c r="J649" s="19">
        <f t="shared" si="98"/>
        <v>1002520.7141577749</v>
      </c>
      <c r="K649" s="16">
        <f t="shared" si="99"/>
        <v>0.99852660772686741</v>
      </c>
    </row>
    <row r="650" spans="1:11" x14ac:dyDescent="0.15">
      <c r="A650" s="7">
        <v>39235.491666666669</v>
      </c>
      <c r="B650">
        <v>39.9</v>
      </c>
      <c r="C650" s="6">
        <f t="shared" si="91"/>
        <v>1260.0000003352761</v>
      </c>
      <c r="D650" t="str">
        <f t="shared" si="92"/>
        <v/>
      </c>
      <c r="E650" t="str">
        <f t="shared" si="93"/>
        <v xml:space="preserve"> </v>
      </c>
      <c r="F650" s="4">
        <f t="shared" si="94"/>
        <v>0</v>
      </c>
      <c r="G650" s="4">
        <f t="shared" si="95"/>
        <v>0</v>
      </c>
      <c r="H650" s="5">
        <f t="shared" si="96"/>
        <v>0.10000002337619804</v>
      </c>
      <c r="I650" s="14">
        <f t="shared" si="97"/>
        <v>17.403366871910748</v>
      </c>
      <c r="J650" s="19">
        <f t="shared" si="98"/>
        <v>1002538.1175246468</v>
      </c>
      <c r="K650" s="16">
        <f t="shared" si="99"/>
        <v>0.99854394175761629</v>
      </c>
    </row>
    <row r="651" spans="1:11" x14ac:dyDescent="0.15">
      <c r="A651" s="7">
        <v>39235.491689814815</v>
      </c>
      <c r="B651">
        <v>40.1</v>
      </c>
      <c r="C651" s="6">
        <f t="shared" si="91"/>
        <v>1262.0000001741573</v>
      </c>
      <c r="D651" t="str">
        <f t="shared" si="92"/>
        <v/>
      </c>
      <c r="E651">
        <f t="shared" si="93"/>
        <v>39235.491689814815</v>
      </c>
      <c r="F651" s="4">
        <f t="shared" si="94"/>
        <v>0.20000000000000284</v>
      </c>
      <c r="G651" s="4">
        <f t="shared" si="95"/>
        <v>0.10000000000000142</v>
      </c>
      <c r="H651" s="5">
        <f t="shared" si="96"/>
        <v>9.9999991944061145E-2</v>
      </c>
      <c r="I651" s="14">
        <f t="shared" si="97"/>
        <v>17.403361401661929</v>
      </c>
      <c r="J651" s="19">
        <f t="shared" si="98"/>
        <v>1002555.5208860484</v>
      </c>
      <c r="K651" s="16">
        <f t="shared" si="99"/>
        <v>0.99856127578291676</v>
      </c>
    </row>
    <row r="652" spans="1:11" x14ac:dyDescent="0.15">
      <c r="A652" s="7">
        <v>39235.491712962961</v>
      </c>
      <c r="B652">
        <v>40.1</v>
      </c>
      <c r="C652" s="6">
        <f t="shared" si="91"/>
        <v>1264.0000000130385</v>
      </c>
      <c r="D652" t="str">
        <f t="shared" si="92"/>
        <v/>
      </c>
      <c r="E652">
        <f t="shared" si="93"/>
        <v>39235.491712962961</v>
      </c>
      <c r="F652" s="4">
        <f t="shared" si="94"/>
        <v>0.20000000000000284</v>
      </c>
      <c r="G652" s="4">
        <f t="shared" si="95"/>
        <v>0.10000000000000142</v>
      </c>
      <c r="H652" s="5">
        <f t="shared" si="96"/>
        <v>0.19999998388812229</v>
      </c>
      <c r="I652" s="14">
        <f t="shared" si="97"/>
        <v>34.806722803323858</v>
      </c>
      <c r="J652" s="19">
        <f t="shared" si="98"/>
        <v>1002590.3276088517</v>
      </c>
      <c r="K652" s="16">
        <f t="shared" si="99"/>
        <v>0.99859594383351769</v>
      </c>
    </row>
    <row r="653" spans="1:11" x14ac:dyDescent="0.15">
      <c r="A653" s="7">
        <v>39235.491736111115</v>
      </c>
      <c r="B653">
        <v>40.1</v>
      </c>
      <c r="C653" s="6">
        <f t="shared" si="91"/>
        <v>1266.0000004805624</v>
      </c>
      <c r="D653" t="str">
        <f t="shared" si="92"/>
        <v/>
      </c>
      <c r="E653">
        <f t="shared" si="93"/>
        <v>39235.491736111115</v>
      </c>
      <c r="F653" s="4">
        <f t="shared" si="94"/>
        <v>0.20000000000000284</v>
      </c>
      <c r="G653" s="4">
        <f t="shared" si="95"/>
        <v>0.10000000000000142</v>
      </c>
      <c r="H653" s="5">
        <f t="shared" si="96"/>
        <v>0.20000004675239608</v>
      </c>
      <c r="I653" s="14">
        <f t="shared" si="97"/>
        <v>34.806733743821496</v>
      </c>
      <c r="J653" s="19">
        <f t="shared" si="98"/>
        <v>1002625.1343425956</v>
      </c>
      <c r="K653" s="16">
        <f t="shared" si="99"/>
        <v>0.99863061189501556</v>
      </c>
    </row>
    <row r="654" spans="1:11" x14ac:dyDescent="0.15">
      <c r="A654" s="7">
        <v>39235.491759259261</v>
      </c>
      <c r="B654">
        <v>40.1</v>
      </c>
      <c r="C654" s="6">
        <f t="shared" si="91"/>
        <v>1268.0000003194436</v>
      </c>
      <c r="D654" t="str">
        <f t="shared" si="92"/>
        <v/>
      </c>
      <c r="E654">
        <f t="shared" si="93"/>
        <v>39235.491759259261</v>
      </c>
      <c r="F654" s="4">
        <f t="shared" si="94"/>
        <v>0.20000000000000284</v>
      </c>
      <c r="G654" s="4">
        <f t="shared" si="95"/>
        <v>0.10000000000000142</v>
      </c>
      <c r="H654" s="5">
        <f t="shared" si="96"/>
        <v>0.19999998388812229</v>
      </c>
      <c r="I654" s="14">
        <f t="shared" si="97"/>
        <v>34.806722803323858</v>
      </c>
      <c r="J654" s="19">
        <f t="shared" si="98"/>
        <v>1002659.9410653989</v>
      </c>
      <c r="K654" s="16">
        <f t="shared" si="99"/>
        <v>0.99866527994561638</v>
      </c>
    </row>
    <row r="655" spans="1:11" x14ac:dyDescent="0.15">
      <c r="A655" s="7">
        <v>39235.491782407407</v>
      </c>
      <c r="B655">
        <v>40.1</v>
      </c>
      <c r="C655" s="6">
        <f t="shared" si="91"/>
        <v>1270.0000001583248</v>
      </c>
      <c r="D655" t="str">
        <f t="shared" si="92"/>
        <v/>
      </c>
      <c r="E655">
        <f t="shared" si="93"/>
        <v>39235.491782407407</v>
      </c>
      <c r="F655" s="4">
        <f t="shared" si="94"/>
        <v>0.20000000000000284</v>
      </c>
      <c r="G655" s="4">
        <f t="shared" si="95"/>
        <v>0.10000000000000142</v>
      </c>
      <c r="H655" s="5">
        <f t="shared" si="96"/>
        <v>0.19999998388812229</v>
      </c>
      <c r="I655" s="14">
        <f t="shared" si="97"/>
        <v>34.806722803323858</v>
      </c>
      <c r="J655" s="19">
        <f t="shared" si="98"/>
        <v>1002694.7477882021</v>
      </c>
      <c r="K655" s="16">
        <f t="shared" si="99"/>
        <v>0.99869994799621731</v>
      </c>
    </row>
    <row r="656" spans="1:11" x14ac:dyDescent="0.15">
      <c r="A656" s="7">
        <v>39235.491805555554</v>
      </c>
      <c r="B656">
        <v>39.9</v>
      </c>
      <c r="C656" s="6">
        <f t="shared" si="91"/>
        <v>1271.999999997206</v>
      </c>
      <c r="D656" t="str">
        <f t="shared" si="92"/>
        <v/>
      </c>
      <c r="E656" t="str">
        <f t="shared" si="93"/>
        <v xml:space="preserve"> </v>
      </c>
      <c r="F656" s="4">
        <f t="shared" si="94"/>
        <v>0</v>
      </c>
      <c r="G656" s="4">
        <f t="shared" si="95"/>
        <v>0</v>
      </c>
      <c r="H656" s="5">
        <f t="shared" si="96"/>
        <v>9.9999991944061145E-2</v>
      </c>
      <c r="I656" s="14">
        <f t="shared" si="97"/>
        <v>17.403361401661929</v>
      </c>
      <c r="J656" s="19">
        <f t="shared" si="98"/>
        <v>1002712.1511496038</v>
      </c>
      <c r="K656" s="16">
        <f t="shared" si="99"/>
        <v>0.99871728202151766</v>
      </c>
    </row>
    <row r="657" spans="1:11" x14ac:dyDescent="0.15">
      <c r="A657" s="7">
        <v>39235.491828703707</v>
      </c>
      <c r="B657">
        <v>40.1</v>
      </c>
      <c r="C657" s="6">
        <f t="shared" si="91"/>
        <v>1274.00000046473</v>
      </c>
      <c r="D657" t="str">
        <f t="shared" si="92"/>
        <v/>
      </c>
      <c r="E657">
        <f t="shared" si="93"/>
        <v>39235.491828703707</v>
      </c>
      <c r="F657" s="4">
        <f t="shared" si="94"/>
        <v>0.20000000000000284</v>
      </c>
      <c r="G657" s="4">
        <f t="shared" si="95"/>
        <v>0.10000000000000142</v>
      </c>
      <c r="H657" s="5">
        <f t="shared" si="96"/>
        <v>0.10000002337619804</v>
      </c>
      <c r="I657" s="14">
        <f t="shared" si="97"/>
        <v>17.403366871910748</v>
      </c>
      <c r="J657" s="19">
        <f t="shared" si="98"/>
        <v>1002729.5545164756</v>
      </c>
      <c r="K657" s="16">
        <f t="shared" si="99"/>
        <v>0.99873461605226654</v>
      </c>
    </row>
    <row r="658" spans="1:11" x14ac:dyDescent="0.15">
      <c r="A658" s="7">
        <v>39235.491851851853</v>
      </c>
      <c r="B658">
        <v>40.1</v>
      </c>
      <c r="C658" s="6">
        <f t="shared" ref="C658:C709" si="100">(A658-$B$4)*24*60*60</f>
        <v>1276.0000003036112</v>
      </c>
      <c r="D658" t="str">
        <f t="shared" ref="D658:D709" si="101">IF(F658=$B$8,A658,"")</f>
        <v/>
      </c>
      <c r="E658">
        <f t="shared" ref="E658:E709" si="102">IF(B658-$B$6&gt;0,A658," ")</f>
        <v>39235.491851851853</v>
      </c>
      <c r="F658" s="4">
        <f t="shared" ref="F658:F709" si="103">IF((B658-$B$6)&gt;0,B658-$B$6,0)</f>
        <v>0.20000000000000284</v>
      </c>
      <c r="G658" s="4">
        <f t="shared" ref="G658:G709" si="104">F658/2</f>
        <v>0.10000000000000142</v>
      </c>
      <c r="H658" s="5">
        <f t="shared" ref="H658:H709" si="105">AVERAGE(G657:G658)*(C658-C657)</f>
        <v>0.19999998388812229</v>
      </c>
      <c r="I658" s="14">
        <f t="shared" ref="I658:I709" si="106">H658*$B$14</f>
        <v>34.806722803323858</v>
      </c>
      <c r="J658" s="19">
        <f t="shared" ref="J658:J709" si="107">J657+I658</f>
        <v>1002764.3612392789</v>
      </c>
      <c r="K658" s="16">
        <f t="shared" ref="K658:K709" si="108">IF(J658=" ","-",J658/($B$12*1000))</f>
        <v>0.99876928410286747</v>
      </c>
    </row>
    <row r="659" spans="1:11" x14ac:dyDescent="0.15">
      <c r="A659" s="7">
        <v>39235.491875</v>
      </c>
      <c r="B659">
        <v>40.1</v>
      </c>
      <c r="C659" s="6">
        <f t="shared" si="100"/>
        <v>1278.0000001424924</v>
      </c>
      <c r="D659" t="str">
        <f t="shared" si="101"/>
        <v/>
      </c>
      <c r="E659">
        <f t="shared" si="102"/>
        <v>39235.491875</v>
      </c>
      <c r="F659" s="4">
        <f t="shared" si="103"/>
        <v>0.20000000000000284</v>
      </c>
      <c r="G659" s="4">
        <f t="shared" si="104"/>
        <v>0.10000000000000142</v>
      </c>
      <c r="H659" s="5">
        <f t="shared" si="105"/>
        <v>0.19999998388812229</v>
      </c>
      <c r="I659" s="14">
        <f t="shared" si="106"/>
        <v>34.806722803323858</v>
      </c>
      <c r="J659" s="19">
        <f t="shared" si="107"/>
        <v>1002799.1679620822</v>
      </c>
      <c r="K659" s="16">
        <f t="shared" si="108"/>
        <v>0.99880395215346829</v>
      </c>
    </row>
    <row r="660" spans="1:11" x14ac:dyDescent="0.15">
      <c r="A660" s="7">
        <v>39235.491898148146</v>
      </c>
      <c r="B660">
        <v>40.1</v>
      </c>
      <c r="C660" s="6">
        <f t="shared" si="100"/>
        <v>1279.9999999813735</v>
      </c>
      <c r="D660" t="str">
        <f t="shared" si="101"/>
        <v/>
      </c>
      <c r="E660">
        <f t="shared" si="102"/>
        <v>39235.491898148146</v>
      </c>
      <c r="F660" s="4">
        <f t="shared" si="103"/>
        <v>0.20000000000000284</v>
      </c>
      <c r="G660" s="4">
        <f t="shared" si="104"/>
        <v>0.10000000000000142</v>
      </c>
      <c r="H660" s="5">
        <f t="shared" si="105"/>
        <v>0.19999998388812229</v>
      </c>
      <c r="I660" s="14">
        <f t="shared" si="106"/>
        <v>34.806722803323858</v>
      </c>
      <c r="J660" s="19">
        <f t="shared" si="107"/>
        <v>1002833.9746848855</v>
      </c>
      <c r="K660" s="16">
        <f t="shared" si="108"/>
        <v>0.99883862020406922</v>
      </c>
    </row>
    <row r="661" spans="1:11" x14ac:dyDescent="0.15">
      <c r="A661" s="7">
        <v>39235.4919212963</v>
      </c>
      <c r="B661">
        <v>39.9</v>
      </c>
      <c r="C661" s="6">
        <f t="shared" si="100"/>
        <v>1282.0000004488975</v>
      </c>
      <c r="D661" t="str">
        <f t="shared" si="101"/>
        <v/>
      </c>
      <c r="E661" t="str">
        <f t="shared" si="102"/>
        <v xml:space="preserve"> </v>
      </c>
      <c r="F661" s="4">
        <f t="shared" si="103"/>
        <v>0</v>
      </c>
      <c r="G661" s="4">
        <f t="shared" si="104"/>
        <v>0</v>
      </c>
      <c r="H661" s="5">
        <f t="shared" si="105"/>
        <v>0.10000002337619804</v>
      </c>
      <c r="I661" s="14">
        <f t="shared" si="106"/>
        <v>17.403366871910748</v>
      </c>
      <c r="J661" s="19">
        <f t="shared" si="107"/>
        <v>1002851.3780517573</v>
      </c>
      <c r="K661" s="16">
        <f t="shared" si="108"/>
        <v>0.9988559542348181</v>
      </c>
    </row>
    <row r="662" spans="1:11" x14ac:dyDescent="0.15">
      <c r="A662" s="7">
        <v>39235.491944444446</v>
      </c>
      <c r="B662">
        <v>39.9</v>
      </c>
      <c r="C662" s="6">
        <f t="shared" si="100"/>
        <v>1284.0000002877787</v>
      </c>
      <c r="D662" t="str">
        <f t="shared" si="101"/>
        <v/>
      </c>
      <c r="E662" t="str">
        <f t="shared" si="102"/>
        <v xml:space="preserve"> </v>
      </c>
      <c r="F662" s="4">
        <f t="shared" si="103"/>
        <v>0</v>
      </c>
      <c r="G662" s="4">
        <f t="shared" si="104"/>
        <v>0</v>
      </c>
      <c r="H662" s="5">
        <f t="shared" si="105"/>
        <v>0</v>
      </c>
      <c r="I662" s="14">
        <f t="shared" si="106"/>
        <v>0</v>
      </c>
      <c r="J662" s="19">
        <f t="shared" si="107"/>
        <v>1002851.3780517573</v>
      </c>
      <c r="K662" s="16">
        <f t="shared" si="108"/>
        <v>0.9988559542348181</v>
      </c>
    </row>
    <row r="663" spans="1:11" x14ac:dyDescent="0.15">
      <c r="A663" s="7">
        <v>39235.491967592592</v>
      </c>
      <c r="B663">
        <v>40.1</v>
      </c>
      <c r="C663" s="6">
        <f t="shared" si="100"/>
        <v>1286.0000001266599</v>
      </c>
      <c r="D663" t="str">
        <f t="shared" si="101"/>
        <v/>
      </c>
      <c r="E663">
        <f t="shared" si="102"/>
        <v>39235.491967592592</v>
      </c>
      <c r="F663" s="4">
        <f t="shared" si="103"/>
        <v>0.20000000000000284</v>
      </c>
      <c r="G663" s="4">
        <f t="shared" si="104"/>
        <v>0.10000000000000142</v>
      </c>
      <c r="H663" s="5">
        <f t="shared" si="105"/>
        <v>9.9999991944061145E-2</v>
      </c>
      <c r="I663" s="14">
        <f t="shared" si="106"/>
        <v>17.403361401661929</v>
      </c>
      <c r="J663" s="19">
        <f t="shared" si="107"/>
        <v>1002868.781413159</v>
      </c>
      <c r="K663" s="16">
        <f t="shared" si="108"/>
        <v>0.99887328826011856</v>
      </c>
    </row>
    <row r="664" spans="1:11" x14ac:dyDescent="0.15">
      <c r="A664" s="7">
        <v>39235.491990740738</v>
      </c>
      <c r="B664">
        <v>40.1</v>
      </c>
      <c r="C664" s="6">
        <f t="shared" si="100"/>
        <v>1287.9999999655411</v>
      </c>
      <c r="D664" t="str">
        <f t="shared" si="101"/>
        <v/>
      </c>
      <c r="E664">
        <f t="shared" si="102"/>
        <v>39235.491990740738</v>
      </c>
      <c r="F664" s="4">
        <f t="shared" si="103"/>
        <v>0.20000000000000284</v>
      </c>
      <c r="G664" s="4">
        <f t="shared" si="104"/>
        <v>0.10000000000000142</v>
      </c>
      <c r="H664" s="5">
        <f t="shared" si="105"/>
        <v>0.19999998388812229</v>
      </c>
      <c r="I664" s="14">
        <f t="shared" si="106"/>
        <v>34.806722803323858</v>
      </c>
      <c r="J664" s="19">
        <f t="shared" si="107"/>
        <v>1002903.5881359623</v>
      </c>
      <c r="K664" s="16">
        <f t="shared" si="108"/>
        <v>0.99890795631071938</v>
      </c>
    </row>
    <row r="665" spans="1:11" x14ac:dyDescent="0.15">
      <c r="A665" s="7">
        <v>39235.492013888892</v>
      </c>
      <c r="B665">
        <v>40.1</v>
      </c>
      <c r="C665" s="6">
        <f t="shared" si="100"/>
        <v>1290.000000433065</v>
      </c>
      <c r="D665" t="str">
        <f t="shared" si="101"/>
        <v/>
      </c>
      <c r="E665">
        <f t="shared" si="102"/>
        <v>39235.492013888892</v>
      </c>
      <c r="F665" s="4">
        <f t="shared" si="103"/>
        <v>0.20000000000000284</v>
      </c>
      <c r="G665" s="4">
        <f t="shared" si="104"/>
        <v>0.10000000000000142</v>
      </c>
      <c r="H665" s="5">
        <f t="shared" si="105"/>
        <v>0.20000004675239608</v>
      </c>
      <c r="I665" s="14">
        <f t="shared" si="106"/>
        <v>34.806733743821496</v>
      </c>
      <c r="J665" s="19">
        <f t="shared" si="107"/>
        <v>1002938.3948697061</v>
      </c>
      <c r="K665" s="16">
        <f t="shared" si="108"/>
        <v>0.99894262437221726</v>
      </c>
    </row>
    <row r="666" spans="1:11" x14ac:dyDescent="0.15">
      <c r="A666" s="7">
        <v>39235.492037037038</v>
      </c>
      <c r="B666">
        <v>40.1</v>
      </c>
      <c r="C666" s="6">
        <f t="shared" si="100"/>
        <v>1292.0000002719462</v>
      </c>
      <c r="D666" t="str">
        <f t="shared" si="101"/>
        <v/>
      </c>
      <c r="E666">
        <f t="shared" si="102"/>
        <v>39235.492037037038</v>
      </c>
      <c r="F666" s="4">
        <f t="shared" si="103"/>
        <v>0.20000000000000284</v>
      </c>
      <c r="G666" s="4">
        <f t="shared" si="104"/>
        <v>0.10000000000000142</v>
      </c>
      <c r="H666" s="5">
        <f t="shared" si="105"/>
        <v>0.19999998388812229</v>
      </c>
      <c r="I666" s="14">
        <f t="shared" si="106"/>
        <v>34.806722803323858</v>
      </c>
      <c r="J666" s="19">
        <f t="shared" si="107"/>
        <v>1002973.2015925094</v>
      </c>
      <c r="K666" s="16">
        <f t="shared" si="108"/>
        <v>0.99897729242281808</v>
      </c>
    </row>
    <row r="667" spans="1:11" x14ac:dyDescent="0.15">
      <c r="A667" s="7">
        <v>39235.492060185185</v>
      </c>
      <c r="B667">
        <v>39.9</v>
      </c>
      <c r="C667" s="6">
        <f t="shared" si="100"/>
        <v>1294.0000001108274</v>
      </c>
      <c r="D667" t="str">
        <f t="shared" si="101"/>
        <v/>
      </c>
      <c r="E667" t="str">
        <f t="shared" si="102"/>
        <v xml:space="preserve"> </v>
      </c>
      <c r="F667" s="4">
        <f t="shared" si="103"/>
        <v>0</v>
      </c>
      <c r="G667" s="4">
        <f t="shared" si="104"/>
        <v>0</v>
      </c>
      <c r="H667" s="5">
        <f t="shared" si="105"/>
        <v>9.9999991944061145E-2</v>
      </c>
      <c r="I667" s="14">
        <f t="shared" si="106"/>
        <v>17.403361401661929</v>
      </c>
      <c r="J667" s="19">
        <f t="shared" si="107"/>
        <v>1002990.604953911</v>
      </c>
      <c r="K667" s="16">
        <f t="shared" si="108"/>
        <v>0.99899462644811854</v>
      </c>
    </row>
    <row r="668" spans="1:11" x14ac:dyDescent="0.15">
      <c r="A668" s="7">
        <v>39235.492083333331</v>
      </c>
      <c r="B668">
        <v>40.1</v>
      </c>
      <c r="C668" s="6">
        <f t="shared" si="100"/>
        <v>1295.9999999497086</v>
      </c>
      <c r="D668" t="str">
        <f t="shared" si="101"/>
        <v/>
      </c>
      <c r="E668">
        <f t="shared" si="102"/>
        <v>39235.492083333331</v>
      </c>
      <c r="F668" s="4">
        <f t="shared" si="103"/>
        <v>0.20000000000000284</v>
      </c>
      <c r="G668" s="4">
        <f t="shared" si="104"/>
        <v>0.10000000000000142</v>
      </c>
      <c r="H668" s="5">
        <f t="shared" si="105"/>
        <v>9.9999991944061145E-2</v>
      </c>
      <c r="I668" s="14">
        <f t="shared" si="106"/>
        <v>17.403361401661929</v>
      </c>
      <c r="J668" s="19">
        <f t="shared" si="107"/>
        <v>1003008.0083153127</v>
      </c>
      <c r="K668" s="16">
        <f t="shared" si="108"/>
        <v>0.999011960473419</v>
      </c>
    </row>
    <row r="669" spans="1:11" x14ac:dyDescent="0.15">
      <c r="A669" s="7">
        <v>39235.492106481484</v>
      </c>
      <c r="B669">
        <v>40.1</v>
      </c>
      <c r="C669" s="6">
        <f t="shared" si="100"/>
        <v>1298.0000004172325</v>
      </c>
      <c r="D669" t="str">
        <f t="shared" si="101"/>
        <v/>
      </c>
      <c r="E669">
        <f t="shared" si="102"/>
        <v>39235.492106481484</v>
      </c>
      <c r="F669" s="4">
        <f t="shared" si="103"/>
        <v>0.20000000000000284</v>
      </c>
      <c r="G669" s="4">
        <f t="shared" si="104"/>
        <v>0.10000000000000142</v>
      </c>
      <c r="H669" s="5">
        <f t="shared" si="105"/>
        <v>0.20000004675239608</v>
      </c>
      <c r="I669" s="14">
        <f t="shared" si="106"/>
        <v>34.806733743821496</v>
      </c>
      <c r="J669" s="19">
        <f t="shared" si="107"/>
        <v>1003042.8150490565</v>
      </c>
      <c r="K669" s="16">
        <f t="shared" si="108"/>
        <v>0.99904662853491688</v>
      </c>
    </row>
    <row r="670" spans="1:11" x14ac:dyDescent="0.15">
      <c r="A670" s="7">
        <v>39235.492129629631</v>
      </c>
      <c r="B670">
        <v>39.9</v>
      </c>
      <c r="C670" s="6">
        <f t="shared" si="100"/>
        <v>1300.0000002561137</v>
      </c>
      <c r="D670" t="str">
        <f t="shared" si="101"/>
        <v/>
      </c>
      <c r="E670" t="str">
        <f t="shared" si="102"/>
        <v xml:space="preserve"> </v>
      </c>
      <c r="F670" s="4">
        <f t="shared" si="103"/>
        <v>0</v>
      </c>
      <c r="G670" s="4">
        <f t="shared" si="104"/>
        <v>0</v>
      </c>
      <c r="H670" s="5">
        <f t="shared" si="105"/>
        <v>9.9999991944061145E-2</v>
      </c>
      <c r="I670" s="14">
        <f t="shared" si="106"/>
        <v>17.403361401661929</v>
      </c>
      <c r="J670" s="19">
        <f t="shared" si="107"/>
        <v>1003060.2184104582</v>
      </c>
      <c r="K670" s="16">
        <f t="shared" si="108"/>
        <v>0.99906396256021734</v>
      </c>
    </row>
    <row r="671" spans="1:11" x14ac:dyDescent="0.15">
      <c r="A671" s="7">
        <v>39235.492152777777</v>
      </c>
      <c r="B671">
        <v>40.1</v>
      </c>
      <c r="C671" s="6">
        <f t="shared" si="100"/>
        <v>1302.0000000949949</v>
      </c>
      <c r="D671" t="str">
        <f t="shared" si="101"/>
        <v/>
      </c>
      <c r="E671">
        <f t="shared" si="102"/>
        <v>39235.492152777777</v>
      </c>
      <c r="F671" s="4">
        <f t="shared" si="103"/>
        <v>0.20000000000000284</v>
      </c>
      <c r="G671" s="4">
        <f t="shared" si="104"/>
        <v>0.10000000000000142</v>
      </c>
      <c r="H671" s="5">
        <f t="shared" si="105"/>
        <v>9.9999991944061145E-2</v>
      </c>
      <c r="I671" s="14">
        <f t="shared" si="106"/>
        <v>17.403361401661929</v>
      </c>
      <c r="J671" s="19">
        <f t="shared" si="107"/>
        <v>1003077.6217718598</v>
      </c>
      <c r="K671" s="16">
        <f t="shared" si="108"/>
        <v>0.9990812965855177</v>
      </c>
    </row>
    <row r="672" spans="1:11" x14ac:dyDescent="0.15">
      <c r="A672" s="7">
        <v>39235.492175925923</v>
      </c>
      <c r="B672">
        <v>40.1</v>
      </c>
      <c r="C672" s="6">
        <f t="shared" si="100"/>
        <v>1303.9999999338761</v>
      </c>
      <c r="D672" t="str">
        <f t="shared" si="101"/>
        <v/>
      </c>
      <c r="E672">
        <f t="shared" si="102"/>
        <v>39235.492175925923</v>
      </c>
      <c r="F672" s="4">
        <f t="shared" si="103"/>
        <v>0.20000000000000284</v>
      </c>
      <c r="G672" s="4">
        <f t="shared" si="104"/>
        <v>0.10000000000000142</v>
      </c>
      <c r="H672" s="5">
        <f t="shared" si="105"/>
        <v>0.19999998388812229</v>
      </c>
      <c r="I672" s="14">
        <f t="shared" si="106"/>
        <v>34.806722803323858</v>
      </c>
      <c r="J672" s="19">
        <f t="shared" si="107"/>
        <v>1003112.4284946631</v>
      </c>
      <c r="K672" s="16">
        <f t="shared" si="108"/>
        <v>0.99911596463611863</v>
      </c>
    </row>
    <row r="673" spans="1:11" x14ac:dyDescent="0.15">
      <c r="A673" s="7">
        <v>39235.492199074077</v>
      </c>
      <c r="B673">
        <v>40.1</v>
      </c>
      <c r="C673" s="6">
        <f t="shared" si="100"/>
        <v>1306.0000004014</v>
      </c>
      <c r="D673" t="str">
        <f t="shared" si="101"/>
        <v/>
      </c>
      <c r="E673">
        <f t="shared" si="102"/>
        <v>39235.492199074077</v>
      </c>
      <c r="F673" s="4">
        <f t="shared" si="103"/>
        <v>0.20000000000000284</v>
      </c>
      <c r="G673" s="4">
        <f t="shared" si="104"/>
        <v>0.10000000000000142</v>
      </c>
      <c r="H673" s="5">
        <f t="shared" si="105"/>
        <v>0.20000004675239608</v>
      </c>
      <c r="I673" s="14">
        <f t="shared" si="106"/>
        <v>34.806733743821496</v>
      </c>
      <c r="J673" s="19">
        <f t="shared" si="107"/>
        <v>1003147.235228407</v>
      </c>
      <c r="K673" s="16">
        <f t="shared" si="108"/>
        <v>0.9991506326976165</v>
      </c>
    </row>
    <row r="674" spans="1:11" x14ac:dyDescent="0.15">
      <c r="A674" s="7">
        <v>39235.492222222223</v>
      </c>
      <c r="B674">
        <v>40.1</v>
      </c>
      <c r="C674" s="6">
        <f t="shared" si="100"/>
        <v>1308.0000002402812</v>
      </c>
      <c r="D674" t="str">
        <f t="shared" si="101"/>
        <v/>
      </c>
      <c r="E674">
        <f t="shared" si="102"/>
        <v>39235.492222222223</v>
      </c>
      <c r="F674" s="4">
        <f t="shared" si="103"/>
        <v>0.20000000000000284</v>
      </c>
      <c r="G674" s="4">
        <f t="shared" si="104"/>
        <v>0.10000000000000142</v>
      </c>
      <c r="H674" s="5">
        <f t="shared" si="105"/>
        <v>0.19999998388812229</v>
      </c>
      <c r="I674" s="14">
        <f t="shared" si="106"/>
        <v>34.806722803323858</v>
      </c>
      <c r="J674" s="19">
        <f t="shared" si="107"/>
        <v>1003182.0419512102</v>
      </c>
      <c r="K674" s="16">
        <f t="shared" si="108"/>
        <v>0.99918530074821732</v>
      </c>
    </row>
    <row r="675" spans="1:11" x14ac:dyDescent="0.15">
      <c r="A675" s="7">
        <v>39235.492245370369</v>
      </c>
      <c r="B675">
        <v>40.1</v>
      </c>
      <c r="C675" s="6">
        <f t="shared" si="100"/>
        <v>1310.0000000791624</v>
      </c>
      <c r="D675" t="str">
        <f t="shared" si="101"/>
        <v/>
      </c>
      <c r="E675">
        <f t="shared" si="102"/>
        <v>39235.492245370369</v>
      </c>
      <c r="F675" s="4">
        <f t="shared" si="103"/>
        <v>0.20000000000000284</v>
      </c>
      <c r="G675" s="4">
        <f t="shared" si="104"/>
        <v>0.10000000000000142</v>
      </c>
      <c r="H675" s="5">
        <f t="shared" si="105"/>
        <v>0.19999998388812229</v>
      </c>
      <c r="I675" s="14">
        <f t="shared" si="106"/>
        <v>34.806722803323858</v>
      </c>
      <c r="J675" s="19">
        <f t="shared" si="107"/>
        <v>1003216.8486740135</v>
      </c>
      <c r="K675" s="16">
        <f t="shared" si="108"/>
        <v>0.99921996879881825</v>
      </c>
    </row>
    <row r="676" spans="1:11" x14ac:dyDescent="0.15">
      <c r="A676" s="7">
        <v>39235.492268518516</v>
      </c>
      <c r="B676">
        <v>40.1</v>
      </c>
      <c r="C676" s="6">
        <f t="shared" si="100"/>
        <v>1311.9999999180436</v>
      </c>
      <c r="D676" t="str">
        <f t="shared" si="101"/>
        <v/>
      </c>
      <c r="E676">
        <f t="shared" si="102"/>
        <v>39235.492268518516</v>
      </c>
      <c r="F676" s="4">
        <f t="shared" si="103"/>
        <v>0.20000000000000284</v>
      </c>
      <c r="G676" s="4">
        <f t="shared" si="104"/>
        <v>0.10000000000000142</v>
      </c>
      <c r="H676" s="5">
        <f t="shared" si="105"/>
        <v>0.19999998388812229</v>
      </c>
      <c r="I676" s="14">
        <f t="shared" si="106"/>
        <v>34.806722803323858</v>
      </c>
      <c r="J676" s="19">
        <f t="shared" si="107"/>
        <v>1003251.6553968168</v>
      </c>
      <c r="K676" s="16">
        <f t="shared" si="108"/>
        <v>0.99925463684941906</v>
      </c>
    </row>
    <row r="677" spans="1:11" x14ac:dyDescent="0.15">
      <c r="A677" s="7">
        <v>39235.492291666669</v>
      </c>
      <c r="B677">
        <v>40.1</v>
      </c>
      <c r="C677" s="6">
        <f t="shared" si="100"/>
        <v>1314.0000003855675</v>
      </c>
      <c r="D677" t="str">
        <f t="shared" si="101"/>
        <v/>
      </c>
      <c r="E677">
        <f t="shared" si="102"/>
        <v>39235.492291666669</v>
      </c>
      <c r="F677" s="4">
        <f t="shared" si="103"/>
        <v>0.20000000000000284</v>
      </c>
      <c r="G677" s="4">
        <f t="shared" si="104"/>
        <v>0.10000000000000142</v>
      </c>
      <c r="H677" s="5">
        <f t="shared" si="105"/>
        <v>0.20000004675239608</v>
      </c>
      <c r="I677" s="14">
        <f t="shared" si="106"/>
        <v>34.806733743821496</v>
      </c>
      <c r="J677" s="19">
        <f t="shared" si="107"/>
        <v>1003286.4621305607</v>
      </c>
      <c r="K677" s="16">
        <f t="shared" si="108"/>
        <v>0.99928930491091694</v>
      </c>
    </row>
    <row r="678" spans="1:11" x14ac:dyDescent="0.15">
      <c r="A678" s="7">
        <v>39235.492314814815</v>
      </c>
      <c r="B678">
        <v>39.9</v>
      </c>
      <c r="C678" s="6">
        <f t="shared" si="100"/>
        <v>1316.0000002244487</v>
      </c>
      <c r="D678" t="str">
        <f t="shared" si="101"/>
        <v/>
      </c>
      <c r="E678" t="str">
        <f t="shared" si="102"/>
        <v xml:space="preserve"> </v>
      </c>
      <c r="F678" s="4">
        <f t="shared" si="103"/>
        <v>0</v>
      </c>
      <c r="G678" s="4">
        <f t="shared" si="104"/>
        <v>0</v>
      </c>
      <c r="H678" s="5">
        <f t="shared" si="105"/>
        <v>9.9999991944061145E-2</v>
      </c>
      <c r="I678" s="14">
        <f t="shared" si="106"/>
        <v>17.403361401661929</v>
      </c>
      <c r="J678" s="19">
        <f t="shared" si="107"/>
        <v>1003303.8654919623</v>
      </c>
      <c r="K678" s="16">
        <f t="shared" si="108"/>
        <v>0.99930663893621741</v>
      </c>
    </row>
    <row r="679" spans="1:11" x14ac:dyDescent="0.15">
      <c r="A679" s="7">
        <v>39235.492337962962</v>
      </c>
      <c r="B679">
        <v>39.9</v>
      </c>
      <c r="C679" s="6">
        <f t="shared" si="100"/>
        <v>1318.0000000633299</v>
      </c>
      <c r="D679" t="str">
        <f t="shared" si="101"/>
        <v/>
      </c>
      <c r="E679" t="str">
        <f t="shared" si="102"/>
        <v xml:space="preserve"> </v>
      </c>
      <c r="F679" s="4">
        <f t="shared" si="103"/>
        <v>0</v>
      </c>
      <c r="G679" s="4">
        <f t="shared" si="104"/>
        <v>0</v>
      </c>
      <c r="H679" s="5">
        <f t="shared" si="105"/>
        <v>0</v>
      </c>
      <c r="I679" s="14">
        <f t="shared" si="106"/>
        <v>0</v>
      </c>
      <c r="J679" s="19">
        <f t="shared" si="107"/>
        <v>1003303.8654919623</v>
      </c>
      <c r="K679" s="16">
        <f t="shared" si="108"/>
        <v>0.99930663893621741</v>
      </c>
    </row>
    <row r="680" spans="1:11" x14ac:dyDescent="0.15">
      <c r="A680" s="7">
        <v>39235.492361111108</v>
      </c>
      <c r="B680">
        <v>40.1</v>
      </c>
      <c r="C680" s="6">
        <f t="shared" si="100"/>
        <v>1319.9999999022111</v>
      </c>
      <c r="D680" t="str">
        <f t="shared" si="101"/>
        <v/>
      </c>
      <c r="E680">
        <f t="shared" si="102"/>
        <v>39235.492361111108</v>
      </c>
      <c r="F680" s="4">
        <f t="shared" si="103"/>
        <v>0.20000000000000284</v>
      </c>
      <c r="G680" s="4">
        <f t="shared" si="104"/>
        <v>0.10000000000000142</v>
      </c>
      <c r="H680" s="5">
        <f t="shared" si="105"/>
        <v>9.9999991944061145E-2</v>
      </c>
      <c r="I680" s="14">
        <f t="shared" si="106"/>
        <v>17.403361401661929</v>
      </c>
      <c r="J680" s="19">
        <f t="shared" si="107"/>
        <v>1003321.2688533639</v>
      </c>
      <c r="K680" s="16">
        <f t="shared" si="108"/>
        <v>0.99932397296151787</v>
      </c>
    </row>
    <row r="681" spans="1:11" x14ac:dyDescent="0.15">
      <c r="A681" s="7">
        <v>39235.492384259262</v>
      </c>
      <c r="B681">
        <v>40.1</v>
      </c>
      <c r="C681" s="6">
        <f t="shared" si="100"/>
        <v>1322.0000003697351</v>
      </c>
      <c r="D681" t="str">
        <f t="shared" si="101"/>
        <v/>
      </c>
      <c r="E681">
        <f t="shared" si="102"/>
        <v>39235.492384259262</v>
      </c>
      <c r="F681" s="4">
        <f t="shared" si="103"/>
        <v>0.20000000000000284</v>
      </c>
      <c r="G681" s="4">
        <f t="shared" si="104"/>
        <v>0.10000000000000142</v>
      </c>
      <c r="H681" s="5">
        <f t="shared" si="105"/>
        <v>0.20000004675239608</v>
      </c>
      <c r="I681" s="14">
        <f t="shared" si="106"/>
        <v>34.806733743821496</v>
      </c>
      <c r="J681" s="19">
        <f t="shared" si="107"/>
        <v>1003356.0755871078</v>
      </c>
      <c r="K681" s="16">
        <f t="shared" si="108"/>
        <v>0.99935864102301575</v>
      </c>
    </row>
    <row r="682" spans="1:11" x14ac:dyDescent="0.15">
      <c r="A682" s="7">
        <v>39235.492407407408</v>
      </c>
      <c r="B682">
        <v>40.1</v>
      </c>
      <c r="C682" s="6">
        <f t="shared" si="100"/>
        <v>1324.0000002086163</v>
      </c>
      <c r="D682" t="str">
        <f t="shared" si="101"/>
        <v/>
      </c>
      <c r="E682">
        <f t="shared" si="102"/>
        <v>39235.492407407408</v>
      </c>
      <c r="F682" s="4">
        <f t="shared" si="103"/>
        <v>0.20000000000000284</v>
      </c>
      <c r="G682" s="4">
        <f t="shared" si="104"/>
        <v>0.10000000000000142</v>
      </c>
      <c r="H682" s="5">
        <f t="shared" si="105"/>
        <v>0.19999998388812229</v>
      </c>
      <c r="I682" s="14">
        <f t="shared" si="106"/>
        <v>34.806722803323858</v>
      </c>
      <c r="J682" s="19">
        <f t="shared" si="107"/>
        <v>1003390.8823099111</v>
      </c>
      <c r="K682" s="16">
        <f t="shared" si="108"/>
        <v>0.99939330907361656</v>
      </c>
    </row>
    <row r="683" spans="1:11" x14ac:dyDescent="0.15">
      <c r="A683" s="7">
        <v>39235.492430555554</v>
      </c>
      <c r="B683">
        <v>39.9</v>
      </c>
      <c r="C683" s="6">
        <f t="shared" si="100"/>
        <v>1326.0000000474975</v>
      </c>
      <c r="D683" t="str">
        <f t="shared" si="101"/>
        <v/>
      </c>
      <c r="E683" t="str">
        <f t="shared" si="102"/>
        <v xml:space="preserve"> </v>
      </c>
      <c r="F683" s="4">
        <f t="shared" si="103"/>
        <v>0</v>
      </c>
      <c r="G683" s="4">
        <f t="shared" si="104"/>
        <v>0</v>
      </c>
      <c r="H683" s="5">
        <f t="shared" si="105"/>
        <v>9.9999991944061145E-2</v>
      </c>
      <c r="I683" s="14">
        <f t="shared" si="106"/>
        <v>17.403361401661929</v>
      </c>
      <c r="J683" s="19">
        <f t="shared" si="107"/>
        <v>1003408.2856713127</v>
      </c>
      <c r="K683" s="16">
        <f t="shared" si="108"/>
        <v>0.99941064309891703</v>
      </c>
    </row>
    <row r="684" spans="1:11" x14ac:dyDescent="0.15">
      <c r="A684" s="7">
        <v>39235.4924537037</v>
      </c>
      <c r="B684">
        <v>39.9</v>
      </c>
      <c r="C684" s="6">
        <f t="shared" si="100"/>
        <v>1327.9999998863786</v>
      </c>
      <c r="D684" t="str">
        <f t="shared" si="101"/>
        <v/>
      </c>
      <c r="E684" t="str">
        <f t="shared" si="102"/>
        <v xml:space="preserve"> </v>
      </c>
      <c r="F684" s="4">
        <f t="shared" si="103"/>
        <v>0</v>
      </c>
      <c r="G684" s="4">
        <f t="shared" si="104"/>
        <v>0</v>
      </c>
      <c r="H684" s="5">
        <f t="shared" si="105"/>
        <v>0</v>
      </c>
      <c r="I684" s="14">
        <f t="shared" si="106"/>
        <v>0</v>
      </c>
      <c r="J684" s="19">
        <f t="shared" si="107"/>
        <v>1003408.2856713127</v>
      </c>
      <c r="K684" s="16">
        <f t="shared" si="108"/>
        <v>0.99941064309891703</v>
      </c>
    </row>
    <row r="685" spans="1:11" x14ac:dyDescent="0.15">
      <c r="A685" s="7">
        <v>39235.492476851854</v>
      </c>
      <c r="B685">
        <v>40.1</v>
      </c>
      <c r="C685" s="6">
        <f t="shared" si="100"/>
        <v>1330.0000003539026</v>
      </c>
      <c r="D685" t="str">
        <f t="shared" si="101"/>
        <v/>
      </c>
      <c r="E685">
        <f t="shared" si="102"/>
        <v>39235.492476851854</v>
      </c>
      <c r="F685" s="4">
        <f t="shared" si="103"/>
        <v>0.20000000000000284</v>
      </c>
      <c r="G685" s="4">
        <f t="shared" si="104"/>
        <v>0.10000000000000142</v>
      </c>
      <c r="H685" s="5">
        <f t="shared" si="105"/>
        <v>0.10000002337619804</v>
      </c>
      <c r="I685" s="14">
        <f t="shared" si="106"/>
        <v>17.403366871910748</v>
      </c>
      <c r="J685" s="19">
        <f t="shared" si="107"/>
        <v>1003425.6890381846</v>
      </c>
      <c r="K685" s="16">
        <f t="shared" si="108"/>
        <v>0.99942797712966591</v>
      </c>
    </row>
    <row r="686" spans="1:11" x14ac:dyDescent="0.15">
      <c r="A686" s="7">
        <v>39235.4925</v>
      </c>
      <c r="B686">
        <v>40.1</v>
      </c>
      <c r="C686" s="6">
        <f t="shared" si="100"/>
        <v>1332.0000001927838</v>
      </c>
      <c r="D686" t="str">
        <f t="shared" si="101"/>
        <v/>
      </c>
      <c r="E686">
        <f t="shared" si="102"/>
        <v>39235.4925</v>
      </c>
      <c r="F686" s="4">
        <f t="shared" si="103"/>
        <v>0.20000000000000284</v>
      </c>
      <c r="G686" s="4">
        <f t="shared" si="104"/>
        <v>0.10000000000000142</v>
      </c>
      <c r="H686" s="5">
        <f t="shared" si="105"/>
        <v>0.19999998388812229</v>
      </c>
      <c r="I686" s="14">
        <f t="shared" si="106"/>
        <v>34.806722803323858</v>
      </c>
      <c r="J686" s="19">
        <f t="shared" si="107"/>
        <v>1003460.4957609879</v>
      </c>
      <c r="K686" s="16">
        <f t="shared" si="108"/>
        <v>0.99946264518026684</v>
      </c>
    </row>
    <row r="687" spans="1:11" x14ac:dyDescent="0.15">
      <c r="A687" s="7">
        <v>39235.492523148147</v>
      </c>
      <c r="B687">
        <v>40.1</v>
      </c>
      <c r="C687" s="6">
        <f t="shared" si="100"/>
        <v>1334.000000031665</v>
      </c>
      <c r="D687" t="str">
        <f t="shared" si="101"/>
        <v/>
      </c>
      <c r="E687">
        <f t="shared" si="102"/>
        <v>39235.492523148147</v>
      </c>
      <c r="F687" s="4">
        <f t="shared" si="103"/>
        <v>0.20000000000000284</v>
      </c>
      <c r="G687" s="4">
        <f t="shared" si="104"/>
        <v>0.10000000000000142</v>
      </c>
      <c r="H687" s="5">
        <f t="shared" si="105"/>
        <v>0.19999998388812229</v>
      </c>
      <c r="I687" s="14">
        <f t="shared" si="106"/>
        <v>34.806722803323858</v>
      </c>
      <c r="J687" s="19">
        <f t="shared" si="107"/>
        <v>1003495.3024837911</v>
      </c>
      <c r="K687" s="16">
        <f t="shared" si="108"/>
        <v>0.99949731323086766</v>
      </c>
    </row>
    <row r="688" spans="1:11" x14ac:dyDescent="0.15">
      <c r="A688" s="7">
        <v>39235.492546296293</v>
      </c>
      <c r="B688">
        <v>40.1</v>
      </c>
      <c r="C688" s="6">
        <f t="shared" si="100"/>
        <v>1335.9999998705462</v>
      </c>
      <c r="D688" t="str">
        <f t="shared" si="101"/>
        <v/>
      </c>
      <c r="E688">
        <f t="shared" si="102"/>
        <v>39235.492546296293</v>
      </c>
      <c r="F688" s="4">
        <f t="shared" si="103"/>
        <v>0.20000000000000284</v>
      </c>
      <c r="G688" s="4">
        <f t="shared" si="104"/>
        <v>0.10000000000000142</v>
      </c>
      <c r="H688" s="5">
        <f t="shared" si="105"/>
        <v>0.19999998388812229</v>
      </c>
      <c r="I688" s="14">
        <f t="shared" si="106"/>
        <v>34.806722803323858</v>
      </c>
      <c r="J688" s="19">
        <f t="shared" si="107"/>
        <v>1003530.1092065944</v>
      </c>
      <c r="K688" s="16">
        <f t="shared" si="108"/>
        <v>0.99953198128146858</v>
      </c>
    </row>
    <row r="689" spans="1:11" x14ac:dyDescent="0.15">
      <c r="A689" s="7">
        <v>39235.492569444446</v>
      </c>
      <c r="B689">
        <v>40.1</v>
      </c>
      <c r="C689" s="6">
        <f t="shared" si="100"/>
        <v>1338.0000003380701</v>
      </c>
      <c r="D689" t="str">
        <f t="shared" si="101"/>
        <v/>
      </c>
      <c r="E689">
        <f t="shared" si="102"/>
        <v>39235.492569444446</v>
      </c>
      <c r="F689" s="4">
        <f t="shared" si="103"/>
        <v>0.20000000000000284</v>
      </c>
      <c r="G689" s="4">
        <f t="shared" si="104"/>
        <v>0.10000000000000142</v>
      </c>
      <c r="H689" s="5">
        <f t="shared" si="105"/>
        <v>0.20000004675239608</v>
      </c>
      <c r="I689" s="14">
        <f t="shared" si="106"/>
        <v>34.806733743821496</v>
      </c>
      <c r="J689" s="19">
        <f t="shared" si="107"/>
        <v>1003564.9159403383</v>
      </c>
      <c r="K689" s="16">
        <f t="shared" si="108"/>
        <v>0.99956664934296646</v>
      </c>
    </row>
    <row r="690" spans="1:11" x14ac:dyDescent="0.15">
      <c r="A690" s="7">
        <v>39235.492592592593</v>
      </c>
      <c r="B690">
        <v>40.1</v>
      </c>
      <c r="C690" s="6">
        <f t="shared" si="100"/>
        <v>1340.0000001769513</v>
      </c>
      <c r="D690" t="str">
        <f t="shared" si="101"/>
        <v/>
      </c>
      <c r="E690">
        <f t="shared" si="102"/>
        <v>39235.492592592593</v>
      </c>
      <c r="F690" s="4">
        <f t="shared" si="103"/>
        <v>0.20000000000000284</v>
      </c>
      <c r="G690" s="4">
        <f t="shared" si="104"/>
        <v>0.10000000000000142</v>
      </c>
      <c r="H690" s="5">
        <f t="shared" si="105"/>
        <v>0.19999998388812229</v>
      </c>
      <c r="I690" s="14">
        <f t="shared" si="106"/>
        <v>34.806722803323858</v>
      </c>
      <c r="J690" s="19">
        <f t="shared" si="107"/>
        <v>1003599.7226631416</v>
      </c>
      <c r="K690" s="16">
        <f t="shared" si="108"/>
        <v>0.99960131739356728</v>
      </c>
    </row>
    <row r="691" spans="1:11" x14ac:dyDescent="0.15">
      <c r="A691" s="7">
        <v>39235.492615740739</v>
      </c>
      <c r="B691">
        <v>40.1</v>
      </c>
      <c r="C691" s="6">
        <f t="shared" si="100"/>
        <v>1342.0000000158325</v>
      </c>
      <c r="D691" t="str">
        <f t="shared" si="101"/>
        <v/>
      </c>
      <c r="E691">
        <f t="shared" si="102"/>
        <v>39235.492615740739</v>
      </c>
      <c r="F691" s="4">
        <f t="shared" si="103"/>
        <v>0.20000000000000284</v>
      </c>
      <c r="G691" s="4">
        <f t="shared" si="104"/>
        <v>0.10000000000000142</v>
      </c>
      <c r="H691" s="5">
        <f t="shared" si="105"/>
        <v>0.19999998388812229</v>
      </c>
      <c r="I691" s="14">
        <f t="shared" si="106"/>
        <v>34.806722803323858</v>
      </c>
      <c r="J691" s="19">
        <f t="shared" si="107"/>
        <v>1003634.5293859448</v>
      </c>
      <c r="K691" s="16">
        <f t="shared" si="108"/>
        <v>0.99963598544416821</v>
      </c>
    </row>
    <row r="692" spans="1:11" x14ac:dyDescent="0.15">
      <c r="A692" s="7">
        <v>39235.492638888885</v>
      </c>
      <c r="B692">
        <v>39.9</v>
      </c>
      <c r="C692" s="6">
        <f t="shared" si="100"/>
        <v>1343.9999998547137</v>
      </c>
      <c r="D692" t="str">
        <f t="shared" si="101"/>
        <v/>
      </c>
      <c r="E692" t="str">
        <f t="shared" si="102"/>
        <v xml:space="preserve"> </v>
      </c>
      <c r="F692" s="4">
        <f t="shared" si="103"/>
        <v>0</v>
      </c>
      <c r="G692" s="4">
        <f t="shared" si="104"/>
        <v>0</v>
      </c>
      <c r="H692" s="5">
        <f t="shared" si="105"/>
        <v>9.9999991944061145E-2</v>
      </c>
      <c r="I692" s="14">
        <f t="shared" si="106"/>
        <v>17.403361401661929</v>
      </c>
      <c r="J692" s="19">
        <f t="shared" si="107"/>
        <v>1003651.9327473465</v>
      </c>
      <c r="K692" s="16">
        <f t="shared" si="108"/>
        <v>0.99965331946946856</v>
      </c>
    </row>
    <row r="693" spans="1:11" x14ac:dyDescent="0.15">
      <c r="A693" s="7">
        <v>39235.492662037039</v>
      </c>
      <c r="B693">
        <v>40.1</v>
      </c>
      <c r="C693" s="6">
        <f t="shared" si="100"/>
        <v>1346.0000003222376</v>
      </c>
      <c r="D693" t="str">
        <f t="shared" si="101"/>
        <v/>
      </c>
      <c r="E693">
        <f t="shared" si="102"/>
        <v>39235.492662037039</v>
      </c>
      <c r="F693" s="4">
        <f t="shared" si="103"/>
        <v>0.20000000000000284</v>
      </c>
      <c r="G693" s="4">
        <f t="shared" si="104"/>
        <v>0.10000000000000142</v>
      </c>
      <c r="H693" s="5">
        <f t="shared" si="105"/>
        <v>0.10000002337619804</v>
      </c>
      <c r="I693" s="14">
        <f t="shared" si="106"/>
        <v>17.403366871910748</v>
      </c>
      <c r="J693" s="19">
        <f t="shared" si="107"/>
        <v>1003669.3361142183</v>
      </c>
      <c r="K693" s="16">
        <f t="shared" si="108"/>
        <v>0.99967065350021744</v>
      </c>
    </row>
    <row r="694" spans="1:11" x14ac:dyDescent="0.15">
      <c r="A694" s="7">
        <v>39235.492685185185</v>
      </c>
      <c r="B694">
        <v>40.1</v>
      </c>
      <c r="C694" s="6">
        <f t="shared" si="100"/>
        <v>1348.0000001611188</v>
      </c>
      <c r="D694" t="str">
        <f t="shared" si="101"/>
        <v/>
      </c>
      <c r="E694">
        <f t="shared" si="102"/>
        <v>39235.492685185185</v>
      </c>
      <c r="F694" s="4">
        <f t="shared" si="103"/>
        <v>0.20000000000000284</v>
      </c>
      <c r="G694" s="4">
        <f t="shared" si="104"/>
        <v>0.10000000000000142</v>
      </c>
      <c r="H694" s="5">
        <f t="shared" si="105"/>
        <v>0.19999998388812229</v>
      </c>
      <c r="I694" s="14">
        <f t="shared" si="106"/>
        <v>34.806722803323858</v>
      </c>
      <c r="J694" s="19">
        <f t="shared" si="107"/>
        <v>1003704.1428370216</v>
      </c>
      <c r="K694" s="16">
        <f t="shared" si="108"/>
        <v>0.99970532155081837</v>
      </c>
    </row>
    <row r="695" spans="1:11" x14ac:dyDescent="0.15">
      <c r="A695" s="7">
        <v>39235.492708333331</v>
      </c>
      <c r="B695">
        <v>39.9</v>
      </c>
      <c r="C695" s="6">
        <f t="shared" si="100"/>
        <v>1350</v>
      </c>
      <c r="D695" t="str">
        <f t="shared" si="101"/>
        <v/>
      </c>
      <c r="E695" t="str">
        <f t="shared" si="102"/>
        <v xml:space="preserve"> </v>
      </c>
      <c r="F695" s="4">
        <f t="shared" si="103"/>
        <v>0</v>
      </c>
      <c r="G695" s="4">
        <f t="shared" si="104"/>
        <v>0</v>
      </c>
      <c r="H695" s="5">
        <f t="shared" si="105"/>
        <v>9.9999991944061145E-2</v>
      </c>
      <c r="I695" s="14">
        <f t="shared" si="106"/>
        <v>17.403361401661929</v>
      </c>
      <c r="J695" s="19">
        <f t="shared" si="107"/>
        <v>1003721.5461984233</v>
      </c>
      <c r="K695" s="16">
        <f t="shared" si="108"/>
        <v>0.99972265557611872</v>
      </c>
    </row>
    <row r="696" spans="1:11" x14ac:dyDescent="0.15">
      <c r="A696" s="7">
        <v>39235.492731481485</v>
      </c>
      <c r="B696">
        <v>40.1</v>
      </c>
      <c r="C696" s="6">
        <f t="shared" si="100"/>
        <v>1352.0000004675239</v>
      </c>
      <c r="D696" t="str">
        <f t="shared" si="101"/>
        <v/>
      </c>
      <c r="E696">
        <f t="shared" si="102"/>
        <v>39235.492731481485</v>
      </c>
      <c r="F696" s="4">
        <f t="shared" si="103"/>
        <v>0.20000000000000284</v>
      </c>
      <c r="G696" s="4">
        <f t="shared" si="104"/>
        <v>0.10000000000000142</v>
      </c>
      <c r="H696" s="5">
        <f t="shared" si="105"/>
        <v>0.10000002337619804</v>
      </c>
      <c r="I696" s="14">
        <f t="shared" si="106"/>
        <v>17.403366871910748</v>
      </c>
      <c r="J696" s="19">
        <f t="shared" si="107"/>
        <v>1003738.9495652951</v>
      </c>
      <c r="K696" s="16">
        <f t="shared" si="108"/>
        <v>0.99973998960686761</v>
      </c>
    </row>
    <row r="697" spans="1:11" x14ac:dyDescent="0.15">
      <c r="A697" s="7">
        <v>39235.492754629631</v>
      </c>
      <c r="B697">
        <v>40.1</v>
      </c>
      <c r="C697" s="6">
        <f t="shared" si="100"/>
        <v>1354.0000003064051</v>
      </c>
      <c r="D697" t="str">
        <f t="shared" si="101"/>
        <v/>
      </c>
      <c r="E697">
        <f t="shared" si="102"/>
        <v>39235.492754629631</v>
      </c>
      <c r="F697" s="4">
        <f t="shared" si="103"/>
        <v>0.20000000000000284</v>
      </c>
      <c r="G697" s="4">
        <f t="shared" si="104"/>
        <v>0.10000000000000142</v>
      </c>
      <c r="H697" s="5">
        <f t="shared" si="105"/>
        <v>0.19999998388812229</v>
      </c>
      <c r="I697" s="14">
        <f t="shared" si="106"/>
        <v>34.806722803323858</v>
      </c>
      <c r="J697" s="19">
        <f t="shared" si="107"/>
        <v>1003773.7562880984</v>
      </c>
      <c r="K697" s="16">
        <f t="shared" si="108"/>
        <v>0.99977465765746854</v>
      </c>
    </row>
    <row r="698" spans="1:11" x14ac:dyDescent="0.15">
      <c r="A698" s="7">
        <v>39235.492777777778</v>
      </c>
      <c r="B698">
        <v>40.1</v>
      </c>
      <c r="C698" s="6">
        <f t="shared" si="100"/>
        <v>1356.0000001452863</v>
      </c>
      <c r="D698" t="str">
        <f t="shared" si="101"/>
        <v/>
      </c>
      <c r="E698">
        <f t="shared" si="102"/>
        <v>39235.492777777778</v>
      </c>
      <c r="F698" s="4">
        <f t="shared" si="103"/>
        <v>0.20000000000000284</v>
      </c>
      <c r="G698" s="4">
        <f t="shared" si="104"/>
        <v>0.10000000000000142</v>
      </c>
      <c r="H698" s="5">
        <f t="shared" si="105"/>
        <v>0.19999998388812229</v>
      </c>
      <c r="I698" s="14">
        <f t="shared" si="106"/>
        <v>34.806722803323858</v>
      </c>
      <c r="J698" s="19">
        <f t="shared" si="107"/>
        <v>1003808.5630109017</v>
      </c>
      <c r="K698" s="16">
        <f t="shared" si="108"/>
        <v>0.99980932570806935</v>
      </c>
    </row>
    <row r="699" spans="1:11" x14ac:dyDescent="0.15">
      <c r="A699" s="7">
        <v>39235.492800925924</v>
      </c>
      <c r="B699">
        <v>40.1</v>
      </c>
      <c r="C699" s="6">
        <f t="shared" si="100"/>
        <v>1357.9999999841675</v>
      </c>
      <c r="D699" t="str">
        <f t="shared" si="101"/>
        <v/>
      </c>
      <c r="E699">
        <f t="shared" si="102"/>
        <v>39235.492800925924</v>
      </c>
      <c r="F699" s="4">
        <f t="shared" si="103"/>
        <v>0.20000000000000284</v>
      </c>
      <c r="G699" s="4">
        <f t="shared" si="104"/>
        <v>0.10000000000000142</v>
      </c>
      <c r="H699" s="5">
        <f t="shared" si="105"/>
        <v>0.19999998388812229</v>
      </c>
      <c r="I699" s="14">
        <f t="shared" si="106"/>
        <v>34.806722803323858</v>
      </c>
      <c r="J699" s="19">
        <f t="shared" si="107"/>
        <v>1003843.369733705</v>
      </c>
      <c r="K699" s="16">
        <f t="shared" si="108"/>
        <v>0.99984399375867028</v>
      </c>
    </row>
    <row r="700" spans="1:11" x14ac:dyDescent="0.15">
      <c r="A700" s="7">
        <v>39235.492824074077</v>
      </c>
      <c r="B700">
        <v>39.9</v>
      </c>
      <c r="C700" s="6">
        <f t="shared" si="100"/>
        <v>1360.0000004516914</v>
      </c>
      <c r="D700" t="str">
        <f t="shared" si="101"/>
        <v/>
      </c>
      <c r="E700" t="str">
        <f t="shared" si="102"/>
        <v xml:space="preserve"> </v>
      </c>
      <c r="F700" s="4">
        <f t="shared" si="103"/>
        <v>0</v>
      </c>
      <c r="G700" s="4">
        <f t="shared" si="104"/>
        <v>0</v>
      </c>
      <c r="H700" s="5">
        <f t="shared" si="105"/>
        <v>0.10000002337619804</v>
      </c>
      <c r="I700" s="14">
        <f t="shared" si="106"/>
        <v>17.403366871910748</v>
      </c>
      <c r="J700" s="19">
        <f t="shared" si="107"/>
        <v>1003860.7731005768</v>
      </c>
      <c r="K700" s="16">
        <f t="shared" si="108"/>
        <v>0.99986132778941916</v>
      </c>
    </row>
    <row r="701" spans="1:11" x14ac:dyDescent="0.15">
      <c r="A701" s="7">
        <v>39235.492847222224</v>
      </c>
      <c r="B701">
        <v>39.9</v>
      </c>
      <c r="C701" s="6">
        <f t="shared" si="100"/>
        <v>1362.0000002905726</v>
      </c>
      <c r="D701" t="str">
        <f t="shared" si="101"/>
        <v/>
      </c>
      <c r="E701" t="str">
        <f t="shared" si="102"/>
        <v xml:space="preserve"> </v>
      </c>
      <c r="F701" s="4">
        <f t="shared" si="103"/>
        <v>0</v>
      </c>
      <c r="G701" s="4">
        <f t="shared" si="104"/>
        <v>0</v>
      </c>
      <c r="H701" s="5">
        <f t="shared" si="105"/>
        <v>0</v>
      </c>
      <c r="I701" s="14">
        <f t="shared" si="106"/>
        <v>0</v>
      </c>
      <c r="J701" s="19">
        <f t="shared" si="107"/>
        <v>1003860.7731005768</v>
      </c>
      <c r="K701" s="16">
        <f t="shared" si="108"/>
        <v>0.99986132778941916</v>
      </c>
    </row>
    <row r="702" spans="1:11" x14ac:dyDescent="0.15">
      <c r="A702" s="7">
        <v>39235.49287037037</v>
      </c>
      <c r="B702">
        <v>40.1</v>
      </c>
      <c r="C702" s="6">
        <f t="shared" si="100"/>
        <v>1364.0000001294538</v>
      </c>
      <c r="D702" t="str">
        <f t="shared" si="101"/>
        <v/>
      </c>
      <c r="E702">
        <f t="shared" si="102"/>
        <v>39235.49287037037</v>
      </c>
      <c r="F702" s="4">
        <f t="shared" si="103"/>
        <v>0.20000000000000284</v>
      </c>
      <c r="G702" s="4">
        <f t="shared" si="104"/>
        <v>0.10000000000000142</v>
      </c>
      <c r="H702" s="5">
        <f t="shared" si="105"/>
        <v>9.9999991944061145E-2</v>
      </c>
      <c r="I702" s="14">
        <f t="shared" si="106"/>
        <v>17.403361401661929</v>
      </c>
      <c r="J702" s="19">
        <f t="shared" si="107"/>
        <v>1003878.1764619785</v>
      </c>
      <c r="K702" s="16">
        <f t="shared" si="108"/>
        <v>0.99987866181471963</v>
      </c>
    </row>
    <row r="703" spans="1:11" x14ac:dyDescent="0.15">
      <c r="A703" s="7">
        <v>39235.492893518516</v>
      </c>
      <c r="B703">
        <v>39.9</v>
      </c>
      <c r="C703" s="6">
        <f t="shared" si="100"/>
        <v>1365.999999968335</v>
      </c>
      <c r="D703" t="str">
        <f t="shared" si="101"/>
        <v/>
      </c>
      <c r="E703" t="str">
        <f t="shared" si="102"/>
        <v xml:space="preserve"> </v>
      </c>
      <c r="F703" s="4">
        <f t="shared" si="103"/>
        <v>0</v>
      </c>
      <c r="G703" s="4">
        <f t="shared" si="104"/>
        <v>0</v>
      </c>
      <c r="H703" s="5">
        <f t="shared" si="105"/>
        <v>9.9999991944061145E-2</v>
      </c>
      <c r="I703" s="14">
        <f t="shared" si="106"/>
        <v>17.403361401661929</v>
      </c>
      <c r="J703" s="19">
        <f t="shared" si="107"/>
        <v>1003895.5798233801</v>
      </c>
      <c r="K703" s="16">
        <f t="shared" si="108"/>
        <v>0.99989599584001998</v>
      </c>
    </row>
    <row r="704" spans="1:11" x14ac:dyDescent="0.15">
      <c r="A704" s="7">
        <v>39235.49291666667</v>
      </c>
      <c r="B704">
        <v>39.9</v>
      </c>
      <c r="C704" s="6">
        <f t="shared" si="100"/>
        <v>1368.000000435859</v>
      </c>
      <c r="D704" t="str">
        <f t="shared" si="101"/>
        <v/>
      </c>
      <c r="E704" t="str">
        <f t="shared" si="102"/>
        <v xml:space="preserve"> </v>
      </c>
      <c r="F704" s="4">
        <f t="shared" si="103"/>
        <v>0</v>
      </c>
      <c r="G704" s="4">
        <f t="shared" si="104"/>
        <v>0</v>
      </c>
      <c r="H704" s="5">
        <f t="shared" si="105"/>
        <v>0</v>
      </c>
      <c r="I704" s="14">
        <f t="shared" si="106"/>
        <v>0</v>
      </c>
      <c r="J704" s="19">
        <f t="shared" si="107"/>
        <v>1003895.5798233801</v>
      </c>
      <c r="K704" s="16">
        <f t="shared" si="108"/>
        <v>0.99989599584001998</v>
      </c>
    </row>
    <row r="705" spans="1:11" x14ac:dyDescent="0.15">
      <c r="A705" s="7">
        <v>39235.492939814816</v>
      </c>
      <c r="B705">
        <v>39.9</v>
      </c>
      <c r="C705" s="6">
        <f t="shared" si="100"/>
        <v>1370.0000002747402</v>
      </c>
      <c r="D705" t="str">
        <f t="shared" si="101"/>
        <v/>
      </c>
      <c r="E705" t="str">
        <f t="shared" si="102"/>
        <v xml:space="preserve"> </v>
      </c>
      <c r="F705" s="4">
        <f t="shared" si="103"/>
        <v>0</v>
      </c>
      <c r="G705" s="4">
        <f t="shared" si="104"/>
        <v>0</v>
      </c>
      <c r="H705" s="5">
        <f t="shared" si="105"/>
        <v>0</v>
      </c>
      <c r="I705" s="14">
        <f t="shared" si="106"/>
        <v>0</v>
      </c>
      <c r="J705" s="19">
        <f t="shared" si="107"/>
        <v>1003895.5798233801</v>
      </c>
      <c r="K705" s="16">
        <f t="shared" si="108"/>
        <v>0.99989599584001998</v>
      </c>
    </row>
    <row r="706" spans="1:11" x14ac:dyDescent="0.15">
      <c r="A706" s="7">
        <v>39235.492962962962</v>
      </c>
      <c r="B706">
        <v>40.1</v>
      </c>
      <c r="C706" s="6">
        <f t="shared" si="100"/>
        <v>1372.0000001136214</v>
      </c>
      <c r="D706" t="str">
        <f t="shared" si="101"/>
        <v/>
      </c>
      <c r="E706">
        <f t="shared" si="102"/>
        <v>39235.492962962962</v>
      </c>
      <c r="F706" s="4">
        <f t="shared" si="103"/>
        <v>0.20000000000000284</v>
      </c>
      <c r="G706" s="4">
        <f t="shared" si="104"/>
        <v>0.10000000000000142</v>
      </c>
      <c r="H706" s="5">
        <f t="shared" si="105"/>
        <v>9.9999991944061145E-2</v>
      </c>
      <c r="I706" s="14">
        <f t="shared" si="106"/>
        <v>17.403361401661929</v>
      </c>
      <c r="J706" s="19">
        <f t="shared" si="107"/>
        <v>1003912.9831847817</v>
      </c>
      <c r="K706" s="16">
        <f t="shared" si="108"/>
        <v>0.99991332986532044</v>
      </c>
    </row>
    <row r="707" spans="1:11" x14ac:dyDescent="0.15">
      <c r="A707" s="7">
        <v>39235.492986111109</v>
      </c>
      <c r="B707">
        <v>40</v>
      </c>
      <c r="C707" s="6">
        <f t="shared" si="100"/>
        <v>1373.9999999525025</v>
      </c>
      <c r="D707" t="str">
        <f t="shared" si="101"/>
        <v/>
      </c>
      <c r="E707">
        <f t="shared" si="102"/>
        <v>39235.492986111109</v>
      </c>
      <c r="F707" s="4">
        <f t="shared" si="103"/>
        <v>0.10000000000000142</v>
      </c>
      <c r="G707" s="4">
        <f t="shared" si="104"/>
        <v>5.0000000000000711E-2</v>
      </c>
      <c r="H707" s="5">
        <f t="shared" si="105"/>
        <v>0.14999998791609173</v>
      </c>
      <c r="I707" s="14">
        <f t="shared" si="106"/>
        <v>26.105042102492895</v>
      </c>
      <c r="J707" s="19">
        <f t="shared" si="107"/>
        <v>1003939.0882268843</v>
      </c>
      <c r="K707" s="16">
        <f t="shared" si="108"/>
        <v>0.99993933090327114</v>
      </c>
    </row>
    <row r="708" spans="1:11" x14ac:dyDescent="0.15">
      <c r="A708" s="7">
        <v>39235.493009259262</v>
      </c>
      <c r="B708">
        <v>40.1</v>
      </c>
      <c r="C708" s="6">
        <f t="shared" si="100"/>
        <v>1376.0000004200265</v>
      </c>
      <c r="D708" t="str">
        <f t="shared" si="101"/>
        <v/>
      </c>
      <c r="E708">
        <f t="shared" si="102"/>
        <v>39235.493009259262</v>
      </c>
      <c r="F708" s="4">
        <f t="shared" si="103"/>
        <v>0.20000000000000284</v>
      </c>
      <c r="G708" s="4">
        <f t="shared" si="104"/>
        <v>0.10000000000000142</v>
      </c>
      <c r="H708" s="5">
        <f t="shared" si="105"/>
        <v>0.15000003506429707</v>
      </c>
      <c r="I708" s="14">
        <f t="shared" si="106"/>
        <v>26.105050307866126</v>
      </c>
      <c r="J708" s="19">
        <f t="shared" si="107"/>
        <v>1003965.1932771921</v>
      </c>
      <c r="K708" s="16">
        <f t="shared" si="108"/>
        <v>0.99996533194939452</v>
      </c>
    </row>
    <row r="709" spans="1:11" x14ac:dyDescent="0.15">
      <c r="A709" s="7">
        <v>39235.493032407408</v>
      </c>
      <c r="B709">
        <v>40.1</v>
      </c>
      <c r="C709" s="6">
        <f t="shared" si="100"/>
        <v>1378.0000002589077</v>
      </c>
      <c r="D709" t="str">
        <f t="shared" si="101"/>
        <v/>
      </c>
      <c r="E709">
        <f t="shared" si="102"/>
        <v>39235.493032407408</v>
      </c>
      <c r="F709" s="4">
        <f t="shared" si="103"/>
        <v>0.20000000000000284</v>
      </c>
      <c r="G709" s="4">
        <f t="shared" si="104"/>
        <v>0.10000000000000142</v>
      </c>
      <c r="H709" s="5">
        <f t="shared" si="105"/>
        <v>0.19999998388812229</v>
      </c>
      <c r="I709" s="14">
        <f t="shared" si="106"/>
        <v>34.806722803323858</v>
      </c>
      <c r="J709" s="19">
        <f t="shared" si="107"/>
        <v>1003999.9999999953</v>
      </c>
      <c r="K709" s="16">
        <f t="shared" si="108"/>
        <v>0.99999999999999534</v>
      </c>
    </row>
  </sheetData>
  <sheetCalcPr fullCalcOnLoad="1"/>
  <phoneticPr fontId="5" type="noConversion"/>
  <pageMargins left="0.75" right="0.75" top="1" bottom="1" header="0.5" footer="0.5"/>
  <pageSetup orientation="portrait" horizontalDpi="4294967292" verticalDpi="4294967292"/>
  <headerFooter alignWithMargins="0"/>
  <colBreaks count="1" manualBreakCount="1">
    <brk id="8" max="1048575" man="1"/>
  </colBreak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D4B5A0-79D3-324D-885A-803F04BAF264}">
  <dimension ref="A2:B6"/>
  <sheetViews>
    <sheetView workbookViewId="0">
      <selection activeCell="A14" sqref="A14"/>
    </sheetView>
  </sheetViews>
  <sheetFormatPr baseColWidth="10" defaultRowHeight="13" x14ac:dyDescent="0.15"/>
  <cols>
    <col min="2" max="2" width="12.6640625" bestFit="1" customWidth="1"/>
  </cols>
  <sheetData>
    <row r="2" spans="1:2" x14ac:dyDescent="0.15">
      <c r="A2" s="25" t="s">
        <v>51</v>
      </c>
      <c r="B2" s="25" t="s">
        <v>50</v>
      </c>
    </row>
    <row r="3" spans="1:2" x14ac:dyDescent="0.15">
      <c r="A3" s="25">
        <f>'INJ Q1'!B1</f>
        <v>45</v>
      </c>
      <c r="B3" s="25">
        <f>'INJ Q1'!B14</f>
        <v>172.01088834001629</v>
      </c>
    </row>
    <row r="4" spans="1:2" x14ac:dyDescent="0.15">
      <c r="A4" s="25">
        <f>'INJ Q2'!B1</f>
        <v>140</v>
      </c>
      <c r="B4" s="25">
        <f>'INJ Q2'!B14</f>
        <v>182.5136908375529</v>
      </c>
    </row>
    <row r="5" spans="1:2" x14ac:dyDescent="0.15">
      <c r="A5" s="25">
        <f>'INJ Q3'!B1</f>
        <v>230</v>
      </c>
      <c r="B5" s="25">
        <f>'INJ Q3'!B14</f>
        <v>185.67102055396703</v>
      </c>
    </row>
    <row r="6" spans="1:2" x14ac:dyDescent="0.15">
      <c r="A6" s="25">
        <f>'INJ Q4'!B1</f>
        <v>386</v>
      </c>
      <c r="B6" s="25">
        <f>'INJ Q4'!B14</f>
        <v>174.03362803666195</v>
      </c>
    </row>
  </sheetData>
  <phoneticPr fontId="5" type="noConversion"/>
  <pageMargins left="0.75" right="0.75" top="1" bottom="1" header="0.5" footer="0.5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INJ Q1</vt:lpstr>
      <vt:lpstr>INJ Q2</vt:lpstr>
      <vt:lpstr>INJ Q3</vt:lpstr>
      <vt:lpstr>INJ Q4</vt:lpstr>
      <vt:lpstr>FLOW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A. Payn</dc:creator>
  <cp:lastModifiedBy>Jaedon Swanson</cp:lastModifiedBy>
  <dcterms:created xsi:type="dcterms:W3CDTF">2006-07-24T22:27:54Z</dcterms:created>
  <dcterms:modified xsi:type="dcterms:W3CDTF">2026-02-25T15:08:21Z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390555454</vt:i4>
  </property>
  <property fmtid="{D5CDD505-2E9C-101B-9397-08002B2CF9AE}" pid="3" name="_EmailSubject">
    <vt:lpwstr>discharge comparisons at high flow</vt:lpwstr>
  </property>
  <property fmtid="{D5CDD505-2E9C-101B-9397-08002B2CF9AE}" pid="4" name="_AuthorEmail">
    <vt:lpwstr>rpayn@mines.edu</vt:lpwstr>
  </property>
  <property fmtid="{D5CDD505-2E9C-101B-9397-08002B2CF9AE}" pid="5" name="_AuthorEmailDisplayName">
    <vt:lpwstr>Rob Payn</vt:lpwstr>
  </property>
</Properties>
</file>